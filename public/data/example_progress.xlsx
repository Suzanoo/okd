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zanoo\Desktop\"/>
    </mc:Choice>
  </mc:AlternateContent>
  <xr:revisionPtr revIDLastSave="0" documentId="13_ncr:1_{77A50BC5-1AB0-4F5D-89CB-9560DE70946A}" xr6:coauthVersionLast="47" xr6:coauthVersionMax="47" xr10:uidLastSave="{00000000-0000-0000-0000-000000000000}"/>
  <bookViews>
    <workbookView xWindow="-120" yWindow="-120" windowWidth="29040" windowHeight="15840" tabRatio="399" xr2:uid="{00000000-000D-0000-FFFF-FFFF00000000}"/>
  </bookViews>
  <sheets>
    <sheet name="NKC2-%" sheetId="64" r:id="rId1"/>
    <sheet name="progress" sheetId="63" r:id="rId2"/>
    <sheet name="progress_table" sheetId="6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________VE32" hidden="1">{#N/A,#N/A,TRUE,"Str.";#N/A,#N/A,TRUE,"Steel &amp; Roof";#N/A,#N/A,TRUE,"Arc.";#N/A,#N/A,TRUE,"Preliminary";#N/A,#N/A,TRUE,"Sum_Prelim"}</definedName>
    <definedName name="__________VE32" hidden="1">{#N/A,#N/A,TRUE,"Str.";#N/A,#N/A,TRUE,"Steel &amp; Roof";#N/A,#N/A,TRUE,"Arc.";#N/A,#N/A,TRUE,"Preliminary";#N/A,#N/A,TRUE,"Sum_Prelim"}</definedName>
    <definedName name="_________VE32" hidden="1">{#N/A,#N/A,TRUE,"Str.";#N/A,#N/A,TRUE,"Steel &amp; Roof";#N/A,#N/A,TRUE,"Arc.";#N/A,#N/A,TRUE,"Preliminary";#N/A,#N/A,TRUE,"Sum_Prelim"}</definedName>
    <definedName name="________VE32" hidden="1">{#N/A,#N/A,TRUE,"Str.";#N/A,#N/A,TRUE,"Steel &amp; Roof";#N/A,#N/A,TRUE,"Arc.";#N/A,#N/A,TRUE,"Preliminary";#N/A,#N/A,TRUE,"Sum_Prelim"}</definedName>
    <definedName name="_______VE32" hidden="1">{#N/A,#N/A,TRUE,"Str.";#N/A,#N/A,TRUE,"Steel &amp; Roof";#N/A,#N/A,TRUE,"Arc.";#N/A,#N/A,TRUE,"Preliminary";#N/A,#N/A,TRUE,"Sum_Prelim"}</definedName>
    <definedName name="______DAT1" localSheetId="0">[1]CI!#REF!</definedName>
    <definedName name="______DAT1">[1]CI!#REF!</definedName>
    <definedName name="______DAT5" localSheetId="0">[1]CI!#REF!</definedName>
    <definedName name="______DAT5">[1]CI!#REF!</definedName>
    <definedName name="______f100" localSheetId="0">'[2]EE-SIMC'!#REF!</definedName>
    <definedName name="______f100">'[2]EE-SIMC'!#REF!</definedName>
    <definedName name="______new2" hidden="1">{#N/A,#N/A,TRUE,"SUM";#N/A,#N/A,TRUE,"EE";#N/A,#N/A,TRUE,"AC";#N/A,#N/A,TRUE,"SN"}</definedName>
    <definedName name="______VE32" hidden="1">{#N/A,#N/A,TRUE,"Str.";#N/A,#N/A,TRUE,"Steel &amp; Roof";#N/A,#N/A,TRUE,"Arc.";#N/A,#N/A,TRUE,"Preliminary";#N/A,#N/A,TRUE,"Sum_Prelim"}</definedName>
    <definedName name="_____bb2" hidden="1">{#N/A,#N/A,TRUE,"SUM";#N/A,#N/A,TRUE,"EE";#N/A,#N/A,TRUE,"AC";#N/A,#N/A,TRUE,"SN"}</definedName>
    <definedName name="_____DAT10" localSheetId="0">#REF!</definedName>
    <definedName name="_____DAT10">#REF!</definedName>
    <definedName name="_____DAT11" localSheetId="0">#REF!</definedName>
    <definedName name="_____DAT11">#REF!</definedName>
    <definedName name="_____DAT12" localSheetId="0">#REF!</definedName>
    <definedName name="_____DAT12">#REF!</definedName>
    <definedName name="_____DAT13" localSheetId="0">#REF!</definedName>
    <definedName name="_____DAT13">#REF!</definedName>
    <definedName name="_____DAT14" localSheetId="0">#REF!</definedName>
    <definedName name="_____DAT14">#REF!</definedName>
    <definedName name="_____DAT15" localSheetId="0">#REF!</definedName>
    <definedName name="_____DAT15">#REF!</definedName>
    <definedName name="_____DAT16" localSheetId="0">#REF!</definedName>
    <definedName name="_____DAT16">#REF!</definedName>
    <definedName name="_____DAT17" localSheetId="0">#REF!</definedName>
    <definedName name="_____DAT17">#REF!</definedName>
    <definedName name="_____DAT18" localSheetId="0">#REF!</definedName>
    <definedName name="_____DAT18">#REF!</definedName>
    <definedName name="_____DAT19" localSheetId="0">#REF!</definedName>
    <definedName name="_____DAT19">#REF!</definedName>
    <definedName name="_____DAT2" localSheetId="0">#REF!</definedName>
    <definedName name="_____DAT2">#REF!</definedName>
    <definedName name="_____DAT20" localSheetId="0">#REF!</definedName>
    <definedName name="_____DAT20">#REF!</definedName>
    <definedName name="_____DAT21" localSheetId="0">#REF!</definedName>
    <definedName name="_____DAT21">#REF!</definedName>
    <definedName name="_____DAT3" localSheetId="0">#REF!</definedName>
    <definedName name="_____DAT3">#REF!</definedName>
    <definedName name="_____DAT4" localSheetId="0">#REF!</definedName>
    <definedName name="_____DAT4">#REF!</definedName>
    <definedName name="_____DAT6" localSheetId="0">#REF!</definedName>
    <definedName name="_____DAT6">#REF!</definedName>
    <definedName name="_____DAT7" localSheetId="0">#REF!</definedName>
    <definedName name="_____DAT7">#REF!</definedName>
    <definedName name="_____DAT8" localSheetId="0">#REF!</definedName>
    <definedName name="_____DAT8">#REF!</definedName>
    <definedName name="_____DAT9" localSheetId="0">#REF!</definedName>
    <definedName name="_____DAT9">#REF!</definedName>
    <definedName name="_____FAC1">[3]สรุป!$C$307</definedName>
    <definedName name="_____new2" hidden="1">{#N/A,#N/A,TRUE,"SUM";#N/A,#N/A,TRUE,"EE";#N/A,#N/A,TRUE,"AC";#N/A,#N/A,TRUE,"SN"}</definedName>
    <definedName name="_____VE32" hidden="1">{#N/A,#N/A,TRUE,"Str.";#N/A,#N/A,TRUE,"Steel &amp; Roof";#N/A,#N/A,TRUE,"Arc.";#N/A,#N/A,TRUE,"Preliminary";#N/A,#N/A,TRUE,"Sum_Prelim"}</definedName>
    <definedName name="____bb2" hidden="1">{#N/A,#N/A,TRUE,"SUM";#N/A,#N/A,TRUE,"EE";#N/A,#N/A,TRUE,"AC";#N/A,#N/A,TRUE,"SN"}</definedName>
    <definedName name="____DAT1" localSheetId="0">[1]CI!#REF!</definedName>
    <definedName name="____DAT1">[1]CI!#REF!</definedName>
    <definedName name="____DAT10" localSheetId="0">#REF!</definedName>
    <definedName name="____DAT10">#REF!</definedName>
    <definedName name="____DAT11" localSheetId="0">#REF!</definedName>
    <definedName name="____DAT11">#REF!</definedName>
    <definedName name="____DAT12" localSheetId="0">#REF!</definedName>
    <definedName name="____DAT12">#REF!</definedName>
    <definedName name="____DAT13" localSheetId="0">#REF!</definedName>
    <definedName name="____DAT13">#REF!</definedName>
    <definedName name="____DAT14" localSheetId="0">#REF!</definedName>
    <definedName name="____DAT14">#REF!</definedName>
    <definedName name="____DAT15" localSheetId="0">#REF!</definedName>
    <definedName name="____DAT15">#REF!</definedName>
    <definedName name="____DAT16" localSheetId="0">#REF!</definedName>
    <definedName name="____DAT16">#REF!</definedName>
    <definedName name="____DAT17" localSheetId="0">#REF!</definedName>
    <definedName name="____DAT17">#REF!</definedName>
    <definedName name="____DAT18" localSheetId="0">#REF!</definedName>
    <definedName name="____DAT18">#REF!</definedName>
    <definedName name="____DAT19" localSheetId="0">#REF!</definedName>
    <definedName name="____DAT19">#REF!</definedName>
    <definedName name="____DAT2" localSheetId="0">#REF!</definedName>
    <definedName name="____DAT2">#REF!</definedName>
    <definedName name="____DAT20" localSheetId="0">#REF!</definedName>
    <definedName name="____DAT20">#REF!</definedName>
    <definedName name="____DAT21" localSheetId="0">#REF!</definedName>
    <definedName name="____DAT21">#REF!</definedName>
    <definedName name="____DAT3" localSheetId="0">#REF!</definedName>
    <definedName name="____DAT3">#REF!</definedName>
    <definedName name="____DAT4" localSheetId="0">#REF!</definedName>
    <definedName name="____DAT4">#REF!</definedName>
    <definedName name="____DAT5" localSheetId="0">[1]CI!#REF!</definedName>
    <definedName name="____DAT5">[1]CI!#REF!</definedName>
    <definedName name="____DAT6" localSheetId="0">#REF!</definedName>
    <definedName name="____DAT6">#REF!</definedName>
    <definedName name="____DAT7" localSheetId="0">#REF!</definedName>
    <definedName name="____DAT7">#REF!</definedName>
    <definedName name="____DAT8" localSheetId="0">#REF!</definedName>
    <definedName name="____DAT8">#REF!</definedName>
    <definedName name="____DAT9" localSheetId="0">#REF!</definedName>
    <definedName name="____DAT9">#REF!</definedName>
    <definedName name="____f100" localSheetId="0">'[2]EE-SIMC'!#REF!</definedName>
    <definedName name="____f100">'[2]EE-SIMC'!#REF!</definedName>
    <definedName name="____FAC1">[3]สรุป!$C$307</definedName>
    <definedName name="____new2" hidden="1">{#N/A,#N/A,TRUE,"SUM";#N/A,#N/A,TRUE,"EE";#N/A,#N/A,TRUE,"AC";#N/A,#N/A,TRUE,"SN"}</definedName>
    <definedName name="____str1" localSheetId="0">#REF!</definedName>
    <definedName name="____str1">#REF!</definedName>
    <definedName name="____str2" localSheetId="0">#REF!</definedName>
    <definedName name="____str2">#REF!</definedName>
    <definedName name="____str3" localSheetId="0">#REF!</definedName>
    <definedName name="____str3">#REF!</definedName>
    <definedName name="____VE32" hidden="1">{#N/A,#N/A,TRUE,"Str.";#N/A,#N/A,TRUE,"Steel &amp; Roof";#N/A,#N/A,TRUE,"Arc.";#N/A,#N/A,TRUE,"Preliminary";#N/A,#N/A,TRUE,"Sum_Prelim"}</definedName>
    <definedName name="___bb2" hidden="1">{#N/A,#N/A,TRUE,"SUM";#N/A,#N/A,TRUE,"EE";#N/A,#N/A,TRUE,"AC";#N/A,#N/A,TRUE,"SN"}</definedName>
    <definedName name="___DAT1" localSheetId="0">[1]CI!#REF!</definedName>
    <definedName name="___DAT1">[1]CI!#REF!</definedName>
    <definedName name="___DAT10" localSheetId="0">#REF!</definedName>
    <definedName name="___DAT10">#REF!</definedName>
    <definedName name="___DAT11" localSheetId="0">#REF!</definedName>
    <definedName name="___DAT11">#REF!</definedName>
    <definedName name="___DAT12" localSheetId="0">#REF!</definedName>
    <definedName name="___DAT12">#REF!</definedName>
    <definedName name="___DAT13" localSheetId="0">#REF!</definedName>
    <definedName name="___DAT13">#REF!</definedName>
    <definedName name="___DAT14" localSheetId="0">#REF!</definedName>
    <definedName name="___DAT14">#REF!</definedName>
    <definedName name="___DAT15" localSheetId="0">#REF!</definedName>
    <definedName name="___DAT15">#REF!</definedName>
    <definedName name="___DAT16" localSheetId="0">#REF!</definedName>
    <definedName name="___DAT16">#REF!</definedName>
    <definedName name="___DAT17" localSheetId="0">#REF!</definedName>
    <definedName name="___DAT17">#REF!</definedName>
    <definedName name="___DAT18" localSheetId="0">#REF!</definedName>
    <definedName name="___DAT18">#REF!</definedName>
    <definedName name="___DAT19" localSheetId="0">#REF!</definedName>
    <definedName name="___DAT19">#REF!</definedName>
    <definedName name="___DAT2" localSheetId="0">#REF!</definedName>
    <definedName name="___DAT2">#REF!</definedName>
    <definedName name="___DAT20" localSheetId="0">#REF!</definedName>
    <definedName name="___DAT20">#REF!</definedName>
    <definedName name="___DAT21" localSheetId="0">#REF!</definedName>
    <definedName name="___DAT21">#REF!</definedName>
    <definedName name="___DAT3" localSheetId="0">#REF!</definedName>
    <definedName name="___DAT3">#REF!</definedName>
    <definedName name="___DAT4" localSheetId="0">#REF!</definedName>
    <definedName name="___DAT4">#REF!</definedName>
    <definedName name="___DAT5" localSheetId="0">[1]CI!#REF!</definedName>
    <definedName name="___DAT5">[1]CI!#REF!</definedName>
    <definedName name="___DAT6" localSheetId="0">#REF!</definedName>
    <definedName name="___DAT6">#REF!</definedName>
    <definedName name="___DAT7" localSheetId="0">#REF!</definedName>
    <definedName name="___DAT7">#REF!</definedName>
    <definedName name="___DAT8" localSheetId="0">#REF!</definedName>
    <definedName name="___DAT8">#REF!</definedName>
    <definedName name="___DAT9" localSheetId="0">#REF!</definedName>
    <definedName name="___DAT9">#REF!</definedName>
    <definedName name="___f100" localSheetId="0">'[2]EE-SIMC'!#REF!</definedName>
    <definedName name="___f100">'[2]EE-SIMC'!#REF!</definedName>
    <definedName name="___FAC1">[3]สรุป!$C$307</definedName>
    <definedName name="___new2" hidden="1">{#N/A,#N/A,TRUE,"SUM";#N/A,#N/A,TRUE,"EE";#N/A,#N/A,TRUE,"AC";#N/A,#N/A,TRUE,"SN"}</definedName>
    <definedName name="___str1" localSheetId="0">#REF!</definedName>
    <definedName name="___str1">#REF!</definedName>
    <definedName name="___str2" localSheetId="0">#REF!</definedName>
    <definedName name="___str2">#REF!</definedName>
    <definedName name="___str3" localSheetId="0">#REF!</definedName>
    <definedName name="___str3">#REF!</definedName>
    <definedName name="___VE32" hidden="1">{#N/A,#N/A,TRUE,"Str.";#N/A,#N/A,TRUE,"Steel &amp; Roof";#N/A,#N/A,TRUE,"Arc.";#N/A,#N/A,TRUE,"Preliminary";#N/A,#N/A,TRUE,"Sum_Prelim"}</definedName>
    <definedName name="__123Graph_AMAIN" localSheetId="0" hidden="1">#REF!</definedName>
    <definedName name="__123Graph_AMAIN" hidden="1">#REF!</definedName>
    <definedName name="__123Graph_BMAIN" localSheetId="0" hidden="1">#REF!</definedName>
    <definedName name="__123Graph_BMAIN" hidden="1">#REF!</definedName>
    <definedName name="__123Graph_CMAIN" localSheetId="0" hidden="1">#REF!</definedName>
    <definedName name="__123Graph_CMAIN" hidden="1">#REF!</definedName>
    <definedName name="__123Graph_D" localSheetId="0" hidden="1">#REF!</definedName>
    <definedName name="__123Graph_D" hidden="1">#REF!</definedName>
    <definedName name="__123Graph_XMAIN" localSheetId="0" hidden="1">#REF!</definedName>
    <definedName name="__123Graph_XMAIN" hidden="1">#REF!</definedName>
    <definedName name="__bb2" hidden="1">{#N/A,#N/A,TRUE,"SUM";#N/A,#N/A,TRUE,"EE";#N/A,#N/A,TRUE,"AC";#N/A,#N/A,TRUE,"SN"}</definedName>
    <definedName name="__DAT1" localSheetId="0">[1]CI!#REF!</definedName>
    <definedName name="__DAT1">[1]CI!#REF!</definedName>
    <definedName name="__DAT10" localSheetId="0">#REF!</definedName>
    <definedName name="__DAT10">#REF!</definedName>
    <definedName name="__DAT11" localSheetId="0">#REF!</definedName>
    <definedName name="__DAT11">#REF!</definedName>
    <definedName name="__DAT12" localSheetId="0">#REF!</definedName>
    <definedName name="__DAT12">#REF!</definedName>
    <definedName name="__DAT13" localSheetId="0">#REF!</definedName>
    <definedName name="__DAT13">#REF!</definedName>
    <definedName name="__DAT14" localSheetId="0">#REF!</definedName>
    <definedName name="__DAT14">#REF!</definedName>
    <definedName name="__DAT15" localSheetId="0">#REF!</definedName>
    <definedName name="__DAT15">#REF!</definedName>
    <definedName name="__DAT16" localSheetId="0">#REF!</definedName>
    <definedName name="__DAT16">#REF!</definedName>
    <definedName name="__DAT17" localSheetId="0">#REF!</definedName>
    <definedName name="__DAT17">#REF!</definedName>
    <definedName name="__DAT18" localSheetId="0">#REF!</definedName>
    <definedName name="__DAT18">#REF!</definedName>
    <definedName name="__DAT19" localSheetId="0">#REF!</definedName>
    <definedName name="__DAT19">#REF!</definedName>
    <definedName name="__DAT2" localSheetId="0">#REF!</definedName>
    <definedName name="__DAT2">#REF!</definedName>
    <definedName name="__DAT20" localSheetId="0">#REF!</definedName>
    <definedName name="__DAT20">#REF!</definedName>
    <definedName name="__DAT21" localSheetId="0">#REF!</definedName>
    <definedName name="__DAT21">#REF!</definedName>
    <definedName name="__DAT3" localSheetId="0">#REF!</definedName>
    <definedName name="__DAT3">#REF!</definedName>
    <definedName name="__DAT4" localSheetId="0">#REF!</definedName>
    <definedName name="__DAT4">#REF!</definedName>
    <definedName name="__DAT5" localSheetId="0">[1]CI!#REF!</definedName>
    <definedName name="__DAT5">[1]CI!#REF!</definedName>
    <definedName name="__DAT6" localSheetId="0">#REF!</definedName>
    <definedName name="__DAT6">#REF!</definedName>
    <definedName name="__DAT7" localSheetId="0">#REF!</definedName>
    <definedName name="__DAT7">#REF!</definedName>
    <definedName name="__DAT8" localSheetId="0">#REF!</definedName>
    <definedName name="__DAT8">#REF!</definedName>
    <definedName name="__DAT9" localSheetId="0">#REF!</definedName>
    <definedName name="__DAT9">#REF!</definedName>
    <definedName name="__f100" localSheetId="0">'[2]EE-SIMC'!#REF!</definedName>
    <definedName name="__f100">'[2]EE-SIMC'!#REF!</definedName>
    <definedName name="__FAC1">[3]สรุป!$C$307</definedName>
    <definedName name="__M5" hidden="1">{#N/A,#N/A,TRUE,"SUM";#N/A,#N/A,TRUE,"EE";#N/A,#N/A,TRUE,"AC";#N/A,#N/A,TRUE,"SN"}</definedName>
    <definedName name="__new2" hidden="1">{#N/A,#N/A,TRUE,"SUM";#N/A,#N/A,TRUE,"EE";#N/A,#N/A,TRUE,"AC";#N/A,#N/A,TRUE,"SN"}</definedName>
    <definedName name="__san2" hidden="1">{#N/A,#N/A,TRUE,"SUM";#N/A,#N/A,TRUE,"EE";#N/A,#N/A,TRUE,"AC";#N/A,#N/A,TRUE,"SN"}</definedName>
    <definedName name="__str1" localSheetId="0">#REF!</definedName>
    <definedName name="__str1">#REF!</definedName>
    <definedName name="__str2" localSheetId="0">#REF!</definedName>
    <definedName name="__str2">#REF!</definedName>
    <definedName name="__str3" localSheetId="0">#REF!</definedName>
    <definedName name="__str3">#REF!</definedName>
    <definedName name="__VE32" hidden="1">{#N/A,#N/A,TRUE,"Str.";#N/A,#N/A,TRUE,"Steel &amp; Roof";#N/A,#N/A,TRUE,"Arc.";#N/A,#N/A,TRUE,"Preliminary";#N/A,#N/A,TRUE,"Sum_Prelim"}</definedName>
    <definedName name="_0000" hidden="1">{#N/A,#N/A,TRUE,"Str.";#N/A,#N/A,TRUE,"Steel &amp; Roof";#N/A,#N/A,TRUE,"Arc.";#N/A,#N/A,TRUE,"Preliminary";#N/A,#N/A,TRUE,"Sum_Prelim"}</definedName>
    <definedName name="_1__123Graph_ACHART_1" localSheetId="0" hidden="1">#REF!</definedName>
    <definedName name="_1__123Graph_ACHART_1" hidden="1">#REF!</definedName>
    <definedName name="_123Graph_D" localSheetId="0" hidden="1">#REF!</definedName>
    <definedName name="_123Graph_D" hidden="1">#REF!</definedName>
    <definedName name="_1Excel_BuiltIn_Print_Area_1_1" localSheetId="0">#REF!</definedName>
    <definedName name="_1Excel_BuiltIn_Print_Area_1_1">#REF!</definedName>
    <definedName name="_2__123Graph_ACHART_2" localSheetId="0" hidden="1">#REF!</definedName>
    <definedName name="_2__123Graph_ACHART_2" hidden="1">#REF!</definedName>
    <definedName name="_3__123Graph_XCHART_1" localSheetId="0" hidden="1">#REF!</definedName>
    <definedName name="_3__123Graph_XCHART_1" hidden="1">#REF!</definedName>
    <definedName name="_4__123Graph_XCHART_2" localSheetId="0" hidden="1">#REF!</definedName>
    <definedName name="_4__123Graph_XCHART_2" hidden="1">#REF!</definedName>
    <definedName name="_bb2" hidden="1">{#N/A,#N/A,TRUE,"SUM";#N/A,#N/A,TRUE,"EE";#N/A,#N/A,TRUE,"AC";#N/A,#N/A,TRUE,"SN"}</definedName>
    <definedName name="_DAT1" localSheetId="0">[1]CI!#REF!</definedName>
    <definedName name="_DAT1">[1]CI!#REF!</definedName>
    <definedName name="_DAT10" localSheetId="0">#REF!</definedName>
    <definedName name="_DAT10">#REF!</definedName>
    <definedName name="_DAT11" localSheetId="0">#REF!</definedName>
    <definedName name="_DAT11">#REF!</definedName>
    <definedName name="_DAT12" localSheetId="0">#REF!</definedName>
    <definedName name="_DAT12">#REF!</definedName>
    <definedName name="_DAT13" localSheetId="0">#REF!</definedName>
    <definedName name="_DAT13">#REF!</definedName>
    <definedName name="_DAT14" localSheetId="0">#REF!</definedName>
    <definedName name="_DAT14">#REF!</definedName>
    <definedName name="_DAT15" localSheetId="0">#REF!</definedName>
    <definedName name="_DAT15">#REF!</definedName>
    <definedName name="_DAT16" localSheetId="0">#REF!</definedName>
    <definedName name="_DAT16">#REF!</definedName>
    <definedName name="_DAT17" localSheetId="0">#REF!</definedName>
    <definedName name="_DAT17">#REF!</definedName>
    <definedName name="_DAT18" localSheetId="0">#REF!</definedName>
    <definedName name="_DAT18">#REF!</definedName>
    <definedName name="_DAT19" localSheetId="0">#REF!</definedName>
    <definedName name="_DAT19">#REF!</definedName>
    <definedName name="_DAT2" localSheetId="0">#REF!</definedName>
    <definedName name="_DAT2">#REF!</definedName>
    <definedName name="_DAT20" localSheetId="0">#REF!</definedName>
    <definedName name="_DAT20">#REF!</definedName>
    <definedName name="_DAT21" localSheetId="0">#REF!</definedName>
    <definedName name="_DAT21">#REF!</definedName>
    <definedName name="_DAT3" localSheetId="0">#REF!</definedName>
    <definedName name="_DAT3">#REF!</definedName>
    <definedName name="_DAT4" localSheetId="0">#REF!</definedName>
    <definedName name="_DAT4">#REF!</definedName>
    <definedName name="_DAT5" localSheetId="0">[1]CI!#REF!</definedName>
    <definedName name="_DAT5">[1]CI!#REF!</definedName>
    <definedName name="_DAT6" localSheetId="0">#REF!</definedName>
    <definedName name="_DAT6">#REF!</definedName>
    <definedName name="_DAT7" localSheetId="0">#REF!</definedName>
    <definedName name="_DAT7">#REF!</definedName>
    <definedName name="_DAT8" localSheetId="0">#REF!</definedName>
    <definedName name="_DAT8">#REF!</definedName>
    <definedName name="_DAT9" localSheetId="0">#REF!</definedName>
    <definedName name="_DAT9">#REF!</definedName>
    <definedName name="_f100" localSheetId="0">'[2]EE-SIMC'!#REF!</definedName>
    <definedName name="_f100">'[2]EE-SIMC'!#REF!</definedName>
    <definedName name="_FAC1">[3]สรุป!$C$307</definedName>
    <definedName name="_Fill" localSheetId="0" hidden="1">#REF!</definedName>
    <definedName name="_Fill" hidden="1">#REF!</definedName>
    <definedName name="_xlnm._FilterDatabase" localSheetId="0" hidden="1">'NKC2-%'!$A$10:$DC$113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5" hidden="1">{#N/A,#N/A,TRUE,"SUM";#N/A,#N/A,TRUE,"EE";#N/A,#N/A,TRUE,"AC";#N/A,#N/A,TRUE,"SN"}</definedName>
    <definedName name="_MatInverse_In" localSheetId="0" hidden="1">#REF!</definedName>
    <definedName name="_MatInverse_In" hidden="1">#REF!</definedName>
    <definedName name="_new2" hidden="1">{#N/A,#N/A,TRUE,"SUM";#N/A,#N/A,TRUE,"EE";#N/A,#N/A,TRUE,"AC";#N/A,#N/A,TRUE,"SN"}</definedName>
    <definedName name="_Order1" hidden="1">255</definedName>
    <definedName name="_Order2" hidden="1">255</definedName>
    <definedName name="_san2" hidden="1">{#N/A,#N/A,TRUE,"SUM";#N/A,#N/A,TRUE,"EE";#N/A,#N/A,TRUE,"AC";#N/A,#N/A,TRUE,"SN"}</definedName>
    <definedName name="_Sort" localSheetId="0" hidden="1">#REF!</definedName>
    <definedName name="_Sort" hidden="1">#REF!</definedName>
    <definedName name="_str1" localSheetId="0">#REF!</definedName>
    <definedName name="_str1">#REF!</definedName>
    <definedName name="_str2" localSheetId="0">#REF!</definedName>
    <definedName name="_str2">#REF!</definedName>
    <definedName name="_str3" localSheetId="0">#REF!</definedName>
    <definedName name="_str3">#REF!</definedName>
    <definedName name="_Table1_In1" localSheetId="0" hidden="1">#REF!</definedName>
    <definedName name="_Table1_In1" hidden="1">#REF!</definedName>
    <definedName name="_Table1_Out" localSheetId="0" hidden="1">#REF!</definedName>
    <definedName name="_Table1_Out" hidden="1">#REF!</definedName>
    <definedName name="_VE1" hidden="1">{#N/A,#N/A,TRUE,"SUM";#N/A,#N/A,TRUE,"EE";#N/A,#N/A,TRUE,"AC";#N/A,#N/A,TRUE,"SN"}</definedName>
    <definedName name="_VE32" hidden="1">{#N/A,#N/A,TRUE,"Str.";#N/A,#N/A,TRUE,"Steel &amp; Roof";#N/A,#N/A,TRUE,"Arc.";#N/A,#N/A,TRUE,"Preliminary";#N/A,#N/A,TRUE,"Sum_Prelim"}</definedName>
    <definedName name="A" localSheetId="0">#REF!</definedName>
    <definedName name="A">#REF!</definedName>
    <definedName name="AA" hidden="1">{#N/A,#N/A,TRUE,"SUM";#N/A,#N/A,TRUE,"EE";#N/A,#N/A,TRUE,"AC";#N/A,#N/A,TRUE,"SN"}</definedName>
    <definedName name="aaa" localSheetId="0">#REF!</definedName>
    <definedName name="aaa">#REF!</definedName>
    <definedName name="aaaaaaa" hidden="1">{"conso",#N/A,FALSE,"cash flow"}</definedName>
    <definedName name="aaaaaaaaa" hidden="1">{"conso",#N/A,FALSE,"cash flow"}</definedName>
    <definedName name="aaag" hidden="1">{#N/A,#N/A,TRUE,"SUM";#N/A,#N/A,TRUE,"EE";#N/A,#N/A,TRUE,"AC";#N/A,#N/A,TRUE,"SN"}</definedName>
    <definedName name="aaag_1" hidden="1">{#N/A,#N/A,TRUE,"SUM";#N/A,#N/A,TRUE,"EE";#N/A,#N/A,TRUE,"AC";#N/A,#N/A,TRUE,"SN"}</definedName>
    <definedName name="aaag2" hidden="1">{#N/A,#N/A,TRUE,"SUM";#N/A,#N/A,TRUE,"EE";#N/A,#N/A,TRUE,"AC";#N/A,#N/A,TRUE,"SN"}</definedName>
    <definedName name="AAX" hidden="1">{#N/A,#N/A,TRUE,"SUM";#N/A,#N/A,TRUE,"EE";#N/A,#N/A,TRUE,"AC";#N/A,#N/A,TRUE,"SN"}</definedName>
    <definedName name="AB" hidden="1">{#N/A,#N/A,TRUE,"SUM";#N/A,#N/A,TRUE,"EE";#N/A,#N/A,TRUE,"AC";#N/A,#N/A,TRUE,"SN"}</definedName>
    <definedName name="abc" hidden="1">{"cashflow",#N/A,FALSE,"cash flow"}</definedName>
    <definedName name="ABL" localSheetId="0">'[4]Summary SN FP'!#REF!</definedName>
    <definedName name="ABL">'[4]Summary SN FP'!#REF!</definedName>
    <definedName name="AC" hidden="1">{#N/A,#N/A,TRUE,"Str.";#N/A,#N/A,TRUE,"Steel &amp; Roof";#N/A,#N/A,TRUE,"Arc.";#N/A,#N/A,TRUE,"Preliminary";#N/A,#N/A,TRUE,"Sum_Prelim"}</definedName>
    <definedName name="AccessDatabase" hidden="1">"C:\My Documents\tippaporn\MAT PRICE.mdb"</definedName>
    <definedName name="ada" localSheetId="0">#REF!</definedName>
    <definedName name="ada">#REF!</definedName>
    <definedName name="adafdadsf" hidden="1">{"conso",#N/A,FALSE,"cash flow"}</definedName>
    <definedName name="adfadf" hidden="1">{"cashflow",#N/A,FALSE,"cash flow"}</definedName>
    <definedName name="adsfds" hidden="1">{#N/A,#N/A,TRUE,"SUM";#N/A,#N/A,TRUE,"EE";#N/A,#N/A,TRUE,"AC";#N/A,#N/A,TRUE,"SN"}</definedName>
    <definedName name="aefewq" hidden="1">{"cashflow",#N/A,FALSE,"cash flow"}</definedName>
    <definedName name="ARCH_LAB" localSheetId="0">#REF!</definedName>
    <definedName name="ARCH_LAB">#REF!</definedName>
    <definedName name="ARCH_MAT" localSheetId="0">#REF!</definedName>
    <definedName name="ARCH_MAT">#REF!</definedName>
    <definedName name="ASD" hidden="1">{#N/A,#N/A,TRUE,"SUM";#N/A,#N/A,TRUE,"EE";#N/A,#N/A,TRUE,"AC";#N/A,#N/A,TRUE,"SN"}</definedName>
    <definedName name="asdfg" hidden="1">{#N/A,#N/A,TRUE,"SUM";#N/A,#N/A,TRUE,"EE";#N/A,#N/A,TRUE,"AC";#N/A,#N/A,TRUE,"SN"}</definedName>
    <definedName name="ass" hidden="1">{#N/A,#N/A,TRUE,"Str.";#N/A,#N/A,TRUE,"Steel &amp; Roof";#N/A,#N/A,TRUE,"Arc.";#N/A,#N/A,TRUE,"Preliminary";#N/A,#N/A,TRUE,"Sum_Prelim"}</definedName>
    <definedName name="bas" hidden="1">{#N/A,#N/A,TRUE,"SUM";#N/A,#N/A,TRUE,"EE";#N/A,#N/A,TRUE,"AC";#N/A,#N/A,TRUE,"SN"}</definedName>
    <definedName name="Basement1" localSheetId="0" hidden="1">#REF!</definedName>
    <definedName name="Basement1" hidden="1">#REF!</definedName>
    <definedName name="bb" hidden="1">{#N/A,#N/A,TRUE,"SUM";#N/A,#N/A,TRUE,"EE";#N/A,#N/A,TRUE,"AC";#N/A,#N/A,TRUE,"SN"}</definedName>
    <definedName name="BIGC" hidden="1">{#N/A,#N/A,TRUE,"Str.";#N/A,#N/A,TRUE,"Steel &amp; Roof";#N/A,#N/A,TRUE,"Arc.";#N/A,#N/A,TRUE,"Preliminary";#N/A,#N/A,TRUE,"Sum_Prelim"}</definedName>
    <definedName name="BIGC_1" hidden="1">{#N/A,#N/A,TRUE,"Str.";#N/A,#N/A,TRUE,"Steel &amp; Roof";#N/A,#N/A,TRUE,"Arc.";#N/A,#N/A,TRUE,"Preliminary";#N/A,#N/A,TRUE,"Sum_Prelim"}</definedName>
    <definedName name="bk" hidden="1">{"cashflow",#N/A,FALSE,"cash flow"}</definedName>
    <definedName name="Bottom_Tank" localSheetId="0">#REF!</definedName>
    <definedName name="Bottom_Tank">#REF!</definedName>
    <definedName name="bwatb" hidden="1">{#N/A,#N/A,TRUE,"SUM";#N/A,#N/A,TRUE,"EE";#N/A,#N/A,TRUE,"AC";#N/A,#N/A,TRUE,"SN"}</definedName>
    <definedName name="CA" hidden="1">{#N/A,#N/A,TRUE,"SUM";#N/A,#N/A,TRUE,"EE";#N/A,#N/A,TRUE,"AC";#N/A,#N/A,TRUE,"SN"}</definedName>
    <definedName name="CA_1" hidden="1">{#N/A,#N/A,TRUE,"SUM";#N/A,#N/A,TRUE,"EE";#N/A,#N/A,TRUE,"AC";#N/A,#N/A,TRUE,"SN"}</definedName>
    <definedName name="Cavity_Pump" localSheetId="0">'[4]Summary SN FP'!#REF!</definedName>
    <definedName name="Cavity_Pump">'[4]Summary SN FP'!#REF!</definedName>
    <definedName name="cccc" hidden="1">{#N/A,#N/A,TRUE,"SUM";#N/A,#N/A,TRUE,"EE";#N/A,#N/A,TRUE,"AC";#N/A,#N/A,TRUE,"SN"}</definedName>
    <definedName name="ConL" localSheetId="0">#REF!</definedName>
    <definedName name="ConL">#REF!</definedName>
    <definedName name="ConM" localSheetId="0">#REF!</definedName>
    <definedName name="ConM">#REF!</definedName>
    <definedName name="CSODJWO" hidden="1">{#N/A,#N/A,TRUE,"SUM";#N/A,#N/A,TRUE,"EE";#N/A,#N/A,TRUE,"AC";#N/A,#N/A,TRUE,"SN"}</definedName>
    <definedName name="CSODJWO_1" hidden="1">{#N/A,#N/A,TRUE,"SUM";#N/A,#N/A,TRUE,"EE";#N/A,#N/A,TRUE,"AC";#N/A,#N/A,TRUE,"SN"}</definedName>
    <definedName name="curb_ขอบทาง">'[5]หมวด 6'!$L$366</definedName>
    <definedName name="Da" localSheetId="0">#REF!</definedName>
    <definedName name="Da">#REF!</definedName>
    <definedName name="dadfsdfa" hidden="1">{"conso",#N/A,FALSE,"cash flow"}</definedName>
    <definedName name="DAKDFADF" hidden="1">{"conso",#N/A,FALSE,"cash flow"}</definedName>
    <definedName name="data" hidden="1">{#N/A,#N/A,TRUE,"SUM";#N/A,#N/A,TRUE,"EE";#N/A,#N/A,TRUE,"AC";#N/A,#N/A,TRUE,"SN"}</definedName>
    <definedName name="dd" hidden="1">{#N/A,#N/A,TRUE,"SUM";#N/A,#N/A,TRUE,"EE";#N/A,#N/A,TRUE,"AC";#N/A,#N/A,TRUE,"SN"}</definedName>
    <definedName name="ddadfa" hidden="1">{"conso",#N/A,FALSE,"cash flow"}</definedName>
    <definedName name="DDAFDASF" hidden="1">{"conso",#N/A,FALSE,"cash flow"}</definedName>
    <definedName name="ddda" hidden="1">{#N/A,#N/A,TRUE,"Str.";#N/A,#N/A,TRUE,"Steel &amp; Roof";#N/A,#N/A,TRUE,"Arc.";#N/A,#N/A,TRUE,"Preliminary";#N/A,#N/A,TRUE,"Sum_Prelim"}</definedName>
    <definedName name="ddda_1" hidden="1">{#N/A,#N/A,TRUE,"Str.";#N/A,#N/A,TRUE,"Steel &amp; Roof";#N/A,#N/A,TRUE,"Arc.";#N/A,#N/A,TRUE,"Preliminary";#N/A,#N/A,TRUE,"Sum_Prelim"}</definedName>
    <definedName name="dddddd" hidden="1">{#N/A,#N/A,TRUE,"SUM";#N/A,#N/A,TRUE,"EE";#N/A,#N/A,TRUE,"AC";#N/A,#N/A,TRUE,"SN"}</definedName>
    <definedName name="dddddd_1" hidden="1">{#N/A,#N/A,TRUE,"SUM";#N/A,#N/A,TRUE,"EE";#N/A,#N/A,TRUE,"AC";#N/A,#N/A,TRUE,"SN"}</definedName>
    <definedName name="DDDDDDDD" hidden="1">{#N/A,#N/A,TRUE,"SUM";#N/A,#N/A,TRUE,"EE";#N/A,#N/A,TRUE,"AC";#N/A,#N/A,TRUE,"SN"}</definedName>
    <definedName name="DDDDDDDD_1" hidden="1">{#N/A,#N/A,TRUE,"SUM";#N/A,#N/A,TRUE,"EE";#N/A,#N/A,TRUE,"AC";#N/A,#N/A,TRUE,"SN"}</definedName>
    <definedName name="de" hidden="1">{"conso",#N/A,FALSE,"cash flow"}</definedName>
    <definedName name="Decanter" localSheetId="0">'[4]Summary SN FP'!#REF!</definedName>
    <definedName name="Decanter">'[4]Summary SN FP'!#REF!</definedName>
    <definedName name="def" hidden="1">{"conso",#N/A,FALSE,"cash flow"}</definedName>
    <definedName name="DEWSLDW" hidden="1">{#N/A,#N/A,TRUE,"SUM";#N/A,#N/A,TRUE,"EE";#N/A,#N/A,TRUE,"AC";#N/A,#N/A,TRUE,"SN"}</definedName>
    <definedName name="DEWSLDW_1" hidden="1">{#N/A,#N/A,TRUE,"SUM";#N/A,#N/A,TRUE,"EE";#N/A,#N/A,TRUE,"AC";#N/A,#N/A,TRUE,"SN"}</definedName>
    <definedName name="dfadf" hidden="1">{"conso",#N/A,FALSE,"cash flow"}</definedName>
    <definedName name="DFAFDA" hidden="1">{"cashflow",#N/A,FALSE,"cash flow"}</definedName>
    <definedName name="dfasf" hidden="1">{"conso",#N/A,FALSE,"cash flow"}</definedName>
    <definedName name="DFDFDS" hidden="1">{#N/A,#N/A,TRUE,"SUM";#N/A,#N/A,TRUE,"EE";#N/A,#N/A,TRUE,"AC";#N/A,#N/A,TRUE,"SN"}</definedName>
    <definedName name="DFDFDS_1" hidden="1">{#N/A,#N/A,TRUE,"SUM";#N/A,#N/A,TRUE,"EE";#N/A,#N/A,TRUE,"AC";#N/A,#N/A,TRUE,"SN"}</definedName>
    <definedName name="DFDFSDFSD" hidden="1">{#N/A,#N/A,TRUE,"SUM";#N/A,#N/A,TRUE,"EE";#N/A,#N/A,TRUE,"AC";#N/A,#N/A,TRUE,"SN"}</definedName>
    <definedName name="DFDFSDFSD_1" hidden="1">{#N/A,#N/A,TRUE,"SUM";#N/A,#N/A,TRUE,"EE";#N/A,#N/A,TRUE,"AC";#N/A,#N/A,TRUE,"SN"}</definedName>
    <definedName name="DFF" hidden="1">{#N/A,#N/A,TRUE,"SUM";#N/A,#N/A,TRUE,"EE";#N/A,#N/A,TRUE,"AC";#N/A,#N/A,TRUE,"SN"}</definedName>
    <definedName name="DFF_1" hidden="1">{#N/A,#N/A,TRUE,"SUM";#N/A,#N/A,TRUE,"EE";#N/A,#N/A,TRUE,"AC";#N/A,#N/A,TRUE,"SN"}</definedName>
    <definedName name="dfs" hidden="1">{#N/A,#N/A,TRUE,"SUM";#N/A,#N/A,TRUE,"EE";#N/A,#N/A,TRUE,"AC";#N/A,#N/A,TRUE,"SN"}</definedName>
    <definedName name="dfs_1" hidden="1">{#N/A,#N/A,TRUE,"SUM";#N/A,#N/A,TRUE,"EE";#N/A,#N/A,TRUE,"AC";#N/A,#N/A,TRUE,"SN"}</definedName>
    <definedName name="dgde" hidden="1">{#N/A,#N/A,TRUE,"SUM";#N/A,#N/A,TRUE,"EE";#N/A,#N/A,TRUE,"AC";#N/A,#N/A,TRUE,"SN"}</definedName>
    <definedName name="dgdfd" hidden="1">{#N/A,#N/A,TRUE,"SUM";#N/A,#N/A,TRUE,"EE";#N/A,#N/A,TRUE,"AC";#N/A,#N/A,TRUE,"SN"}</definedName>
    <definedName name="dgf" hidden="1">{#N/A,#N/A,TRUE,"SUM";#N/A,#N/A,TRUE,"EE";#N/A,#N/A,TRUE,"AC";#N/A,#N/A,TRUE,"SN"}</definedName>
    <definedName name="dgfdsgfd" hidden="1">{#N/A,#N/A,TRUE,"SUM";#N/A,#N/A,TRUE,"EE";#N/A,#N/A,TRUE,"AC";#N/A,#N/A,TRUE,"SN"}</definedName>
    <definedName name="dsgfvda" hidden="1">{#N/A,#N/A,TRUE,"SUM";#N/A,#N/A,TRUE,"EE";#N/A,#N/A,TRUE,"AC";#N/A,#N/A,TRUE,"SN"}</definedName>
    <definedName name="dsgvdsgs" hidden="1">{#N/A,#N/A,TRUE,"SUM";#N/A,#N/A,TRUE,"EE";#N/A,#N/A,TRUE,"AC";#N/A,#N/A,TRUE,"SN"}</definedName>
    <definedName name="DSJKLDE" hidden="1">{#N/A,#N/A,TRUE,"SUM";#N/A,#N/A,TRUE,"EE";#N/A,#N/A,TRUE,"AC";#N/A,#N/A,TRUE,"SN"}</definedName>
    <definedName name="DSJKLDE_1" hidden="1">{#N/A,#N/A,TRUE,"SUM";#N/A,#N/A,TRUE,"EE";#N/A,#N/A,TRUE,"AC";#N/A,#N/A,TRUE,"SN"}</definedName>
    <definedName name="DVADFA" hidden="1">{"conso",#N/A,FALSE,"cash flow"}</definedName>
    <definedName name="e" localSheetId="0">#REF!</definedName>
    <definedName name="e">#REF!</definedName>
    <definedName name="ee" hidden="1">{#N/A,#N/A,TRUE,"SUM";#N/A,#N/A,TRUE,"EE";#N/A,#N/A,TRUE,"AC";#N/A,#N/A,TRUE,"SN"}</definedName>
    <definedName name="eec" localSheetId="0">#REF!</definedName>
    <definedName name="eec">#REF!</definedName>
    <definedName name="eeeee" hidden="1">{#N/A,#N/A,TRUE,"SUM";#N/A,#N/A,TRUE,"EE";#N/A,#N/A,TRUE,"AC";#N/A,#N/A,TRUE,"SN"}</definedName>
    <definedName name="eeeee_1" hidden="1">{#N/A,#N/A,TRUE,"SUM";#N/A,#N/A,TRUE,"EE";#N/A,#N/A,TRUE,"AC";#N/A,#N/A,TRUE,"SN"}</definedName>
    <definedName name="ere" hidden="1">{"conso",#N/A,FALSE,"cash flow"}</definedName>
    <definedName name="erwewew" localSheetId="0" hidden="1">#REF!</definedName>
    <definedName name="erwewew" hidden="1">#REF!</definedName>
    <definedName name="erwr" hidden="1">{#N/A,#N/A,TRUE,"SUM";#N/A,#N/A,TRUE,"EE";#N/A,#N/A,TRUE,"AC";#N/A,#N/A,TRUE,"SN"}</definedName>
    <definedName name="esda" hidden="1">{#N/A,#N/A,TRUE,"SUM";#N/A,#N/A,TRUE,"EE";#N/A,#N/A,TRUE,"AC";#N/A,#N/A,TRUE,"SN"}</definedName>
    <definedName name="ess" hidden="1">{"cashflow",#N/A,FALSE,"cash flow"}</definedName>
    <definedName name="ewewewew" localSheetId="0" hidden="1">#REF!</definedName>
    <definedName name="ewewewew" hidden="1">#REF!</definedName>
    <definedName name="ewewewewew" localSheetId="0" hidden="1">#REF!</definedName>
    <definedName name="ewewewewew" hidden="1">#REF!</definedName>
    <definedName name="Excel_BuiltIn_Print_Area" localSheetId="0">#REF!</definedName>
    <definedName name="Excel_BuiltIn_Print_Area">#REF!</definedName>
    <definedName name="Excel_BuiltIn_Print_Titles" localSheetId="0">#REF!</definedName>
    <definedName name="Excel_BuiltIn_Print_Titles">#REF!</definedName>
    <definedName name="EXT_LAB" localSheetId="0">#REF!</definedName>
    <definedName name="EXT_LAB">#REF!</definedName>
    <definedName name="EXT_MAT" localSheetId="0">#REF!</definedName>
    <definedName name="EXT_MAT">#REF!</definedName>
    <definedName name="External" localSheetId="0" hidden="1">#REF!</definedName>
    <definedName name="External" hidden="1">#REF!</definedName>
    <definedName name="f" localSheetId="0">#REF!</definedName>
    <definedName name="f">#REF!</definedName>
    <definedName name="Fa" localSheetId="0">[6]ปร.4!#REF!</definedName>
    <definedName name="Fa">[6]ปร.4!#REF!</definedName>
    <definedName name="Fac" localSheetId="0">[6]ปร.4!#REF!</definedName>
    <definedName name="Fac">[6]ปร.4!#REF!</definedName>
    <definedName name="FactorF_สาธารณูปโภค" localSheetId="0">[7]BOQ!#REF!</definedName>
    <definedName name="FactorF_สาธารณูปโภค">[7]BOQ!#REF!</definedName>
    <definedName name="FACTORY" hidden="1">{#N/A,#N/A,TRUE,"SUM";#N/A,#N/A,TRUE,"EE";#N/A,#N/A,TRUE,"AC";#N/A,#N/A,TRUE,"SN"}</definedName>
    <definedName name="FACTORY_1" hidden="1">{#N/A,#N/A,TRUE,"SUM";#N/A,#N/A,TRUE,"EE";#N/A,#N/A,TRUE,"AC";#N/A,#N/A,TRUE,"SN"}</definedName>
    <definedName name="Factory1" hidden="1">{#N/A,#N/A,TRUE,"SUM";#N/A,#N/A,TRUE,"EE";#N/A,#N/A,TRUE,"AC";#N/A,#N/A,TRUE,"SN"}</definedName>
    <definedName name="fdf" hidden="1">{"conso",#N/A,FALSE,"cash flow"}</definedName>
    <definedName name="FDFDSF" hidden="1">{#N/A,#N/A,TRUE,"SUM";#N/A,#N/A,TRUE,"EE";#N/A,#N/A,TRUE,"AC";#N/A,#N/A,TRUE,"SN"}</definedName>
    <definedName name="FDFDSF_1" hidden="1">{#N/A,#N/A,TRUE,"SUM";#N/A,#N/A,TRUE,"EE";#N/A,#N/A,TRUE,"AC";#N/A,#N/A,TRUE,"SN"}</definedName>
    <definedName name="fdfs" hidden="1">{#N/A,#N/A,TRUE,"SUM";#N/A,#N/A,TRUE,"EE";#N/A,#N/A,TRUE,"AC";#N/A,#N/A,TRUE,"SN"}</definedName>
    <definedName name="fdfs_1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_1" hidden="1">{#N/A,#N/A,TRUE,"SUM";#N/A,#N/A,TRUE,"EE";#N/A,#N/A,TRUE,"AC";#N/A,#N/A,TRUE,"SN"}</definedName>
    <definedName name="FF" hidden="1">{#N/A,#N/A,TRUE,"SUM";#N/A,#N/A,TRUE,"EE";#N/A,#N/A,TRUE,"AC";#N/A,#N/A,TRUE,"SN"}</definedName>
    <definedName name="FF_1" hidden="1">{#N/A,#N/A,TRUE,"SUM";#N/A,#N/A,TRUE,"EE";#N/A,#N/A,TRUE,"AC";#N/A,#N/A,TRUE,"SN"}</definedName>
    <definedName name="ffffd" hidden="1">{#N/A,#N/A,TRUE,"SUM";#N/A,#N/A,TRUE,"EE";#N/A,#N/A,TRUE,"AC";#N/A,#N/A,TRUE,"SN"}</definedName>
    <definedName name="ffffd_1" hidden="1">{#N/A,#N/A,TRUE,"SUM";#N/A,#N/A,TRUE,"EE";#N/A,#N/A,TRUE,"AC";#N/A,#N/A,TRUE,"SN"}</definedName>
    <definedName name="fffff" hidden="1">{#N/A,#N/A,TRUE,"SUM";#N/A,#N/A,TRUE,"EE";#N/A,#N/A,TRUE,"AC";#N/A,#N/A,TRUE,"SN"}</definedName>
    <definedName name="fg" hidden="1">{#N/A,#N/A,TRUE,"Str.";#N/A,#N/A,TRUE,"Steel &amp; Roof";#N/A,#N/A,TRUE,"Arc.";#N/A,#N/A,TRUE,"Preliminary";#N/A,#N/A,TRUE,"Sum_Prelim"}</definedName>
    <definedName name="fgff" hidden="1">{#N/A,#N/A,TRUE,"SUM";#N/A,#N/A,TRUE,"EE";#N/A,#N/A,TRUE,"AC";#N/A,#N/A,TRUE,"SN"}</definedName>
    <definedName name="fgff_1" hidden="1">{#N/A,#N/A,TRUE,"SUM";#N/A,#N/A,TRUE,"EE";#N/A,#N/A,TRUE,"AC";#N/A,#N/A,TRUE,"SN"}</definedName>
    <definedName name="For_Check" localSheetId="0">#REF!</definedName>
    <definedName name="For_Check">#REF!</definedName>
    <definedName name="forml" localSheetId="0">#REF!</definedName>
    <definedName name="forml">#REF!</definedName>
    <definedName name="formm" localSheetId="0">#REF!</definedName>
    <definedName name="formm">#REF!</definedName>
    <definedName name="FP" localSheetId="0">'[4]Summary SN FP'!#REF!</definedName>
    <definedName name="FP">'[4]Summary SN FP'!#REF!</definedName>
    <definedName name="FSDFSDF" hidden="1">{#N/A,#N/A,TRUE,"SUM";#N/A,#N/A,TRUE,"EE";#N/A,#N/A,TRUE,"AC";#N/A,#N/A,TRUE,"SN"}</definedName>
    <definedName name="FSDFSDF_1" hidden="1">{#N/A,#N/A,TRUE,"SUM";#N/A,#N/A,TRUE,"EE";#N/A,#N/A,TRUE,"AC";#N/A,#N/A,TRUE,"SN"}</definedName>
    <definedName name="g" localSheetId="0">#REF!</definedName>
    <definedName name="g">#REF!</definedName>
    <definedName name="gdhyr" hidden="1">{"conso",#N/A,FALSE,"cash flow"}</definedName>
    <definedName name="GG" hidden="1">{#N/A,#N/A,TRUE,"SUM";#N/A,#N/A,TRUE,"EE";#N/A,#N/A,TRUE,"AC";#N/A,#N/A,TRUE,"SN"}</definedName>
    <definedName name="GG_1" hidden="1">{#N/A,#N/A,TRUE,"SUM";#N/A,#N/A,TRUE,"EE";#N/A,#N/A,TRUE,"AC";#N/A,#N/A,TRUE,"SN"}</definedName>
    <definedName name="ggg" hidden="1">{#N/A,#N/A,TRUE,"SUM";#N/A,#N/A,TRUE,"EE";#N/A,#N/A,TRUE,"AC";#N/A,#N/A,TRUE,"SN"}</definedName>
    <definedName name="ggg_1" hidden="1">{#N/A,#N/A,TRUE,"SUM";#N/A,#N/A,TRUE,"EE";#N/A,#N/A,TRUE,"AC";#N/A,#N/A,TRUE,"SN"}</definedName>
    <definedName name="GGGGG" hidden="1">{#N/A,#N/A,TRUE,"SUM";#N/A,#N/A,TRUE,"EE";#N/A,#N/A,TRUE,"AC";#N/A,#N/A,TRUE,"SN"}</definedName>
    <definedName name="GGGGG_1" hidden="1">{#N/A,#N/A,TRUE,"SUM";#N/A,#N/A,TRUE,"EE";#N/A,#N/A,TRUE,"AC";#N/A,#N/A,TRUE,"SN"}</definedName>
    <definedName name="ggh" hidden="1">{#N/A,#N/A,TRUE,"SUM";#N/A,#N/A,TRUE,"EE";#N/A,#N/A,TRUE,"AC";#N/A,#N/A,TRUE,"SN"}</definedName>
    <definedName name="gghh" hidden="1">{#N/A,#N/A,TRUE,"SUM";#N/A,#N/A,TRUE,"EE";#N/A,#N/A,TRUE,"AC";#N/A,#N/A,TRUE,"SN"}</definedName>
    <definedName name="GNFKD" hidden="1">{#N/A,#N/A,TRUE,"SUM";#N/A,#N/A,TRUE,"EE";#N/A,#N/A,TRUE,"AC";#N/A,#N/A,TRUE,"SN"}</definedName>
    <definedName name="GS" hidden="1">{#N/A,#N/A,TRUE,"Str.";#N/A,#N/A,TRUE,"Steel &amp; Roof";#N/A,#N/A,TRUE,"Arc.";#N/A,#N/A,TRUE,"Preliminary";#N/A,#N/A,TRUE,"Sum_Prelim"}</definedName>
    <definedName name="Hardware" hidden="1">{#N/A,#N/A,TRUE,"Str.";#N/A,#N/A,TRUE,"Steel &amp; Roof";#N/A,#N/A,TRUE,"Arc.";#N/A,#N/A,TRUE,"Preliminary";#N/A,#N/A,TRUE,"Sum_Prelim"}</definedName>
    <definedName name="Hardware_1" hidden="1">{#N/A,#N/A,TRUE,"Str.";#N/A,#N/A,TRUE,"Steel &amp; Roof";#N/A,#N/A,TRUE,"Arc.";#N/A,#N/A,TRUE,"Preliminary";#N/A,#N/A,TRUE,"Sum_Prelim"}</definedName>
    <definedName name="hgdkjh" hidden="1">{#N/A,#N/A,TRUE,"SUM";#N/A,#N/A,TRUE,"EE";#N/A,#N/A,TRUE,"AC";#N/A,#N/A,TRUE,"SN"}</definedName>
    <definedName name="hh" hidden="1">{"conso",#N/A,FALSE,"cash flow"}</definedName>
    <definedName name="HHHHHH" hidden="1">{#N/A,#N/A,TRUE,"SUM";#N/A,#N/A,TRUE,"EE";#N/A,#N/A,TRUE,"AC";#N/A,#N/A,TRUE,"SN"}</definedName>
    <definedName name="HHHHHH_1" hidden="1">{#N/A,#N/A,TRUE,"SUM";#N/A,#N/A,TRUE,"EE";#N/A,#N/A,TRUE,"AC";#N/A,#N/A,TRUE,"SN"}</definedName>
    <definedName name="HHHHHHHH" hidden="1">{#N/A,#N/A,TRUE,"SUM";#N/A,#N/A,TRUE,"EE";#N/A,#N/A,TRUE,"AC";#N/A,#N/A,TRUE,"SN"}</definedName>
    <definedName name="hmom" hidden="1">{#N/A,#N/A,TRUE,"SUM";#N/A,#N/A,TRUE,"EE";#N/A,#N/A,TRUE,"AC";#N/A,#N/A,TRUE,"SN"}</definedName>
    <definedName name="HTML_CodePage" hidden="1">874</definedName>
    <definedName name="HTML_Control" hidden="1">{"'SUMMATION'!$B$2:$I$2"}</definedName>
    <definedName name="HTML_Description" hidden="1">""</definedName>
    <definedName name="HTML_Email" hidden="1">""</definedName>
    <definedName name="HTML_Header" hidden="1">"SUMMATION"</definedName>
    <definedName name="HTML_LastUpdate" hidden="1">"21/3/02"</definedName>
    <definedName name="HTML_LineAfter" hidden="1">FALSE</definedName>
    <definedName name="HTML_LineBefore" hidden="1">FALSE</definedName>
    <definedName name="HTML_Name" hidden="1">"Estimate_5"</definedName>
    <definedName name="HTML_OBDlg2" hidden="1">TRUE</definedName>
    <definedName name="HTML_OBDlg4" hidden="1">TRUE</definedName>
    <definedName name="HTML_OS" hidden="1">0</definedName>
    <definedName name="HTML_PathFile" hidden="1">"C:\SAni.htm"</definedName>
    <definedName name="HTML_Title" hidden="1">"อาคารเรียนรวม"</definedName>
    <definedName name="I" localSheetId="0">#REF!</definedName>
    <definedName name="I">#REF!</definedName>
    <definedName name="ie" localSheetId="0">#REF!</definedName>
    <definedName name="ie">#REF!</definedName>
    <definedName name="ishii" hidden="1">{#N/A,#N/A,TRUE,"SUM";#N/A,#N/A,TRUE,"EE";#N/A,#N/A,TRUE,"AC";#N/A,#N/A,TRUE,"SN"}</definedName>
    <definedName name="IX" localSheetId="0">#REF!</definedName>
    <definedName name="IX">#REF!</definedName>
    <definedName name="IY" localSheetId="0">#REF!</definedName>
    <definedName name="IY">#REF!</definedName>
    <definedName name="J" localSheetId="0">#REF!</definedName>
    <definedName name="J">#REF!</definedName>
    <definedName name="jfl" localSheetId="0">#REF!</definedName>
    <definedName name="jfl">#REF!</definedName>
    <definedName name="JKDFSJCSDKJ" hidden="1">{#N/A,#N/A,TRUE,"SUM";#N/A,#N/A,TRUE,"EE";#N/A,#N/A,TRUE,"AC";#N/A,#N/A,TRUE,"SN"}</definedName>
    <definedName name="JKDFSJCSDKJ_1" hidden="1">{#N/A,#N/A,TRUE,"SUM";#N/A,#N/A,TRUE,"EE";#N/A,#N/A,TRUE,"AC";#N/A,#N/A,TRUE,"SN"}</definedName>
    <definedName name="jkkjkl" hidden="1">{#N/A,#N/A,TRUE,"SUM";#N/A,#N/A,TRUE,"EE";#N/A,#N/A,TRUE,"AC";#N/A,#N/A,TRUE,"SN"}</definedName>
    <definedName name="joss" localSheetId="0">#REF!</definedName>
    <definedName name="joss">#REF!</definedName>
    <definedName name="K" hidden="1">{#N/A,#N/A,TRUE,"SUM";#N/A,#N/A,TRUE,"EE";#N/A,#N/A,TRUE,"AC";#N/A,#N/A,TRUE,"SN"}</definedName>
    <definedName name="K_1" hidden="1">{#N/A,#N/A,TRUE,"SUM";#N/A,#N/A,TRUE,"EE";#N/A,#N/A,TRUE,"AC";#N/A,#N/A,TRUE,"SN"}</definedName>
    <definedName name="KHJGDFGFHGHJ" hidden="1">{"cashflow",#N/A,FALSE,"cash flow"}</definedName>
    <definedName name="kihb" localSheetId="0" hidden="1">#REF!</definedName>
    <definedName name="kihb" hidden="1">#REF!</definedName>
    <definedName name="kk" hidden="1">{#N/A,#N/A,TRUE,"SUM";#N/A,#N/A,TRUE,"EE";#N/A,#N/A,TRUE,"AC";#N/A,#N/A,TRUE,"SN"}</definedName>
    <definedName name="KKPP" hidden="1">{#N/A,#N/A,TRUE,"SUM";#N/A,#N/A,TRUE,"EE";#N/A,#N/A,TRUE,"AC";#N/A,#N/A,TRUE,"SN"}</definedName>
    <definedName name="KKPP_1" hidden="1">{#N/A,#N/A,TRUE,"SUM";#N/A,#N/A,TRUE,"EE";#N/A,#N/A,TRUE,"AC";#N/A,#N/A,TRUE,"SN"}</definedName>
    <definedName name="klhkl" localSheetId="0" hidden="1">#REF!</definedName>
    <definedName name="klhkl" hidden="1">#REF!</definedName>
    <definedName name="L" localSheetId="0">#REF!</definedName>
    <definedName name="L">#REF!</definedName>
    <definedName name="L1_" localSheetId="0">#REF!</definedName>
    <definedName name="L1_">#REF!</definedName>
    <definedName name="L2_" localSheetId="0">#REF!</definedName>
    <definedName name="L2_">#REF!</definedName>
    <definedName name="leau" hidden="1">{#N/A,#N/A,TRUE,"SUM";#N/A,#N/A,TRUE,"EE";#N/A,#N/A,TRUE,"AC";#N/A,#N/A,TRUE,"SN"}</definedName>
    <definedName name="Letter" hidden="1">{#N/A,#N/A,TRUE,"Str.";#N/A,#N/A,TRUE,"Steel &amp; Roof";#N/A,#N/A,TRUE,"Arc.";#N/A,#N/A,TRUE,"Preliminary";#N/A,#N/A,TRUE,"Sum_Prelim"}</definedName>
    <definedName name="Letter_1" hidden="1">{#N/A,#N/A,TRUE,"Str.";#N/A,#N/A,TRUE,"Steel &amp; Roof";#N/A,#N/A,TRUE,"Arc.";#N/A,#N/A,TRUE,"Preliminary";#N/A,#N/A,TRUE,"Sum_Prelim"}</definedName>
    <definedName name="LF" localSheetId="0">#REF!</definedName>
    <definedName name="LF">#REF!</definedName>
    <definedName name="lil" localSheetId="0">#REF!</definedName>
    <definedName name="lil">#REF!</definedName>
    <definedName name="LIST" hidden="1">{#N/A,#N/A,TRUE,"Str.";#N/A,#N/A,TRUE,"Steel &amp; Roof";#N/A,#N/A,TRUE,"Arc.";#N/A,#N/A,TRUE,"Preliminary";#N/A,#N/A,TRUE,"Sum_Prelim"}</definedName>
    <definedName name="log" hidden="1">{#N/A,#N/A,TRUE,"SUM";#N/A,#N/A,TRUE,"EE";#N/A,#N/A,TRUE,"AC";#N/A,#N/A,TRUE,"SN"}</definedName>
    <definedName name="LP" hidden="1">{#N/A,#N/A,TRUE,"Str.";#N/A,#N/A,TRUE,"Steel &amp; Roof";#N/A,#N/A,TRUE,"Arc.";#N/A,#N/A,TRUE,"Preliminary";#N/A,#N/A,TRUE,"Sum_Prelim"}</definedName>
    <definedName name="LP_1" hidden="1">{#N/A,#N/A,TRUE,"Str.";#N/A,#N/A,TRUE,"Steel &amp; Roof";#N/A,#N/A,TRUE,"Arc.";#N/A,#N/A,TRUE,"Preliminary";#N/A,#N/A,TRUE,"Sum_Prelim"}</definedName>
    <definedName name="Lt." hidden="1">{#N/A,#N/A,TRUE,"Str.";#N/A,#N/A,TRUE,"Steel &amp; Roof";#N/A,#N/A,TRUE,"Arc.";#N/A,#N/A,TRUE,"Preliminary";#N/A,#N/A,TRUE,"Sum_Prelim"}</definedName>
    <definedName name="Lt._1" hidden="1">{#N/A,#N/A,TRUE,"Str.";#N/A,#N/A,TRUE,"Steel &amp; Roof";#N/A,#N/A,TRUE,"Arc.";#N/A,#N/A,TRUE,"Preliminary";#N/A,#N/A,TRUE,"Sum_Prelim"}</definedName>
    <definedName name="m" hidden="1">{#N/A,#N/A,TRUE,"SUM";#N/A,#N/A,TRUE,"EE";#N/A,#N/A,TRUE,"AC";#N/A,#N/A,TRUE,"SN"}</definedName>
    <definedName name="m_1" hidden="1">{#N/A,#N/A,TRUE,"SUM";#N/A,#N/A,TRUE,"EE";#N/A,#N/A,TRUE,"AC";#N/A,#N/A,TRUE,"SN"}</definedName>
    <definedName name="MandE_LAB" localSheetId="0">#REF!</definedName>
    <definedName name="MandE_LAB">#REF!</definedName>
    <definedName name="MandE_MAT" localSheetId="0">#REF!</definedName>
    <definedName name="MandE_MAT">#REF!</definedName>
    <definedName name="Material" hidden="1">{#N/A,#N/A,TRUE,"Str.";#N/A,#N/A,TRUE,"Steel &amp; Roof";#N/A,#N/A,TRUE,"Arc.";#N/A,#N/A,TRUE,"Preliminary";#N/A,#N/A,TRUE,"Sum_Prelim"}</definedName>
    <definedName name="MMM" localSheetId="0">#REF!</definedName>
    <definedName name="MMM">#REF!</definedName>
    <definedName name="MMMMM" localSheetId="0">#REF!</definedName>
    <definedName name="MMMMM">#REF!</definedName>
    <definedName name="MONTHIPA" localSheetId="0" hidden="1">#REF!</definedName>
    <definedName name="MONTHIPA" hidden="1">#REF!</definedName>
    <definedName name="new" hidden="1">{#N/A,#N/A,TRUE,"SUM";#N/A,#N/A,TRUE,"EE";#N/A,#N/A,TRUE,"AC";#N/A,#N/A,TRUE,"SN"}</definedName>
    <definedName name="new_1" hidden="1">{#N/A,#N/A,TRUE,"SUM";#N/A,#N/A,TRUE,"EE";#N/A,#N/A,TRUE,"AC";#N/A,#N/A,TRUE,"SN"}</definedName>
    <definedName name="ni" hidden="1">{"conso",#N/A,FALSE,"cash flow"}</definedName>
    <definedName name="Nitro" localSheetId="0">'[4]Summary SN FP'!#REF!</definedName>
    <definedName name="Nitro">'[4]Summary SN FP'!#REF!</definedName>
    <definedName name="nok28072551" localSheetId="0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ok28072551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u" hidden="1">{"cashflow",#N/A,FALSE,"cash flow"}</definedName>
    <definedName name="OOOO" hidden="1">{#N/A,#N/A,TRUE,"SUM";#N/A,#N/A,TRUE,"EE";#N/A,#N/A,TRUE,"AC";#N/A,#N/A,TRUE,"SN"}</definedName>
    <definedName name="OTHER_LAB" localSheetId="0">#REF!</definedName>
    <definedName name="OTHER_LAB">#REF!</definedName>
    <definedName name="OTHER_MAT" localSheetId="0">#REF!</definedName>
    <definedName name="OTHER_MAT">#REF!</definedName>
    <definedName name="Panel" hidden="1">{#N/A,#N/A,TRUE,"SUM";#N/A,#N/A,TRUE,"EE";#N/A,#N/A,TRUE,"AC";#N/A,#N/A,TRUE,"SN"}</definedName>
    <definedName name="Panel_1" hidden="1">{#N/A,#N/A,TRUE,"SUM";#N/A,#N/A,TRUE,"EE";#N/A,#N/A,TRUE,"AC";#N/A,#N/A,TRUE,"SN"}</definedName>
    <definedName name="PBS" localSheetId="0">'[4]Summary SN FP'!#REF!</definedName>
    <definedName name="PBS">'[4]Summary SN FP'!#REF!</definedName>
    <definedName name="pff" hidden="1">{#N/A,#N/A,TRUE,"SUM";#N/A,#N/A,TRUE,"EE";#N/A,#N/A,TRUE,"AC";#N/A,#N/A,TRUE,"SN"}</definedName>
    <definedName name="POSTL" localSheetId="0">#REF!</definedName>
    <definedName name="POSTL">#REF!</definedName>
    <definedName name="POSTM" localSheetId="0">#REF!</definedName>
    <definedName name="POSTM">#REF!</definedName>
    <definedName name="ppp" hidden="1">{#N/A,#N/A,TRUE,"SUM";#N/A,#N/A,TRUE,"EE";#N/A,#N/A,TRUE,"AC";#N/A,#N/A,TRUE,"SN"}</definedName>
    <definedName name="ppp_1" hidden="1">{#N/A,#N/A,TRUE,"SUM";#N/A,#N/A,TRUE,"EE";#N/A,#N/A,TRUE,"AC";#N/A,#N/A,TRUE,"SN"}</definedName>
    <definedName name="PRE_LAB" localSheetId="0">#REF!</definedName>
    <definedName name="PRE_LAB">#REF!</definedName>
    <definedName name="PRE_MAT" localSheetId="0">#REF!</definedName>
    <definedName name="PRE_MAT">#REF!</definedName>
    <definedName name="Preliminary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pri_1" hidden="1">{#N/A,#N/A,TRUE,"Str.";#N/A,#N/A,TRUE,"Steel &amp; Roof";#N/A,#N/A,TRUE,"Arc.";#N/A,#N/A,TRUE,"Preliminary";#N/A,#N/A,TRUE,"Sum_Prelim"}</definedName>
    <definedName name="_xlnm.Print_Area" localSheetId="0">'NKC2-%'!$A$1:$DC$107</definedName>
    <definedName name="PRINT_AREA_MI" localSheetId="0">#REF!</definedName>
    <definedName name="PRINT_AREA_MI">#REF!</definedName>
    <definedName name="_xlnm.Print_Titles">#REF!</definedName>
    <definedName name="PRINT_TITLES_MI" localSheetId="0">#REF!</definedName>
    <definedName name="PRINT_TITLES_MI">#REF!</definedName>
    <definedName name="Progress" hidden="1">{#N/A,#N/A,TRUE,"Str.";#N/A,#N/A,TRUE,"Steel &amp; Roof";#N/A,#N/A,TRUE,"Arc.";#N/A,#N/A,TRUE,"Preliminary";#N/A,#N/A,TRUE,"Sum_Prelim"}</definedName>
    <definedName name="Protection" hidden="1">{#N/A,#N/A,TRUE,"SUM";#N/A,#N/A,TRUE,"EE";#N/A,#N/A,TRUE,"AC";#N/A,#N/A,TRUE,"SN"}</definedName>
    <definedName name="Q" hidden="1">{#N/A,#N/A,TRUE,"SUM";#N/A,#N/A,TRUE,"EE";#N/A,#N/A,TRUE,"AC";#N/A,#N/A,TRUE,"SN"}</definedName>
    <definedName name="Q_1" hidden="1">{#N/A,#N/A,TRUE,"SUM";#N/A,#N/A,TRUE,"EE";#N/A,#N/A,TRUE,"AC";#N/A,#N/A,TRUE,"SN"}</definedName>
    <definedName name="QQQ" hidden="1">{#N/A,#N/A,TRUE,"SUM";#N/A,#N/A,TRUE,"EE";#N/A,#N/A,TRUE,"AC";#N/A,#N/A,TRUE,"SN"}</definedName>
    <definedName name="QQQ_1" hidden="1">{#N/A,#N/A,TRUE,"SUM";#N/A,#N/A,TRUE,"EE";#N/A,#N/A,TRUE,"AC";#N/A,#N/A,TRUE,"SN"}</definedName>
    <definedName name="qqqqq" hidden="1">{"cashflow",#N/A,FALSE,"cash flow"}</definedName>
    <definedName name="qwer" hidden="1">{#N/A,#N/A,TRUE,"SUM";#N/A,#N/A,TRUE,"EE";#N/A,#N/A,TRUE,"AC";#N/A,#N/A,TRUE,"SN"}</definedName>
    <definedName name="Roof_Tank" localSheetId="0">#REF!</definedName>
    <definedName name="Roof_Tank">#REF!</definedName>
    <definedName name="RRT" hidden="1">{#N/A,#N/A,TRUE,"SUM";#N/A,#N/A,TRUE,"EE";#N/A,#N/A,TRUE,"AC";#N/A,#N/A,TRUE,"SN"}</definedName>
    <definedName name="rung" localSheetId="0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rung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s" localSheetId="0">#REF!</definedName>
    <definedName name="s">#REF!</definedName>
    <definedName name="SA" hidden="1">{#N/A,#N/A,TRUE,"SUM";#N/A,#N/A,TRUE,"EE";#N/A,#N/A,TRUE,"AC";#N/A,#N/A,TRUE,"SN"}</definedName>
    <definedName name="SA_1" hidden="1">{#N/A,#N/A,TRUE,"SUM";#N/A,#N/A,TRUE,"EE";#N/A,#N/A,TRUE,"AC";#N/A,#N/A,TRUE,"SN"}</definedName>
    <definedName name="SAN" hidden="1">{#N/A,#N/A,TRUE,"SUM";#N/A,#N/A,TRUE,"EE";#N/A,#N/A,TRUE,"AC";#N/A,#N/A,TRUE,"SN"}</definedName>
    <definedName name="sang" hidden="1">{#N/A,#N/A,TRUE,"Str.";#N/A,#N/A,TRUE,"Steel &amp; Roof";#N/A,#N/A,TRUE,"Arc.";#N/A,#N/A,TRUE,"Preliminary";#N/A,#N/A,TRUE,"Sum_Prelim"}</definedName>
    <definedName name="sdasa" hidden="1">{#N/A,#N/A,TRUE,"SUM";#N/A,#N/A,TRUE,"EE";#N/A,#N/A,TRUE,"AC";#N/A,#N/A,TRUE,"SN"}</definedName>
    <definedName name="SDL" localSheetId="0">#REF!</definedName>
    <definedName name="SDL">#REF!</definedName>
    <definedName name="SDM" localSheetId="0">#REF!</definedName>
    <definedName name="SDM">#REF!</definedName>
    <definedName name="sdr" hidden="1">{"conso",#N/A,FALSE,"cash flow"}</definedName>
    <definedName name="sdtgf" hidden="1">{"conso",#N/A,FALSE,"cash flow"}</definedName>
    <definedName name="sf" localSheetId="0">#REF!</definedName>
    <definedName name="sf">#REF!</definedName>
    <definedName name="sfsdfsdfsdfsdfsfs" hidden="1">{#N/A,#N/A,TRUE,"SUM";#N/A,#N/A,TRUE,"EE";#N/A,#N/A,TRUE,"AC";#N/A,#N/A,TRUE,"SN"}</definedName>
    <definedName name="so" hidden="1">{#N/A,#N/A,TRUE,"SUM";#N/A,#N/A,TRUE,"EE";#N/A,#N/A,TRUE,"AC";#N/A,#N/A,TRUE,"SN"}</definedName>
    <definedName name="soon" hidden="1">{#N/A,#N/A,TRUE,"SUM";#N/A,#N/A,TRUE,"EE";#N/A,#N/A,TRUE,"AC";#N/A,#N/A,TRUE,"SN"}</definedName>
    <definedName name="srf" localSheetId="0">#REF!</definedName>
    <definedName name="srf">#REF!</definedName>
    <definedName name="SRL" localSheetId="0">#REF!</definedName>
    <definedName name="SRL">#REF!</definedName>
    <definedName name="SRM" localSheetId="0">#REF!</definedName>
    <definedName name="SRM">#REF!</definedName>
    <definedName name="SS" hidden="1">{#N/A,#N/A,TRUE,"SUM";#N/A,#N/A,TRUE,"EE";#N/A,#N/A,TRUE,"AC";#N/A,#N/A,TRUE,"SN"}</definedName>
    <definedName name="sta" localSheetId="0">#REF!</definedName>
    <definedName name="sta">#REF!</definedName>
    <definedName name="STRUC_LAB" localSheetId="0">#REF!</definedName>
    <definedName name="STRUC_LAB">#REF!</definedName>
    <definedName name="STRUC_MAT" localSheetId="0">#REF!</definedName>
    <definedName name="STRUC_MAT">#REF!</definedName>
    <definedName name="sum" hidden="1">{#N/A,#N/A,TRUE,"SUM";#N/A,#N/A,TRUE,"EE";#N/A,#N/A,TRUE,"AC";#N/A,#N/A,TRUE,"SN"}</definedName>
    <definedName name="summar" hidden="1">{#N/A,#N/A,TRUE,"SUM";#N/A,#N/A,TRUE,"EE";#N/A,#N/A,TRUE,"AC";#N/A,#N/A,TRUE,"SN"}</definedName>
    <definedName name="summar_1" hidden="1">{#N/A,#N/A,TRUE,"SUM";#N/A,#N/A,TRUE,"EE";#N/A,#N/A,TRUE,"AC";#N/A,#N/A,TRUE,"SN"}</definedName>
    <definedName name="summary" hidden="1">{#N/A,#N/A,TRUE,"SUM";#N/A,#N/A,TRUE,"EE";#N/A,#N/A,TRUE,"AC";#N/A,#N/A,TRUE,"SN"}</definedName>
    <definedName name="summary_1" hidden="1">{#N/A,#N/A,TRUE,"SUM";#N/A,#N/A,TRUE,"EE";#N/A,#N/A,TRUE,"AC";#N/A,#N/A,TRUE,"SN"}</definedName>
    <definedName name="Super" hidden="1">{#N/A,#N/A,TRUE,"Str.";#N/A,#N/A,TRUE,"Steel &amp; Roof";#N/A,#N/A,TRUE,"Arc.";#N/A,#N/A,TRUE,"Preliminary";#N/A,#N/A,TRUE,"Sum_Prelim"}</definedName>
    <definedName name="SWP" localSheetId="0">'[4]Summary SN FP'!#REF!</definedName>
    <definedName name="SWP">'[4]Summary SN FP'!#REF!</definedName>
    <definedName name="SWw" hidden="1">{#N/A,#N/A,TRUE,"SUM";#N/A,#N/A,TRUE,"EE";#N/A,#N/A,TRUE,"AC";#N/A,#N/A,TRUE,"SN"}</definedName>
    <definedName name="te" localSheetId="0">#REF!</definedName>
    <definedName name="te">#REF!</definedName>
    <definedName name="TEST0" localSheetId="0">#REF!</definedName>
    <definedName name="TEST0">#REF!</definedName>
    <definedName name="TESTHKEY" localSheetId="0">#REF!</definedName>
    <definedName name="TESTHKEY">#REF!</definedName>
    <definedName name="TESTKEYS" localSheetId="0">#REF!</definedName>
    <definedName name="TESTKEYS">#REF!</definedName>
    <definedName name="TESTVKEY" localSheetId="0">#REF!</definedName>
    <definedName name="TESTVKEY">#REF!</definedName>
    <definedName name="tewtret" hidden="1">{#N/A,#N/A,TRUE,"SUM";#N/A,#N/A,TRUE,"EE";#N/A,#N/A,TRUE,"AC";#N/A,#N/A,TRUE,"SN"}</definedName>
    <definedName name="tgg" localSheetId="0" hidden="1">#REF!</definedName>
    <definedName name="tgg" hidden="1">#REF!</definedName>
    <definedName name="tna" localSheetId="0">#REF!</definedName>
    <definedName name="tna">#REF!</definedName>
    <definedName name="total2" hidden="1">{#N/A,#N/A,TRUE,"Str.";#N/A,#N/A,TRUE,"Steel &amp; Roof";#N/A,#N/A,TRUE,"Arc.";#N/A,#N/A,TRUE,"Preliminary";#N/A,#N/A,TRUE,"Sum_Prelim"}</definedName>
    <definedName name="Total7" localSheetId="0">[7]BOQ!#REF!</definedName>
    <definedName name="Total7">[7]BOQ!#REF!</definedName>
    <definedName name="Total9">[7]BOQ!$I$107</definedName>
    <definedName name="tretert" hidden="1">{#N/A,#N/A,TRUE,"SUM";#N/A,#N/A,TRUE,"EE";#N/A,#N/A,TRUE,"AC";#N/A,#N/A,TRUE,"SN"}</definedName>
    <definedName name="ttt" localSheetId="0">#REF!</definedName>
    <definedName name="ttt">#REF!</definedName>
    <definedName name="tttttttttttttttt" localSheetId="0" hidden="1">#REF!</definedName>
    <definedName name="tttttttttttttttt" hidden="1">#REF!</definedName>
    <definedName name="tyhyh" hidden="1">{"conso",#N/A,FALSE,"cash flow"}</definedName>
    <definedName name="VEN" hidden="1">{#N/A,#N/A,TRUE,"SUM";#N/A,#N/A,TRUE,"EE";#N/A,#N/A,TRUE,"AC";#N/A,#N/A,TRUE,"SN"}</definedName>
    <definedName name="VEN_1" hidden="1">{#N/A,#N/A,TRUE,"SUM";#N/A,#N/A,TRUE,"EE";#N/A,#N/A,TRUE,"AC";#N/A,#N/A,TRUE,"SN"}</definedName>
    <definedName name="W" localSheetId="0">#REF!</definedName>
    <definedName name="W">#REF!</definedName>
    <definedName name="wall_Tank" localSheetId="0">#REF!</definedName>
    <definedName name="wall_Tank">#REF!</definedName>
    <definedName name="werete" hidden="1">{#N/A,#N/A,TRUE,"SUM";#N/A,#N/A,TRUE,"EE";#N/A,#N/A,TRUE,"AC";#N/A,#N/A,TRUE,"SN"}</definedName>
    <definedName name="werewr" hidden="1">{#N/A,#N/A,TRUE,"SUM";#N/A,#N/A,TRUE,"EE";#N/A,#N/A,TRUE,"AC";#N/A,#N/A,TRUE,"SN"}</definedName>
    <definedName name="werewrt" hidden="1">{#N/A,#N/A,TRUE,"SUM";#N/A,#N/A,TRUE,"EE";#N/A,#N/A,TRUE,"AC";#N/A,#N/A,TRUE,"SN"}</definedName>
    <definedName name="werwert" hidden="1">{#N/A,#N/A,TRUE,"SUM";#N/A,#N/A,TRUE,"EE";#N/A,#N/A,TRUE,"AC";#N/A,#N/A,TRUE,"SN"}</definedName>
    <definedName name="wery" hidden="1">{#N/A,#N/A,TRUE,"Str.";#N/A,#N/A,TRUE,"Steel &amp; Roof";#N/A,#N/A,TRUE,"Arc.";#N/A,#N/A,TRUE,"Preliminary";#N/A,#N/A,TRUE,"Sum_Prelim"}</definedName>
    <definedName name="wery_1" hidden="1">{#N/A,#N/A,TRUE,"Str.";#N/A,#N/A,TRUE,"Steel &amp; Roof";#N/A,#N/A,TRUE,"Arc.";#N/A,#N/A,TRUE,"Preliminary";#N/A,#N/A,TRUE,"Sum_Prelim"}</definedName>
    <definedName name="wqwqwq" localSheetId="0" hidden="1">#REF!</definedName>
    <definedName name="wqwqwq" hidden="1">#REF!</definedName>
    <definedName name="wrn.A." hidden="1">{#N/A,#N/A,TRUE,"SUM";#N/A,#N/A,TRUE,"EE";#N/A,#N/A,TRUE,"AC";#N/A,#N/A,TRUE,"SN"}</definedName>
    <definedName name="wrn.A._1" hidden="1">{#N/A,#N/A,TRUE,"SUM";#N/A,#N/A,TRUE,"EE";#N/A,#N/A,TRUE,"AC";#N/A,#N/A,TRUE,"SN"}</definedName>
    <definedName name="wrn.BILLS._.OF._.QUANTITY." hidden="1">{#N/A,#N/A,TRUE,"Str.";#N/A,#N/A,TRUE,"Steel &amp; Roof";#N/A,#N/A,TRUE,"Arc.";#N/A,#N/A,TRUE,"Preliminary";#N/A,#N/A,TRUE,"Sum_Prelim"}</definedName>
    <definedName name="wrn.BILLS._.OF._.QUANTITY._1" hidden="1">{#N/A,#N/A,TRUE,"Str.";#N/A,#N/A,TRUE,"Steel &amp; Roof";#N/A,#N/A,TRUE,"Arc.";#N/A,#N/A,TRUE,"Preliminary";#N/A,#N/A,TRUE,"Sum_Prelim"}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hidden="1">{#N/A,#N/A,FALSE,"Sum_BOQ";#N/A,#N/A,FALSE,"Preliminary";#N/A,#N/A,FALSE,"Sum_Prelim";#N/A,#N/A,FALSE,"Prime Cost&amp;Prov_sum"}</definedName>
    <definedName name="wrn.Cashflow." hidden="1">{"cashflow",#N/A,FALSE,"cash flow"}</definedName>
    <definedName name="wrn.conso." hidden="1">{"conso",#N/A,FALSE,"cash flow"}</definedName>
    <definedName name="wrwer" hidden="1">{#N/A,#N/A,TRUE,"SUM";#N/A,#N/A,TRUE,"EE";#N/A,#N/A,TRUE,"AC";#N/A,#N/A,TRUE,"SN"}</definedName>
    <definedName name="ww" hidden="1">{#N/A,#N/A,TRUE,"Str.";#N/A,#N/A,TRUE,"Steel &amp; Roof";#N/A,#N/A,TRUE,"Arc.";#N/A,#N/A,TRUE,"Preliminary";#N/A,#N/A,TRUE,"Sum_Prelim"}</definedName>
    <definedName name="WWT" localSheetId="0">'[4]Summary SN FP'!#REF!</definedName>
    <definedName name="WWT">'[4]Summary SN FP'!#REF!</definedName>
    <definedName name="www" hidden="1">{#N/A,#N/A,TRUE,"SUM";#N/A,#N/A,TRUE,"EE";#N/A,#N/A,TRUE,"AC";#N/A,#N/A,TRUE,"SN"}</definedName>
    <definedName name="xAdcad" localSheetId="0">#REF!</definedName>
    <definedName name="xAdcad">#REF!</definedName>
    <definedName name="xsd" hidden="1">{"conso",#N/A,FALSE,"cash flow"}</definedName>
    <definedName name="xwe" localSheetId="0" hidden="1">#REF!</definedName>
    <definedName name="xwe" hidden="1">#REF!</definedName>
    <definedName name="XX" hidden="1">{#N/A,#N/A,TRUE,"SUM";#N/A,#N/A,TRUE,"EE";#N/A,#N/A,TRUE,"AC";#N/A,#N/A,TRUE,"SN"}</definedName>
    <definedName name="y" localSheetId="0">#REF!</definedName>
    <definedName name="y">#REF!</definedName>
    <definedName name="Zone" hidden="1">{#N/A,#N/A,TRUE,"Str.";#N/A,#N/A,TRUE,"Steel &amp; Roof";#N/A,#N/A,TRUE,"Arc.";#N/A,#N/A,TRUE,"Preliminary";#N/A,#N/A,TRUE,"Sum_Prelim"}</definedName>
    <definedName name="เด้" hidden="1">{#N/A,#N/A,TRUE,"SUM";#N/A,#N/A,TRUE,"EE";#N/A,#N/A,TRUE,"AC";#N/A,#N/A,TRUE,"SN"}</definedName>
    <definedName name="ใบ" hidden="1">{"'SUMMATION'!$B$2:$I$2"}</definedName>
    <definedName name="ไฟฟ_า_ภายใน" localSheetId="0">#REF!</definedName>
    <definedName name="ไฟฟ_า_ภายใน">#REF!</definedName>
    <definedName name="ไฟฟ้า_ภายใน" localSheetId="0">#REF!</definedName>
    <definedName name="ไฟฟ้า_ภายใน">#REF!</definedName>
    <definedName name="กกก" localSheetId="0" hidden="1">#REF!</definedName>
    <definedName name="กกก" hidden="1">#REF!</definedName>
    <definedName name="ค่าแบบข้าง">'[9]ค่าดำเนินการ+ค่าเสื่อมฯ28.5฿'!$I$58</definedName>
    <definedName name="ค่าขนส่งดิน">[5]สรุปค่าขนส่ง!$M$6</definedName>
    <definedName name="ค่าบ่มผิวทางคอนกรีต">'[9]ค่าดำเนินการ+ค่าเสื่อมฯ28.5฿'!$I$62</definedName>
    <definedName name="ค่าวางแผงเหล็ก">'[9]ค่าดำเนินการ+ค่าเสื่อมฯ28.5฿'!$I$87</definedName>
    <definedName name="งวดงาน" localSheetId="0">#REF!</definedName>
    <definedName name="งวดงาน">#REF!</definedName>
    <definedName name="งานเข_ม" localSheetId="0">'[10]4.AR.'!#REF!</definedName>
    <definedName name="งานเข_ม">'[10]4.AR.'!#REF!</definedName>
    <definedName name="งานเตร_ยมการ" localSheetId="0">'[10]4.AR.'!#REF!</definedName>
    <definedName name="งานเตร_ยมการ">'[10]4.AR.'!#REF!</definedName>
    <definedName name="งานโครงสร_าง" localSheetId="0">'[10]4.AR.'!#REF!</definedName>
    <definedName name="งานโครงสร_าง">'[10]4.AR.'!#REF!</definedName>
    <definedName name="งานไฟฟ_า" localSheetId="0">#REF!</definedName>
    <definedName name="งานไฟฟ_า">#REF!</definedName>
    <definedName name="งานไฟฟ้า" localSheetId="0">#REF!</definedName>
    <definedName name="งานไฟฟ้า">#REF!</definedName>
    <definedName name="งานตกแต_งภายใน" localSheetId="0">'[10]4.AR.'!#REF!</definedName>
    <definedName name="งานตกแต_งภายใน">'[10]4.AR.'!#REF!</definedName>
    <definedName name="งานภ_ม_ท_ศน_" localSheetId="0">'[10]4.AR.'!#REF!</definedName>
    <definedName name="งานภ_ม_ท_ศน_">'[10]4.AR.'!#REF!</definedName>
    <definedName name="งานระบบไฟฟ_าและส__อสาร" localSheetId="0">'[10]4.AR.'!#REF!</definedName>
    <definedName name="งานระบบไฟฟ_าและส__อสาร">'[10]4.AR.'!#REF!</definedName>
    <definedName name="งานระบบทางการแพทย_" localSheetId="0">'[10]4.AR.'!#REF!</definedName>
    <definedName name="งานระบบทางการแพทย_">'[10]4.AR.'!#REF!</definedName>
    <definedName name="งานระบบปร_บอากาศและระบายอากาศ" localSheetId="0">'[10]4.AR.'!#REF!</definedName>
    <definedName name="งานระบบปร_บอากาศและระบายอากาศ">'[10]4.AR.'!#REF!</definedName>
    <definedName name="งานอ__น_ๆ" localSheetId="0">'[10]4.AR.'!#REF!</definedName>
    <definedName name="งานอ__น_ๆ">'[10]4.AR.'!#REF!</definedName>
    <definedName name="จดหมาย" hidden="1">{#N/A,#N/A,TRUE,"Str.";#N/A,#N/A,TRUE,"Steel &amp; Roof";#N/A,#N/A,TRUE,"Arc.";#N/A,#N/A,TRUE,"Preliminary";#N/A,#N/A,TRUE,"Sum_Prelim"}</definedName>
    <definedName name="จดหมาย_1" hidden="1">{#N/A,#N/A,TRUE,"Str.";#N/A,#N/A,TRUE,"Steel &amp; Roof";#N/A,#N/A,TRUE,"Arc.";#N/A,#N/A,TRUE,"Preliminary";#N/A,#N/A,TRUE,"Sum_Prelim"}</definedName>
    <definedName name="ด" localSheetId="0">#REF!</definedName>
    <definedName name="ด">#REF!</definedName>
    <definedName name="ถ_ง" localSheetId="0">#REF!</definedName>
    <definedName name="ถ_ง">#REF!</definedName>
    <definedName name="ถ_งเก_บน_ำช__นบน" localSheetId="0">#REF!</definedName>
    <definedName name="ถ_งเก_บน_ำช__นบน">#REF!</definedName>
    <definedName name="ถังเก็บน้ำชั้นบน" localSheetId="0">#REF!</definedName>
    <definedName name="ถังเก็บน้ำชั้นบน">#REF!</definedName>
    <definedName name="ถุง" localSheetId="0">#REF!</definedName>
    <definedName name="ถุง">#REF!</definedName>
    <definedName name="ป" localSheetId="0">#REF!</definedName>
    <definedName name="ป">#REF!</definedName>
    <definedName name="ปก32" hidden="1">{"'SUMMATION'!$B$2:$I$2"}</definedName>
    <definedName name="พ__นสำเร_จร_ป" localSheetId="0">#REF!</definedName>
    <definedName name="พ__นสำเร_จร_ป">#REF!</definedName>
    <definedName name="พื้นสำเร็จรูป" localSheetId="0">#REF!</definedName>
    <definedName name="พื้นสำเร็จรูป">#REF!</definedName>
    <definedName name="ฟ700" localSheetId="0">'[8]EE-SIMC'!#REF!</definedName>
    <definedName name="ฟ700">'[8]EE-SIMC'!#REF!</definedName>
    <definedName name="ภายใน" localSheetId="0">#REF!</definedName>
    <definedName name="ภายใน">#REF!</definedName>
    <definedName name="ยำยำ" localSheetId="0">#REF!</definedName>
    <definedName name="ยำยำ">#REF!</definedName>
    <definedName name="รวม" hidden="1">{#N/A,#N/A,TRUE,"Str.";#N/A,#N/A,TRUE,"Steel &amp; Roof";#N/A,#N/A,TRUE,"Arc.";#N/A,#N/A,TRUE,"Preliminary";#N/A,#N/A,TRUE,"Sum_Prelim"}</definedName>
    <definedName name="ลลล" hidden="1">{#N/A,#N/A,TRUE,"SUM";#N/A,#N/A,TRUE,"EE";#N/A,#N/A,TRUE,"AC";#N/A,#N/A,TRUE,"SN"}</definedName>
    <definedName name="ลลล_1" hidden="1">{#N/A,#N/A,TRUE,"SUM";#N/A,#N/A,TRUE,"EE";#N/A,#N/A,TRUE,"AC";#N/A,#N/A,TRUE,"SN"}</definedName>
    <definedName name="สำเริง" hidden="1">{#N/A,#N/A,TRUE,"Str.";#N/A,#N/A,TRUE,"Steel &amp; Roof";#N/A,#N/A,TRUE,"Arc.";#N/A,#N/A,TRUE,"Preliminary";#N/A,#N/A,TRUE,"Sum_Prelim"}</definedName>
    <definedName name="ห_ช_าง" localSheetId="0">#REF!</definedName>
    <definedName name="ห_ช_าง">#REF!</definedName>
    <definedName name="หมวดค่าครุภัณฑ์" localSheetId="0">#REF!</definedName>
    <definedName name="หมวดค่าครุภัณฑ์">#REF!</definedName>
    <definedName name="หูช้าง" localSheetId="0">#REF!</definedName>
    <definedName name="หูช้าง">#REF!</definedName>
    <definedName name="หๆไ" localSheetId="0" hidden="1">#REF!</definedName>
    <definedName name="หๆไ" hidden="1">#REF!</definedName>
    <definedName name="อ" localSheetId="0">#REF!</definedName>
    <definedName name="อ">#REF!</definedName>
    <definedName name="岡田" hidden="1">{#N/A,#N/A,TRUE,"SUM";#N/A,#N/A,TRUE,"EE";#N/A,#N/A,TRUE,"AC";#N/A,#N/A,TRUE,"SN"}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" i="64" l="1"/>
  <c r="E12" i="64"/>
  <c r="D3" i="65"/>
  <c r="D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AR4" i="65"/>
  <c r="AS4" i="65"/>
  <c r="AT4" i="65"/>
  <c r="AU4" i="65"/>
  <c r="AV4" i="65"/>
  <c r="AW4" i="65"/>
  <c r="AX4" i="65"/>
  <c r="AY4" i="65"/>
  <c r="AZ4" i="65"/>
  <c r="BA4" i="65"/>
  <c r="BB4" i="65"/>
  <c r="BC4" i="65"/>
  <c r="BD4" i="65"/>
  <c r="BE4" i="65"/>
  <c r="BF4" i="65"/>
  <c r="BG4" i="65"/>
  <c r="BH4" i="65"/>
  <c r="BI4" i="65"/>
  <c r="BJ4" i="65"/>
  <c r="BK4" i="65"/>
  <c r="BL4" i="65"/>
  <c r="BM4" i="65"/>
  <c r="BN4" i="65"/>
  <c r="BO4" i="65"/>
  <c r="BP4" i="65"/>
  <c r="BQ4" i="65"/>
  <c r="BR4" i="65"/>
  <c r="BS4" i="65"/>
  <c r="BT4" i="65"/>
  <c r="BU4" i="65"/>
  <c r="BV4" i="65"/>
  <c r="BW4" i="65"/>
  <c r="BX4" i="65"/>
  <c r="BY4" i="65"/>
  <c r="BZ4" i="65"/>
  <c r="CA4" i="65"/>
  <c r="CB4" i="65"/>
  <c r="CC4" i="65"/>
  <c r="CD4" i="65"/>
  <c r="CE4" i="65"/>
  <c r="CF4" i="65"/>
  <c r="CG4" i="65"/>
  <c r="CH4" i="65"/>
  <c r="CI4" i="65"/>
  <c r="D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AZ5" i="65"/>
  <c r="BA5" i="65"/>
  <c r="BB5" i="65"/>
  <c r="BC5" i="65"/>
  <c r="BD5" i="65"/>
  <c r="BE5" i="65"/>
  <c r="BF5" i="65"/>
  <c r="BG5" i="65"/>
  <c r="BH5" i="65"/>
  <c r="BI5" i="65"/>
  <c r="BJ5" i="65"/>
  <c r="BK5" i="65"/>
  <c r="BL5" i="65"/>
  <c r="BM5" i="65"/>
  <c r="BN5" i="65"/>
  <c r="BO5" i="65"/>
  <c r="BP5" i="65"/>
  <c r="BQ5" i="65"/>
  <c r="BR5" i="65"/>
  <c r="BS5" i="65"/>
  <c r="BT5" i="65"/>
  <c r="BU5" i="65"/>
  <c r="BV5" i="65"/>
  <c r="BW5" i="65"/>
  <c r="BX5" i="65"/>
  <c r="BY5" i="65"/>
  <c r="BZ5" i="65"/>
  <c r="CA5" i="65"/>
  <c r="CB5" i="65"/>
  <c r="CC5" i="65"/>
  <c r="CD5" i="65"/>
  <c r="CE5" i="65"/>
  <c r="CF5" i="65"/>
  <c r="CG5" i="65"/>
  <c r="CH5" i="65"/>
  <c r="CI5" i="65"/>
  <c r="D6" i="65"/>
  <c r="D7" i="65"/>
  <c r="D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AZ8" i="65"/>
  <c r="BA8" i="65"/>
  <c r="BB8" i="65"/>
  <c r="BC8" i="65"/>
  <c r="BD8" i="65"/>
  <c r="BE8" i="65"/>
  <c r="BF8" i="65"/>
  <c r="BG8" i="65"/>
  <c r="BH8" i="65"/>
  <c r="BI8" i="65"/>
  <c r="BJ8" i="65"/>
  <c r="BK8" i="65"/>
  <c r="BL8" i="65"/>
  <c r="BM8" i="65"/>
  <c r="BN8" i="65"/>
  <c r="BO8" i="65"/>
  <c r="BP8" i="65"/>
  <c r="BQ8" i="65"/>
  <c r="BR8" i="65"/>
  <c r="BS8" i="65"/>
  <c r="BT8" i="65"/>
  <c r="BU8" i="65"/>
  <c r="BV8" i="65"/>
  <c r="BW8" i="65"/>
  <c r="BX8" i="65"/>
  <c r="BY8" i="65"/>
  <c r="BZ8" i="65"/>
  <c r="CA8" i="65"/>
  <c r="CB8" i="65"/>
  <c r="CC8" i="65"/>
  <c r="CD8" i="65"/>
  <c r="CE8" i="65"/>
  <c r="CF8" i="65"/>
  <c r="CG8" i="65"/>
  <c r="CH8" i="65"/>
  <c r="CI8" i="65"/>
  <c r="D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AZ9" i="65"/>
  <c r="BA9" i="65"/>
  <c r="BB9" i="65"/>
  <c r="BC9" i="65"/>
  <c r="BD9" i="65"/>
  <c r="BE9" i="65"/>
  <c r="BF9" i="65"/>
  <c r="BG9" i="65"/>
  <c r="BH9" i="65"/>
  <c r="BI9" i="65"/>
  <c r="BJ9" i="65"/>
  <c r="BK9" i="65"/>
  <c r="BL9" i="65"/>
  <c r="BM9" i="65"/>
  <c r="BN9" i="65"/>
  <c r="BO9" i="65"/>
  <c r="BP9" i="65"/>
  <c r="BQ9" i="65"/>
  <c r="BR9" i="65"/>
  <c r="BS9" i="65"/>
  <c r="BT9" i="65"/>
  <c r="BU9" i="65"/>
  <c r="BV9" i="65"/>
  <c r="BW9" i="65"/>
  <c r="BX9" i="65"/>
  <c r="BY9" i="65"/>
  <c r="BZ9" i="65"/>
  <c r="CA9" i="65"/>
  <c r="CB9" i="65"/>
  <c r="CC9" i="65"/>
  <c r="CD9" i="65"/>
  <c r="CE9" i="65"/>
  <c r="CF9" i="65"/>
  <c r="CG9" i="65"/>
  <c r="CH9" i="65"/>
  <c r="CI9" i="65"/>
  <c r="D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AR10" i="65"/>
  <c r="AS10" i="65"/>
  <c r="AT10" i="65"/>
  <c r="AU10" i="65"/>
  <c r="AV10" i="65"/>
  <c r="AW10" i="65"/>
  <c r="AX10" i="65"/>
  <c r="AY10" i="65"/>
  <c r="AZ10" i="65"/>
  <c r="BA10" i="65"/>
  <c r="BB10" i="65"/>
  <c r="BC10" i="65"/>
  <c r="BD10" i="65"/>
  <c r="BE10" i="65"/>
  <c r="BF10" i="65"/>
  <c r="BG10" i="65"/>
  <c r="BH10" i="65"/>
  <c r="BI10" i="65"/>
  <c r="BJ10" i="65"/>
  <c r="BK10" i="65"/>
  <c r="BL10" i="65"/>
  <c r="BM10" i="65"/>
  <c r="BN10" i="65"/>
  <c r="BO10" i="65"/>
  <c r="BP10" i="65"/>
  <c r="BQ10" i="65"/>
  <c r="BR10" i="65"/>
  <c r="BS10" i="65"/>
  <c r="BT10" i="65"/>
  <c r="BU10" i="65"/>
  <c r="BV10" i="65"/>
  <c r="BW10" i="65"/>
  <c r="BX10" i="65"/>
  <c r="BY10" i="65"/>
  <c r="BZ10" i="65"/>
  <c r="CA10" i="65"/>
  <c r="CB10" i="65"/>
  <c r="CC10" i="65"/>
  <c r="CD10" i="65"/>
  <c r="CE10" i="65"/>
  <c r="CF10" i="65"/>
  <c r="CG10" i="65"/>
  <c r="CH10" i="65"/>
  <c r="CI10" i="65"/>
  <c r="D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AZ11" i="65"/>
  <c r="BA11" i="65"/>
  <c r="BB11" i="65"/>
  <c r="BC11" i="65"/>
  <c r="BD11" i="65"/>
  <c r="BE11" i="65"/>
  <c r="BF11" i="65"/>
  <c r="BG11" i="65"/>
  <c r="BH11" i="65"/>
  <c r="BI11" i="65"/>
  <c r="BJ11" i="65"/>
  <c r="BK11" i="65"/>
  <c r="BL11" i="65"/>
  <c r="BM11" i="65"/>
  <c r="BN11" i="65"/>
  <c r="BO11" i="65"/>
  <c r="BP11" i="65"/>
  <c r="BQ11" i="65"/>
  <c r="BR11" i="65"/>
  <c r="BS11" i="65"/>
  <c r="BT11" i="65"/>
  <c r="BU11" i="65"/>
  <c r="BV11" i="65"/>
  <c r="BW11" i="65"/>
  <c r="BX11" i="65"/>
  <c r="BY11" i="65"/>
  <c r="BZ11" i="65"/>
  <c r="CA11" i="65"/>
  <c r="CB11" i="65"/>
  <c r="CC11" i="65"/>
  <c r="CD11" i="65"/>
  <c r="CE11" i="65"/>
  <c r="CF11" i="65"/>
  <c r="CG11" i="65"/>
  <c r="CH11" i="65"/>
  <c r="CI11" i="65"/>
  <c r="D12" i="65"/>
  <c r="F12" i="65"/>
  <c r="G12" i="65"/>
  <c r="H12" i="65"/>
  <c r="I12" i="65"/>
  <c r="J12" i="65"/>
  <c r="K12" i="65"/>
  <c r="L12" i="65"/>
  <c r="M12" i="65"/>
  <c r="N12" i="65"/>
  <c r="O12" i="65"/>
  <c r="P12" i="65"/>
  <c r="Q12" i="65"/>
  <c r="R12" i="65"/>
  <c r="S12" i="65"/>
  <c r="T12" i="65"/>
  <c r="U12" i="65"/>
  <c r="V12" i="65"/>
  <c r="W12" i="65"/>
  <c r="X12" i="65"/>
  <c r="Y12" i="65"/>
  <c r="Z12" i="65"/>
  <c r="AA12" i="65"/>
  <c r="AB12" i="65"/>
  <c r="AC12" i="65"/>
  <c r="AD12" i="65"/>
  <c r="AE12" i="65"/>
  <c r="AF12" i="65"/>
  <c r="AG12" i="65"/>
  <c r="AH12" i="65"/>
  <c r="AI12" i="65"/>
  <c r="AJ12" i="65"/>
  <c r="AK12" i="65"/>
  <c r="AL12" i="65"/>
  <c r="AM12" i="65"/>
  <c r="AN12" i="65"/>
  <c r="AO12" i="65"/>
  <c r="AP12" i="65"/>
  <c r="AQ12" i="65"/>
  <c r="AR12" i="65"/>
  <c r="AS12" i="65"/>
  <c r="AT12" i="65"/>
  <c r="AU12" i="65"/>
  <c r="AV12" i="65"/>
  <c r="AW12" i="65"/>
  <c r="AX12" i="65"/>
  <c r="AY12" i="65"/>
  <c r="AZ12" i="65"/>
  <c r="BA12" i="65"/>
  <c r="BB12" i="65"/>
  <c r="BC12" i="65"/>
  <c r="BD12" i="65"/>
  <c r="BE12" i="65"/>
  <c r="BF12" i="65"/>
  <c r="BG12" i="65"/>
  <c r="BH12" i="65"/>
  <c r="BI12" i="65"/>
  <c r="BJ12" i="65"/>
  <c r="BK12" i="65"/>
  <c r="BL12" i="65"/>
  <c r="BM12" i="65"/>
  <c r="BN12" i="65"/>
  <c r="BO12" i="65"/>
  <c r="BP12" i="65"/>
  <c r="BQ12" i="65"/>
  <c r="BR12" i="65"/>
  <c r="BS12" i="65"/>
  <c r="BT12" i="65"/>
  <c r="BU12" i="65"/>
  <c r="BV12" i="65"/>
  <c r="BW12" i="65"/>
  <c r="BX12" i="65"/>
  <c r="BY12" i="65"/>
  <c r="BZ12" i="65"/>
  <c r="CA12" i="65"/>
  <c r="CB12" i="65"/>
  <c r="CC12" i="65"/>
  <c r="CD12" i="65"/>
  <c r="CE12" i="65"/>
  <c r="CF12" i="65"/>
  <c r="CG12" i="65"/>
  <c r="CH12" i="65"/>
  <c r="CI12" i="65"/>
  <c r="D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AR13" i="65"/>
  <c r="AS13" i="65"/>
  <c r="AT13" i="65"/>
  <c r="AU13" i="65"/>
  <c r="AV13" i="65"/>
  <c r="AW13" i="65"/>
  <c r="AX13" i="65"/>
  <c r="AY13" i="65"/>
  <c r="AZ13" i="65"/>
  <c r="BA13" i="65"/>
  <c r="BB13" i="65"/>
  <c r="BC13" i="65"/>
  <c r="BD13" i="65"/>
  <c r="BE13" i="65"/>
  <c r="BF13" i="65"/>
  <c r="BG13" i="65"/>
  <c r="BH13" i="65"/>
  <c r="BI13" i="65"/>
  <c r="BJ13" i="65"/>
  <c r="BK13" i="65"/>
  <c r="BL13" i="65"/>
  <c r="BM13" i="65"/>
  <c r="BN13" i="65"/>
  <c r="BO13" i="65"/>
  <c r="BP13" i="65"/>
  <c r="BQ13" i="65"/>
  <c r="BR13" i="65"/>
  <c r="BS13" i="65"/>
  <c r="BT13" i="65"/>
  <c r="BU13" i="65"/>
  <c r="BV13" i="65"/>
  <c r="BW13" i="65"/>
  <c r="BX13" i="65"/>
  <c r="BY13" i="65"/>
  <c r="BZ13" i="65"/>
  <c r="CA13" i="65"/>
  <c r="CB13" i="65"/>
  <c r="CC13" i="65"/>
  <c r="CD13" i="65"/>
  <c r="CE13" i="65"/>
  <c r="CF13" i="65"/>
  <c r="CG13" i="65"/>
  <c r="CH13" i="65"/>
  <c r="CI13" i="65"/>
  <c r="D14" i="65"/>
  <c r="F14" i="65"/>
  <c r="G14" i="65"/>
  <c r="H14" i="65"/>
  <c r="I14" i="65"/>
  <c r="J14" i="65"/>
  <c r="K14" i="65"/>
  <c r="L14" i="65"/>
  <c r="M14" i="65"/>
  <c r="N14" i="65"/>
  <c r="O14" i="65"/>
  <c r="P14" i="65"/>
  <c r="Q14" i="65"/>
  <c r="R14" i="65"/>
  <c r="S14" i="65"/>
  <c r="T14" i="65"/>
  <c r="U14" i="65"/>
  <c r="V14" i="65"/>
  <c r="W14" i="65"/>
  <c r="X14" i="65"/>
  <c r="Y14" i="65"/>
  <c r="Z14" i="65"/>
  <c r="AA14" i="65"/>
  <c r="AB14" i="65"/>
  <c r="AC14" i="65"/>
  <c r="AD14" i="65"/>
  <c r="AE14" i="65"/>
  <c r="AF14" i="65"/>
  <c r="AG14" i="65"/>
  <c r="AH14" i="65"/>
  <c r="AI14" i="65"/>
  <c r="AJ14" i="65"/>
  <c r="AK14" i="65"/>
  <c r="AL14" i="65"/>
  <c r="AM14" i="65"/>
  <c r="AN14" i="65"/>
  <c r="AO14" i="65"/>
  <c r="AP14" i="65"/>
  <c r="AQ14" i="65"/>
  <c r="AR14" i="65"/>
  <c r="AS14" i="65"/>
  <c r="AT14" i="65"/>
  <c r="AU14" i="65"/>
  <c r="AV14" i="65"/>
  <c r="AW14" i="65"/>
  <c r="AX14" i="65"/>
  <c r="AY14" i="65"/>
  <c r="AZ14" i="65"/>
  <c r="BA14" i="65"/>
  <c r="BB14" i="65"/>
  <c r="BC14" i="65"/>
  <c r="BD14" i="65"/>
  <c r="BE14" i="65"/>
  <c r="BF14" i="65"/>
  <c r="BG14" i="65"/>
  <c r="BH14" i="65"/>
  <c r="BI14" i="65"/>
  <c r="BJ14" i="65"/>
  <c r="BK14" i="65"/>
  <c r="BL14" i="65"/>
  <c r="BM14" i="65"/>
  <c r="BN14" i="65"/>
  <c r="BO14" i="65"/>
  <c r="BP14" i="65"/>
  <c r="BQ14" i="65"/>
  <c r="BR14" i="65"/>
  <c r="BS14" i="65"/>
  <c r="BT14" i="65"/>
  <c r="BU14" i="65"/>
  <c r="BV14" i="65"/>
  <c r="BW14" i="65"/>
  <c r="BX14" i="65"/>
  <c r="BY14" i="65"/>
  <c r="BZ14" i="65"/>
  <c r="CA14" i="65"/>
  <c r="CB14" i="65"/>
  <c r="CC14" i="65"/>
  <c r="CD14" i="65"/>
  <c r="CE14" i="65"/>
  <c r="CF14" i="65"/>
  <c r="CG14" i="65"/>
  <c r="CH14" i="65"/>
  <c r="CI14" i="65"/>
  <c r="D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AR15" i="65"/>
  <c r="AS15" i="65"/>
  <c r="AT15" i="65"/>
  <c r="AU15" i="65"/>
  <c r="AV15" i="65"/>
  <c r="AW15" i="65"/>
  <c r="AX15" i="65"/>
  <c r="AY15" i="65"/>
  <c r="AZ15" i="65"/>
  <c r="BA15" i="65"/>
  <c r="BB15" i="65"/>
  <c r="BC15" i="65"/>
  <c r="BD15" i="65"/>
  <c r="BE15" i="65"/>
  <c r="BF15" i="65"/>
  <c r="BG15" i="65"/>
  <c r="BH15" i="65"/>
  <c r="BI15" i="65"/>
  <c r="BJ15" i="65"/>
  <c r="BK15" i="65"/>
  <c r="BL15" i="65"/>
  <c r="BM15" i="65"/>
  <c r="BN15" i="65"/>
  <c r="BO15" i="65"/>
  <c r="BP15" i="65"/>
  <c r="BQ15" i="65"/>
  <c r="BR15" i="65"/>
  <c r="BS15" i="65"/>
  <c r="BT15" i="65"/>
  <c r="BU15" i="65"/>
  <c r="BV15" i="65"/>
  <c r="BW15" i="65"/>
  <c r="BX15" i="65"/>
  <c r="BY15" i="65"/>
  <c r="BZ15" i="65"/>
  <c r="CA15" i="65"/>
  <c r="CB15" i="65"/>
  <c r="CC15" i="65"/>
  <c r="CD15" i="65"/>
  <c r="CE15" i="65"/>
  <c r="CF15" i="65"/>
  <c r="CG15" i="65"/>
  <c r="CH15" i="65"/>
  <c r="CI15" i="65"/>
  <c r="D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AR16" i="65"/>
  <c r="AS16" i="65"/>
  <c r="AT16" i="65"/>
  <c r="AU16" i="65"/>
  <c r="AV16" i="65"/>
  <c r="AW16" i="65"/>
  <c r="AX16" i="65"/>
  <c r="AY16" i="65"/>
  <c r="AZ16" i="65"/>
  <c r="BA16" i="65"/>
  <c r="BB16" i="65"/>
  <c r="BC16" i="65"/>
  <c r="BD16" i="65"/>
  <c r="BE16" i="65"/>
  <c r="BF16" i="65"/>
  <c r="BG16" i="65"/>
  <c r="BH16" i="65"/>
  <c r="BI16" i="65"/>
  <c r="BJ16" i="65"/>
  <c r="BK16" i="65"/>
  <c r="BL16" i="65"/>
  <c r="BM16" i="65"/>
  <c r="BN16" i="65"/>
  <c r="BO16" i="65"/>
  <c r="BP16" i="65"/>
  <c r="BQ16" i="65"/>
  <c r="BR16" i="65"/>
  <c r="BS16" i="65"/>
  <c r="BT16" i="65"/>
  <c r="BU16" i="65"/>
  <c r="BV16" i="65"/>
  <c r="BW16" i="65"/>
  <c r="BX16" i="65"/>
  <c r="BY16" i="65"/>
  <c r="BZ16" i="65"/>
  <c r="CA16" i="65"/>
  <c r="CB16" i="65"/>
  <c r="CC16" i="65"/>
  <c r="CD16" i="65"/>
  <c r="CE16" i="65"/>
  <c r="CF16" i="65"/>
  <c r="CG16" i="65"/>
  <c r="CH16" i="65"/>
  <c r="CI16" i="65"/>
  <c r="D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AR17" i="65"/>
  <c r="AS17" i="65"/>
  <c r="AT17" i="65"/>
  <c r="AU17" i="65"/>
  <c r="AV17" i="65"/>
  <c r="AW17" i="65"/>
  <c r="AX17" i="65"/>
  <c r="AY17" i="65"/>
  <c r="AZ17" i="65"/>
  <c r="BA17" i="65"/>
  <c r="BB17" i="65"/>
  <c r="BC17" i="65"/>
  <c r="BD17" i="65"/>
  <c r="BE17" i="65"/>
  <c r="BF17" i="65"/>
  <c r="BG17" i="65"/>
  <c r="BH17" i="65"/>
  <c r="BI17" i="65"/>
  <c r="BJ17" i="65"/>
  <c r="BK17" i="65"/>
  <c r="BL17" i="65"/>
  <c r="BM17" i="65"/>
  <c r="BN17" i="65"/>
  <c r="BO17" i="65"/>
  <c r="BP17" i="65"/>
  <c r="BQ17" i="65"/>
  <c r="BR17" i="65"/>
  <c r="BS17" i="65"/>
  <c r="BT17" i="65"/>
  <c r="BU17" i="65"/>
  <c r="BV17" i="65"/>
  <c r="BW17" i="65"/>
  <c r="BX17" i="65"/>
  <c r="BY17" i="65"/>
  <c r="BZ17" i="65"/>
  <c r="CA17" i="65"/>
  <c r="CB17" i="65"/>
  <c r="CC17" i="65"/>
  <c r="CD17" i="65"/>
  <c r="CE17" i="65"/>
  <c r="CF17" i="65"/>
  <c r="CG17" i="65"/>
  <c r="CH17" i="65"/>
  <c r="CI17" i="65"/>
  <c r="D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AR18" i="65"/>
  <c r="AS18" i="65"/>
  <c r="AT18" i="65"/>
  <c r="AU18" i="65"/>
  <c r="AV18" i="65"/>
  <c r="AW18" i="65"/>
  <c r="AX18" i="65"/>
  <c r="AY18" i="65"/>
  <c r="AZ18" i="65"/>
  <c r="BA18" i="65"/>
  <c r="BB18" i="65"/>
  <c r="BC18" i="65"/>
  <c r="BD18" i="65"/>
  <c r="BE18" i="65"/>
  <c r="BF18" i="65"/>
  <c r="BG18" i="65"/>
  <c r="BH18" i="65"/>
  <c r="BI18" i="65"/>
  <c r="BJ18" i="65"/>
  <c r="BK18" i="65"/>
  <c r="BL18" i="65"/>
  <c r="BM18" i="65"/>
  <c r="BN18" i="65"/>
  <c r="BO18" i="65"/>
  <c r="BP18" i="65"/>
  <c r="BQ18" i="65"/>
  <c r="BR18" i="65"/>
  <c r="BS18" i="65"/>
  <c r="BT18" i="65"/>
  <c r="BU18" i="65"/>
  <c r="BV18" i="65"/>
  <c r="BW18" i="65"/>
  <c r="BX18" i="65"/>
  <c r="BY18" i="65"/>
  <c r="BZ18" i="65"/>
  <c r="CA18" i="65"/>
  <c r="CB18" i="65"/>
  <c r="CC18" i="65"/>
  <c r="CD18" i="65"/>
  <c r="CE18" i="65"/>
  <c r="CF18" i="65"/>
  <c r="CG18" i="65"/>
  <c r="CH18" i="65"/>
  <c r="CI18" i="65"/>
  <c r="D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AR19" i="65"/>
  <c r="AS19" i="65"/>
  <c r="AT19" i="65"/>
  <c r="AU19" i="65"/>
  <c r="AV19" i="65"/>
  <c r="AW19" i="65"/>
  <c r="AX19" i="65"/>
  <c r="AY19" i="65"/>
  <c r="AZ19" i="65"/>
  <c r="BA19" i="65"/>
  <c r="BB19" i="65"/>
  <c r="BC19" i="65"/>
  <c r="BD19" i="65"/>
  <c r="BE19" i="65"/>
  <c r="BF19" i="65"/>
  <c r="BG19" i="65"/>
  <c r="BH19" i="65"/>
  <c r="BI19" i="65"/>
  <c r="BJ19" i="65"/>
  <c r="BK19" i="65"/>
  <c r="BL19" i="65"/>
  <c r="BM19" i="65"/>
  <c r="BN19" i="65"/>
  <c r="BO19" i="65"/>
  <c r="BP19" i="65"/>
  <c r="BQ19" i="65"/>
  <c r="BR19" i="65"/>
  <c r="BS19" i="65"/>
  <c r="BT19" i="65"/>
  <c r="BU19" i="65"/>
  <c r="BV19" i="65"/>
  <c r="BW19" i="65"/>
  <c r="BX19" i="65"/>
  <c r="BY19" i="65"/>
  <c r="BZ19" i="65"/>
  <c r="CA19" i="65"/>
  <c r="CB19" i="65"/>
  <c r="CC19" i="65"/>
  <c r="CD19" i="65"/>
  <c r="CE19" i="65"/>
  <c r="CF19" i="65"/>
  <c r="CG19" i="65"/>
  <c r="CH19" i="65"/>
  <c r="CI19" i="65"/>
  <c r="D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AR20" i="65"/>
  <c r="AS20" i="65"/>
  <c r="AT20" i="65"/>
  <c r="AU20" i="65"/>
  <c r="AV20" i="65"/>
  <c r="AW20" i="65"/>
  <c r="AX20" i="65"/>
  <c r="AY20" i="65"/>
  <c r="AZ20" i="65"/>
  <c r="BA20" i="65"/>
  <c r="BB20" i="65"/>
  <c r="BC20" i="65"/>
  <c r="BD20" i="65"/>
  <c r="BE20" i="65"/>
  <c r="BF20" i="65"/>
  <c r="BG20" i="65"/>
  <c r="BH20" i="65"/>
  <c r="BI20" i="65"/>
  <c r="BJ20" i="65"/>
  <c r="BK20" i="65"/>
  <c r="BL20" i="65"/>
  <c r="BM20" i="65"/>
  <c r="BN20" i="65"/>
  <c r="BO20" i="65"/>
  <c r="BP20" i="65"/>
  <c r="BQ20" i="65"/>
  <c r="BR20" i="65"/>
  <c r="BS20" i="65"/>
  <c r="BT20" i="65"/>
  <c r="BU20" i="65"/>
  <c r="BV20" i="65"/>
  <c r="BW20" i="65"/>
  <c r="BX20" i="65"/>
  <c r="BY20" i="65"/>
  <c r="BZ20" i="65"/>
  <c r="CA20" i="65"/>
  <c r="CB20" i="65"/>
  <c r="CC20" i="65"/>
  <c r="CD20" i="65"/>
  <c r="CE20" i="65"/>
  <c r="CF20" i="65"/>
  <c r="CG20" i="65"/>
  <c r="CH20" i="65"/>
  <c r="CI20" i="65"/>
  <c r="D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AR21" i="65"/>
  <c r="AS21" i="65"/>
  <c r="AT21" i="65"/>
  <c r="AU21" i="65"/>
  <c r="AV21" i="65"/>
  <c r="AW21" i="65"/>
  <c r="AX21" i="65"/>
  <c r="AY21" i="65"/>
  <c r="AZ21" i="65"/>
  <c r="BA21" i="65"/>
  <c r="BB21" i="65"/>
  <c r="BC21" i="65"/>
  <c r="BD21" i="65"/>
  <c r="BE21" i="65"/>
  <c r="BF21" i="65"/>
  <c r="BG21" i="65"/>
  <c r="BH21" i="65"/>
  <c r="BI21" i="65"/>
  <c r="BJ21" i="65"/>
  <c r="BK21" i="65"/>
  <c r="BL21" i="65"/>
  <c r="BM21" i="65"/>
  <c r="BN21" i="65"/>
  <c r="BO21" i="65"/>
  <c r="BP21" i="65"/>
  <c r="BQ21" i="65"/>
  <c r="BR21" i="65"/>
  <c r="BS21" i="65"/>
  <c r="BT21" i="65"/>
  <c r="BU21" i="65"/>
  <c r="BV21" i="65"/>
  <c r="BW21" i="65"/>
  <c r="BX21" i="65"/>
  <c r="BY21" i="65"/>
  <c r="BZ21" i="65"/>
  <c r="CA21" i="65"/>
  <c r="CB21" i="65"/>
  <c r="CC21" i="65"/>
  <c r="CD21" i="65"/>
  <c r="CE21" i="65"/>
  <c r="CF21" i="65"/>
  <c r="CG21" i="65"/>
  <c r="CH21" i="65"/>
  <c r="CI21" i="65"/>
  <c r="D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AR22" i="65"/>
  <c r="AS22" i="65"/>
  <c r="AT22" i="65"/>
  <c r="AU22" i="65"/>
  <c r="AV22" i="65"/>
  <c r="AW22" i="65"/>
  <c r="AX22" i="65"/>
  <c r="AY22" i="65"/>
  <c r="AZ22" i="65"/>
  <c r="BA22" i="65"/>
  <c r="BB22" i="65"/>
  <c r="BC22" i="65"/>
  <c r="BD22" i="65"/>
  <c r="BE22" i="65"/>
  <c r="BF22" i="65"/>
  <c r="BG22" i="65"/>
  <c r="BH22" i="65"/>
  <c r="BI22" i="65"/>
  <c r="BJ22" i="65"/>
  <c r="BK22" i="65"/>
  <c r="BL22" i="65"/>
  <c r="BM22" i="65"/>
  <c r="BN22" i="65"/>
  <c r="BO22" i="65"/>
  <c r="BP22" i="65"/>
  <c r="BQ22" i="65"/>
  <c r="BR22" i="65"/>
  <c r="BS22" i="65"/>
  <c r="BT22" i="65"/>
  <c r="BU22" i="65"/>
  <c r="BV22" i="65"/>
  <c r="BW22" i="65"/>
  <c r="BX22" i="65"/>
  <c r="BY22" i="65"/>
  <c r="BZ22" i="65"/>
  <c r="CA22" i="65"/>
  <c r="CB22" i="65"/>
  <c r="CC22" i="65"/>
  <c r="CD22" i="65"/>
  <c r="CE22" i="65"/>
  <c r="CF22" i="65"/>
  <c r="CG22" i="65"/>
  <c r="CH22" i="65"/>
  <c r="CI22" i="65"/>
  <c r="D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AR23" i="65"/>
  <c r="AS23" i="65"/>
  <c r="AT23" i="65"/>
  <c r="AU23" i="65"/>
  <c r="AV23" i="65"/>
  <c r="AW23" i="65"/>
  <c r="AX23" i="65"/>
  <c r="AY23" i="65"/>
  <c r="AZ23" i="65"/>
  <c r="BA23" i="65"/>
  <c r="BB23" i="65"/>
  <c r="BC23" i="65"/>
  <c r="BD23" i="65"/>
  <c r="BE23" i="65"/>
  <c r="BF23" i="65"/>
  <c r="BG23" i="65"/>
  <c r="BH23" i="65"/>
  <c r="BI23" i="65"/>
  <c r="BJ23" i="65"/>
  <c r="BK23" i="65"/>
  <c r="BL23" i="65"/>
  <c r="BM23" i="65"/>
  <c r="BN23" i="65"/>
  <c r="BO23" i="65"/>
  <c r="BP23" i="65"/>
  <c r="BQ23" i="65"/>
  <c r="BR23" i="65"/>
  <c r="BS23" i="65"/>
  <c r="BT23" i="65"/>
  <c r="BU23" i="65"/>
  <c r="BV23" i="65"/>
  <c r="BW23" i="65"/>
  <c r="BX23" i="65"/>
  <c r="BY23" i="65"/>
  <c r="BZ23" i="65"/>
  <c r="CA23" i="65"/>
  <c r="CB23" i="65"/>
  <c r="CC23" i="65"/>
  <c r="CD23" i="65"/>
  <c r="CE23" i="65"/>
  <c r="CF23" i="65"/>
  <c r="CG23" i="65"/>
  <c r="CH23" i="65"/>
  <c r="CI23" i="65"/>
  <c r="D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AR24" i="65"/>
  <c r="AS24" i="65"/>
  <c r="AT24" i="65"/>
  <c r="AU24" i="65"/>
  <c r="AV24" i="65"/>
  <c r="AW24" i="65"/>
  <c r="AX24" i="65"/>
  <c r="AY24" i="65"/>
  <c r="AZ24" i="65"/>
  <c r="BA24" i="65"/>
  <c r="BB24" i="65"/>
  <c r="BC24" i="65"/>
  <c r="BD24" i="65"/>
  <c r="BE24" i="65"/>
  <c r="BF24" i="65"/>
  <c r="BG24" i="65"/>
  <c r="BH24" i="65"/>
  <c r="BI24" i="65"/>
  <c r="BJ24" i="65"/>
  <c r="BK24" i="65"/>
  <c r="BL24" i="65"/>
  <c r="BM24" i="65"/>
  <c r="BN24" i="65"/>
  <c r="BO24" i="65"/>
  <c r="BP24" i="65"/>
  <c r="BQ24" i="65"/>
  <c r="BR24" i="65"/>
  <c r="BS24" i="65"/>
  <c r="BT24" i="65"/>
  <c r="BU24" i="65"/>
  <c r="BV24" i="65"/>
  <c r="BW24" i="65"/>
  <c r="BX24" i="65"/>
  <c r="BY24" i="65"/>
  <c r="BZ24" i="65"/>
  <c r="CA24" i="65"/>
  <c r="CB24" i="65"/>
  <c r="CC24" i="65"/>
  <c r="CD24" i="65"/>
  <c r="CE24" i="65"/>
  <c r="CF24" i="65"/>
  <c r="CG24" i="65"/>
  <c r="CH24" i="65"/>
  <c r="CI24" i="65"/>
  <c r="D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AR25" i="65"/>
  <c r="AS25" i="65"/>
  <c r="AT25" i="65"/>
  <c r="AU25" i="65"/>
  <c r="AV25" i="65"/>
  <c r="AW25" i="65"/>
  <c r="AX25" i="65"/>
  <c r="AY25" i="65"/>
  <c r="AZ25" i="65"/>
  <c r="BA25" i="65"/>
  <c r="BB25" i="65"/>
  <c r="BC25" i="65"/>
  <c r="BD25" i="65"/>
  <c r="BE25" i="65"/>
  <c r="BF25" i="65"/>
  <c r="BG25" i="65"/>
  <c r="BH25" i="65"/>
  <c r="BI25" i="65"/>
  <c r="BJ25" i="65"/>
  <c r="BK25" i="65"/>
  <c r="BL25" i="65"/>
  <c r="BM25" i="65"/>
  <c r="BN25" i="65"/>
  <c r="BO25" i="65"/>
  <c r="BP25" i="65"/>
  <c r="BQ25" i="65"/>
  <c r="BR25" i="65"/>
  <c r="BS25" i="65"/>
  <c r="BT25" i="65"/>
  <c r="BU25" i="65"/>
  <c r="BV25" i="65"/>
  <c r="BW25" i="65"/>
  <c r="BX25" i="65"/>
  <c r="BY25" i="65"/>
  <c r="BZ25" i="65"/>
  <c r="CA25" i="65"/>
  <c r="CB25" i="65"/>
  <c r="CC25" i="65"/>
  <c r="CD25" i="65"/>
  <c r="CE25" i="65"/>
  <c r="CF25" i="65"/>
  <c r="CG25" i="65"/>
  <c r="CH25" i="65"/>
  <c r="CI25" i="65"/>
  <c r="D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AR26" i="65"/>
  <c r="AS26" i="65"/>
  <c r="AT26" i="65"/>
  <c r="AU26" i="65"/>
  <c r="AV26" i="65"/>
  <c r="AW26" i="65"/>
  <c r="AX26" i="65"/>
  <c r="AY26" i="65"/>
  <c r="AZ26" i="65"/>
  <c r="BA26" i="65"/>
  <c r="BB26" i="65"/>
  <c r="BC26" i="65"/>
  <c r="BD26" i="65"/>
  <c r="BE26" i="65"/>
  <c r="BF26" i="65"/>
  <c r="BG26" i="65"/>
  <c r="BH26" i="65"/>
  <c r="BI26" i="65"/>
  <c r="BJ26" i="65"/>
  <c r="BK26" i="65"/>
  <c r="BL26" i="65"/>
  <c r="BM26" i="65"/>
  <c r="BN26" i="65"/>
  <c r="BO26" i="65"/>
  <c r="BP26" i="65"/>
  <c r="BQ26" i="65"/>
  <c r="BR26" i="65"/>
  <c r="BS26" i="65"/>
  <c r="BT26" i="65"/>
  <c r="BU26" i="65"/>
  <c r="BV26" i="65"/>
  <c r="BW26" i="65"/>
  <c r="BX26" i="65"/>
  <c r="BY26" i="65"/>
  <c r="BZ26" i="65"/>
  <c r="CA26" i="65"/>
  <c r="CB26" i="65"/>
  <c r="CC26" i="65"/>
  <c r="CD26" i="65"/>
  <c r="CE26" i="65"/>
  <c r="CF26" i="65"/>
  <c r="CG26" i="65"/>
  <c r="CH26" i="65"/>
  <c r="CI26" i="65"/>
  <c r="D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AR27" i="65"/>
  <c r="AS27" i="65"/>
  <c r="AT27" i="65"/>
  <c r="AU27" i="65"/>
  <c r="AV27" i="65"/>
  <c r="AW27" i="65"/>
  <c r="AX27" i="65"/>
  <c r="AY27" i="65"/>
  <c r="AZ27" i="65"/>
  <c r="BA27" i="65"/>
  <c r="BB27" i="65"/>
  <c r="BC27" i="65"/>
  <c r="BD27" i="65"/>
  <c r="BE27" i="65"/>
  <c r="BF27" i="65"/>
  <c r="BG27" i="65"/>
  <c r="BH27" i="65"/>
  <c r="BI27" i="65"/>
  <c r="BJ27" i="65"/>
  <c r="BK27" i="65"/>
  <c r="BL27" i="65"/>
  <c r="BM27" i="65"/>
  <c r="BN27" i="65"/>
  <c r="BO27" i="65"/>
  <c r="BP27" i="65"/>
  <c r="BQ27" i="65"/>
  <c r="BR27" i="65"/>
  <c r="BS27" i="65"/>
  <c r="BT27" i="65"/>
  <c r="BU27" i="65"/>
  <c r="BV27" i="65"/>
  <c r="BW27" i="65"/>
  <c r="BX27" i="65"/>
  <c r="BY27" i="65"/>
  <c r="BZ27" i="65"/>
  <c r="CA27" i="65"/>
  <c r="CB27" i="65"/>
  <c r="CC27" i="65"/>
  <c r="CD27" i="65"/>
  <c r="CE27" i="65"/>
  <c r="CF27" i="65"/>
  <c r="CG27" i="65"/>
  <c r="CH27" i="65"/>
  <c r="CI27" i="65"/>
  <c r="D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AR28" i="65"/>
  <c r="AS28" i="65"/>
  <c r="AT28" i="65"/>
  <c r="AU28" i="65"/>
  <c r="AV28" i="65"/>
  <c r="AW28" i="65"/>
  <c r="AX28" i="65"/>
  <c r="AY28" i="65"/>
  <c r="AZ28" i="65"/>
  <c r="BA28" i="65"/>
  <c r="BB28" i="65"/>
  <c r="BC28" i="65"/>
  <c r="BD28" i="65"/>
  <c r="BE28" i="65"/>
  <c r="BF28" i="65"/>
  <c r="BG28" i="65"/>
  <c r="BH28" i="65"/>
  <c r="BI28" i="65"/>
  <c r="BJ28" i="65"/>
  <c r="BK28" i="65"/>
  <c r="BL28" i="65"/>
  <c r="BM28" i="65"/>
  <c r="BN28" i="65"/>
  <c r="BO28" i="65"/>
  <c r="BP28" i="65"/>
  <c r="BQ28" i="65"/>
  <c r="BR28" i="65"/>
  <c r="BS28" i="65"/>
  <c r="BT28" i="65"/>
  <c r="BU28" i="65"/>
  <c r="BV28" i="65"/>
  <c r="BW28" i="65"/>
  <c r="BX28" i="65"/>
  <c r="BY28" i="65"/>
  <c r="BZ28" i="65"/>
  <c r="CA28" i="65"/>
  <c r="CB28" i="65"/>
  <c r="CC28" i="65"/>
  <c r="CD28" i="65"/>
  <c r="CE28" i="65"/>
  <c r="CF28" i="65"/>
  <c r="CG28" i="65"/>
  <c r="CH28" i="65"/>
  <c r="CI28" i="65"/>
  <c r="D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AR29" i="65"/>
  <c r="AS29" i="65"/>
  <c r="AT29" i="65"/>
  <c r="AU29" i="65"/>
  <c r="AV29" i="65"/>
  <c r="AW29" i="65"/>
  <c r="AX29" i="65"/>
  <c r="AY29" i="65"/>
  <c r="AZ29" i="65"/>
  <c r="BA29" i="65"/>
  <c r="BB29" i="65"/>
  <c r="BC29" i="65"/>
  <c r="BD29" i="65"/>
  <c r="BE29" i="65"/>
  <c r="BF29" i="65"/>
  <c r="BG29" i="65"/>
  <c r="BH29" i="65"/>
  <c r="BI29" i="65"/>
  <c r="BJ29" i="65"/>
  <c r="BK29" i="65"/>
  <c r="BL29" i="65"/>
  <c r="BM29" i="65"/>
  <c r="BN29" i="65"/>
  <c r="BO29" i="65"/>
  <c r="BP29" i="65"/>
  <c r="BQ29" i="65"/>
  <c r="BR29" i="65"/>
  <c r="BS29" i="65"/>
  <c r="BT29" i="65"/>
  <c r="BU29" i="65"/>
  <c r="BV29" i="65"/>
  <c r="BW29" i="65"/>
  <c r="BX29" i="65"/>
  <c r="BY29" i="65"/>
  <c r="BZ29" i="65"/>
  <c r="CA29" i="65"/>
  <c r="CB29" i="65"/>
  <c r="CC29" i="65"/>
  <c r="CD29" i="65"/>
  <c r="CE29" i="65"/>
  <c r="CF29" i="65"/>
  <c r="CG29" i="65"/>
  <c r="CH29" i="65"/>
  <c r="CI29" i="65"/>
  <c r="D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AR30" i="65"/>
  <c r="AS30" i="65"/>
  <c r="AT30" i="65"/>
  <c r="AU30" i="65"/>
  <c r="AV30" i="65"/>
  <c r="AW30" i="65"/>
  <c r="AX30" i="65"/>
  <c r="AY30" i="65"/>
  <c r="AZ30" i="65"/>
  <c r="BA30" i="65"/>
  <c r="BB30" i="65"/>
  <c r="BC30" i="65"/>
  <c r="BD30" i="65"/>
  <c r="BE30" i="65"/>
  <c r="BF30" i="65"/>
  <c r="BG30" i="65"/>
  <c r="BH30" i="65"/>
  <c r="BI30" i="65"/>
  <c r="BJ30" i="65"/>
  <c r="BK30" i="65"/>
  <c r="BL30" i="65"/>
  <c r="BM30" i="65"/>
  <c r="BN30" i="65"/>
  <c r="BO30" i="65"/>
  <c r="BP30" i="65"/>
  <c r="BQ30" i="65"/>
  <c r="BR30" i="65"/>
  <c r="BS30" i="65"/>
  <c r="BT30" i="65"/>
  <c r="BU30" i="65"/>
  <c r="BV30" i="65"/>
  <c r="BW30" i="65"/>
  <c r="BX30" i="65"/>
  <c r="BY30" i="65"/>
  <c r="BZ30" i="65"/>
  <c r="CA30" i="65"/>
  <c r="CB30" i="65"/>
  <c r="CC30" i="65"/>
  <c r="CD30" i="65"/>
  <c r="CE30" i="65"/>
  <c r="CF30" i="65"/>
  <c r="CG30" i="65"/>
  <c r="CH30" i="65"/>
  <c r="CI30" i="65"/>
  <c r="D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AR31" i="65"/>
  <c r="AS31" i="65"/>
  <c r="AT31" i="65"/>
  <c r="AU31" i="65"/>
  <c r="AV31" i="65"/>
  <c r="AW31" i="65"/>
  <c r="AX31" i="65"/>
  <c r="AY31" i="65"/>
  <c r="AZ31" i="65"/>
  <c r="BA31" i="65"/>
  <c r="BB31" i="65"/>
  <c r="BC31" i="65"/>
  <c r="BD31" i="65"/>
  <c r="BE31" i="65"/>
  <c r="BF31" i="65"/>
  <c r="BG31" i="65"/>
  <c r="BH31" i="65"/>
  <c r="BI31" i="65"/>
  <c r="BJ31" i="65"/>
  <c r="BK31" i="65"/>
  <c r="BL31" i="65"/>
  <c r="BM31" i="65"/>
  <c r="BN31" i="65"/>
  <c r="BO31" i="65"/>
  <c r="BP31" i="65"/>
  <c r="BQ31" i="65"/>
  <c r="BR31" i="65"/>
  <c r="BS31" i="65"/>
  <c r="BT31" i="65"/>
  <c r="BU31" i="65"/>
  <c r="BV31" i="65"/>
  <c r="BW31" i="65"/>
  <c r="BX31" i="65"/>
  <c r="BY31" i="65"/>
  <c r="BZ31" i="65"/>
  <c r="CA31" i="65"/>
  <c r="CB31" i="65"/>
  <c r="CC31" i="65"/>
  <c r="CD31" i="65"/>
  <c r="CE31" i="65"/>
  <c r="CF31" i="65"/>
  <c r="CG31" i="65"/>
  <c r="CH31" i="65"/>
  <c r="CI31" i="65"/>
  <c r="D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AR32" i="65"/>
  <c r="AS32" i="65"/>
  <c r="AT32" i="65"/>
  <c r="AU32" i="65"/>
  <c r="AV32" i="65"/>
  <c r="AW32" i="65"/>
  <c r="AX32" i="65"/>
  <c r="AY32" i="65"/>
  <c r="AZ32" i="65"/>
  <c r="BA32" i="65"/>
  <c r="BB32" i="65"/>
  <c r="BC32" i="65"/>
  <c r="BD32" i="65"/>
  <c r="BE32" i="65"/>
  <c r="BF32" i="65"/>
  <c r="BG32" i="65"/>
  <c r="BH32" i="65"/>
  <c r="BI32" i="65"/>
  <c r="BJ32" i="65"/>
  <c r="BK32" i="65"/>
  <c r="BL32" i="65"/>
  <c r="BM32" i="65"/>
  <c r="BN32" i="65"/>
  <c r="BO32" i="65"/>
  <c r="BP32" i="65"/>
  <c r="BQ32" i="65"/>
  <c r="BR32" i="65"/>
  <c r="BS32" i="65"/>
  <c r="BT32" i="65"/>
  <c r="BU32" i="65"/>
  <c r="BV32" i="65"/>
  <c r="BW32" i="65"/>
  <c r="BX32" i="65"/>
  <c r="BY32" i="65"/>
  <c r="BZ32" i="65"/>
  <c r="CA32" i="65"/>
  <c r="CB32" i="65"/>
  <c r="CC32" i="65"/>
  <c r="CD32" i="65"/>
  <c r="CE32" i="65"/>
  <c r="CF32" i="65"/>
  <c r="CG32" i="65"/>
  <c r="CH32" i="65"/>
  <c r="CI32" i="65"/>
  <c r="D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AR33" i="65"/>
  <c r="AS33" i="65"/>
  <c r="AT33" i="65"/>
  <c r="AU33" i="65"/>
  <c r="AV33" i="65"/>
  <c r="AW33" i="65"/>
  <c r="AX33" i="65"/>
  <c r="AY33" i="65"/>
  <c r="AZ33" i="65"/>
  <c r="BA33" i="65"/>
  <c r="BB33" i="65"/>
  <c r="BC33" i="65"/>
  <c r="BD33" i="65"/>
  <c r="BE33" i="65"/>
  <c r="BF33" i="65"/>
  <c r="BG33" i="65"/>
  <c r="BH33" i="65"/>
  <c r="BI33" i="65"/>
  <c r="BJ33" i="65"/>
  <c r="BK33" i="65"/>
  <c r="BL33" i="65"/>
  <c r="BM33" i="65"/>
  <c r="BN33" i="65"/>
  <c r="BO33" i="65"/>
  <c r="BP33" i="65"/>
  <c r="BQ33" i="65"/>
  <c r="BR33" i="65"/>
  <c r="BS33" i="65"/>
  <c r="BT33" i="65"/>
  <c r="BU33" i="65"/>
  <c r="BV33" i="65"/>
  <c r="BW33" i="65"/>
  <c r="BX33" i="65"/>
  <c r="BY33" i="65"/>
  <c r="BZ33" i="65"/>
  <c r="CA33" i="65"/>
  <c r="CB33" i="65"/>
  <c r="CC33" i="65"/>
  <c r="CD33" i="65"/>
  <c r="CE33" i="65"/>
  <c r="CF33" i="65"/>
  <c r="CG33" i="65"/>
  <c r="CH33" i="65"/>
  <c r="CI33" i="65"/>
  <c r="D34" i="65"/>
  <c r="D35" i="65"/>
  <c r="D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AR36" i="65"/>
  <c r="AS36" i="65"/>
  <c r="AT36" i="65"/>
  <c r="AU36" i="65"/>
  <c r="AV36" i="65"/>
  <c r="AW36" i="65"/>
  <c r="AX36" i="65"/>
  <c r="AY36" i="65"/>
  <c r="AZ36" i="65"/>
  <c r="BA36" i="65"/>
  <c r="BB36" i="65"/>
  <c r="BC36" i="65"/>
  <c r="BD36" i="65"/>
  <c r="BE36" i="65"/>
  <c r="BF36" i="65"/>
  <c r="BG36" i="65"/>
  <c r="BH36" i="65"/>
  <c r="BI36" i="65"/>
  <c r="BJ36" i="65"/>
  <c r="BK36" i="65"/>
  <c r="BL36" i="65"/>
  <c r="BM36" i="65"/>
  <c r="BN36" i="65"/>
  <c r="BO36" i="65"/>
  <c r="BP36" i="65"/>
  <c r="BQ36" i="65"/>
  <c r="BR36" i="65"/>
  <c r="BS36" i="65"/>
  <c r="BT36" i="65"/>
  <c r="BU36" i="65"/>
  <c r="BV36" i="65"/>
  <c r="BW36" i="65"/>
  <c r="BX36" i="65"/>
  <c r="BY36" i="65"/>
  <c r="BZ36" i="65"/>
  <c r="CA36" i="65"/>
  <c r="CB36" i="65"/>
  <c r="CC36" i="65"/>
  <c r="CD36" i="65"/>
  <c r="CE36" i="65"/>
  <c r="CF36" i="65"/>
  <c r="CG36" i="65"/>
  <c r="CH36" i="65"/>
  <c r="CI36" i="65"/>
  <c r="D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AR37" i="65"/>
  <c r="AS37" i="65"/>
  <c r="AT37" i="65"/>
  <c r="AU37" i="65"/>
  <c r="AV37" i="65"/>
  <c r="AW37" i="65"/>
  <c r="AX37" i="65"/>
  <c r="AY37" i="65"/>
  <c r="AZ37" i="65"/>
  <c r="BA37" i="65"/>
  <c r="BB37" i="65"/>
  <c r="BC37" i="65"/>
  <c r="BD37" i="65"/>
  <c r="BE37" i="65"/>
  <c r="BF37" i="65"/>
  <c r="BG37" i="65"/>
  <c r="BH37" i="65"/>
  <c r="BI37" i="65"/>
  <c r="BJ37" i="65"/>
  <c r="BK37" i="65"/>
  <c r="BL37" i="65"/>
  <c r="BM37" i="65"/>
  <c r="BN37" i="65"/>
  <c r="BO37" i="65"/>
  <c r="BP37" i="65"/>
  <c r="BQ37" i="65"/>
  <c r="BR37" i="65"/>
  <c r="BS37" i="65"/>
  <c r="BT37" i="65"/>
  <c r="BU37" i="65"/>
  <c r="BV37" i="65"/>
  <c r="BW37" i="65"/>
  <c r="BX37" i="65"/>
  <c r="BY37" i="65"/>
  <c r="BZ37" i="65"/>
  <c r="CA37" i="65"/>
  <c r="CB37" i="65"/>
  <c r="CC37" i="65"/>
  <c r="CD37" i="65"/>
  <c r="CE37" i="65"/>
  <c r="CF37" i="65"/>
  <c r="CG37" i="65"/>
  <c r="CH37" i="65"/>
  <c r="CI37" i="65"/>
  <c r="D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AR38" i="65"/>
  <c r="AS38" i="65"/>
  <c r="AT38" i="65"/>
  <c r="AU38" i="65"/>
  <c r="AV38" i="65"/>
  <c r="AW38" i="65"/>
  <c r="AX38" i="65"/>
  <c r="AY38" i="65"/>
  <c r="AZ38" i="65"/>
  <c r="BA38" i="65"/>
  <c r="BB38" i="65"/>
  <c r="BC38" i="65"/>
  <c r="BD38" i="65"/>
  <c r="BE38" i="65"/>
  <c r="BF38" i="65"/>
  <c r="BG38" i="65"/>
  <c r="BH38" i="65"/>
  <c r="BI38" i="65"/>
  <c r="BJ38" i="65"/>
  <c r="BK38" i="65"/>
  <c r="BL38" i="65"/>
  <c r="BM38" i="65"/>
  <c r="BN38" i="65"/>
  <c r="BO38" i="65"/>
  <c r="BP38" i="65"/>
  <c r="BQ38" i="65"/>
  <c r="BR38" i="65"/>
  <c r="BS38" i="65"/>
  <c r="BT38" i="65"/>
  <c r="BU38" i="65"/>
  <c r="BV38" i="65"/>
  <c r="BW38" i="65"/>
  <c r="BX38" i="65"/>
  <c r="BY38" i="65"/>
  <c r="BZ38" i="65"/>
  <c r="CA38" i="65"/>
  <c r="CB38" i="65"/>
  <c r="CC38" i="65"/>
  <c r="CD38" i="65"/>
  <c r="CE38" i="65"/>
  <c r="CF38" i="65"/>
  <c r="CG38" i="65"/>
  <c r="CH38" i="65"/>
  <c r="CI38" i="65"/>
  <c r="D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AR39" i="65"/>
  <c r="AS39" i="65"/>
  <c r="AT39" i="65"/>
  <c r="AU39" i="65"/>
  <c r="AV39" i="65"/>
  <c r="AW39" i="65"/>
  <c r="AX39" i="65"/>
  <c r="AY39" i="65"/>
  <c r="AZ39" i="65"/>
  <c r="BA39" i="65"/>
  <c r="BB39" i="65"/>
  <c r="BC39" i="65"/>
  <c r="BD39" i="65"/>
  <c r="BE39" i="65"/>
  <c r="BF39" i="65"/>
  <c r="BG39" i="65"/>
  <c r="BH39" i="65"/>
  <c r="BI39" i="65"/>
  <c r="BJ39" i="65"/>
  <c r="BK39" i="65"/>
  <c r="BL39" i="65"/>
  <c r="BM39" i="65"/>
  <c r="BN39" i="65"/>
  <c r="BO39" i="65"/>
  <c r="BP39" i="65"/>
  <c r="BQ39" i="65"/>
  <c r="BR39" i="65"/>
  <c r="BS39" i="65"/>
  <c r="BT39" i="65"/>
  <c r="BU39" i="65"/>
  <c r="BV39" i="65"/>
  <c r="BW39" i="65"/>
  <c r="BX39" i="65"/>
  <c r="BY39" i="65"/>
  <c r="BZ39" i="65"/>
  <c r="CA39" i="65"/>
  <c r="CB39" i="65"/>
  <c r="CC39" i="65"/>
  <c r="CD39" i="65"/>
  <c r="CE39" i="65"/>
  <c r="CF39" i="65"/>
  <c r="CG39" i="65"/>
  <c r="CH39" i="65"/>
  <c r="CI39" i="65"/>
  <c r="D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AR40" i="65"/>
  <c r="AS40" i="65"/>
  <c r="AT40" i="65"/>
  <c r="AU40" i="65"/>
  <c r="AV40" i="65"/>
  <c r="AW40" i="65"/>
  <c r="AX40" i="65"/>
  <c r="AY40" i="65"/>
  <c r="AZ40" i="65"/>
  <c r="BA40" i="65"/>
  <c r="BB40" i="65"/>
  <c r="BC40" i="65"/>
  <c r="BD40" i="65"/>
  <c r="BE40" i="65"/>
  <c r="BF40" i="65"/>
  <c r="BG40" i="65"/>
  <c r="BH40" i="65"/>
  <c r="BI40" i="65"/>
  <c r="BJ40" i="65"/>
  <c r="BK40" i="65"/>
  <c r="BL40" i="65"/>
  <c r="BM40" i="65"/>
  <c r="BN40" i="65"/>
  <c r="BO40" i="65"/>
  <c r="BP40" i="65"/>
  <c r="BQ40" i="65"/>
  <c r="BR40" i="65"/>
  <c r="BS40" i="65"/>
  <c r="BT40" i="65"/>
  <c r="BU40" i="65"/>
  <c r="BV40" i="65"/>
  <c r="BW40" i="65"/>
  <c r="BX40" i="65"/>
  <c r="BY40" i="65"/>
  <c r="BZ40" i="65"/>
  <c r="CA40" i="65"/>
  <c r="CB40" i="65"/>
  <c r="CC40" i="65"/>
  <c r="CD40" i="65"/>
  <c r="CE40" i="65"/>
  <c r="CF40" i="65"/>
  <c r="CG40" i="65"/>
  <c r="CH40" i="65"/>
  <c r="CI40" i="65"/>
  <c r="D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AR41" i="65"/>
  <c r="AS41" i="65"/>
  <c r="AT41" i="65"/>
  <c r="AU41" i="65"/>
  <c r="AV41" i="65"/>
  <c r="AW41" i="65"/>
  <c r="AX41" i="65"/>
  <c r="AY41" i="65"/>
  <c r="AZ41" i="65"/>
  <c r="BA41" i="65"/>
  <c r="BB41" i="65"/>
  <c r="BC41" i="65"/>
  <c r="BD41" i="65"/>
  <c r="BE41" i="65"/>
  <c r="BF41" i="65"/>
  <c r="BG41" i="65"/>
  <c r="BH41" i="65"/>
  <c r="BI41" i="65"/>
  <c r="BJ41" i="65"/>
  <c r="BK41" i="65"/>
  <c r="BL41" i="65"/>
  <c r="BM41" i="65"/>
  <c r="BN41" i="65"/>
  <c r="BO41" i="65"/>
  <c r="BP41" i="65"/>
  <c r="BQ41" i="65"/>
  <c r="BR41" i="65"/>
  <c r="BS41" i="65"/>
  <c r="BT41" i="65"/>
  <c r="BU41" i="65"/>
  <c r="BV41" i="65"/>
  <c r="BW41" i="65"/>
  <c r="BX41" i="65"/>
  <c r="BY41" i="65"/>
  <c r="BZ41" i="65"/>
  <c r="CA41" i="65"/>
  <c r="CB41" i="65"/>
  <c r="CC41" i="65"/>
  <c r="CD41" i="65"/>
  <c r="CE41" i="65"/>
  <c r="CF41" i="65"/>
  <c r="CG41" i="65"/>
  <c r="CH41" i="65"/>
  <c r="CI41" i="65"/>
  <c r="D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AR42" i="65"/>
  <c r="AS42" i="65"/>
  <c r="AT42" i="65"/>
  <c r="AU42" i="65"/>
  <c r="AV42" i="65"/>
  <c r="AW42" i="65"/>
  <c r="AX42" i="65"/>
  <c r="AY42" i="65"/>
  <c r="AZ42" i="65"/>
  <c r="BA42" i="65"/>
  <c r="BB42" i="65"/>
  <c r="BC42" i="65"/>
  <c r="BD42" i="65"/>
  <c r="BE42" i="65"/>
  <c r="BF42" i="65"/>
  <c r="BG42" i="65"/>
  <c r="BH42" i="65"/>
  <c r="BI42" i="65"/>
  <c r="BJ42" i="65"/>
  <c r="BK42" i="65"/>
  <c r="BL42" i="65"/>
  <c r="BM42" i="65"/>
  <c r="BN42" i="65"/>
  <c r="BO42" i="65"/>
  <c r="BP42" i="65"/>
  <c r="BQ42" i="65"/>
  <c r="BR42" i="65"/>
  <c r="BS42" i="65"/>
  <c r="BT42" i="65"/>
  <c r="BU42" i="65"/>
  <c r="BV42" i="65"/>
  <c r="BW42" i="65"/>
  <c r="BX42" i="65"/>
  <c r="BY42" i="65"/>
  <c r="BZ42" i="65"/>
  <c r="CA42" i="65"/>
  <c r="CB42" i="65"/>
  <c r="CC42" i="65"/>
  <c r="CD42" i="65"/>
  <c r="CE42" i="65"/>
  <c r="CF42" i="65"/>
  <c r="CG42" i="65"/>
  <c r="CH42" i="65"/>
  <c r="CI42" i="65"/>
  <c r="D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AR43" i="65"/>
  <c r="AS43" i="65"/>
  <c r="AT43" i="65"/>
  <c r="AU43" i="65"/>
  <c r="AV43" i="65"/>
  <c r="AW43" i="65"/>
  <c r="AX43" i="65"/>
  <c r="AY43" i="65"/>
  <c r="AZ43" i="65"/>
  <c r="BA43" i="65"/>
  <c r="BB43" i="65"/>
  <c r="BC43" i="65"/>
  <c r="BD43" i="65"/>
  <c r="BE43" i="65"/>
  <c r="BF43" i="65"/>
  <c r="BG43" i="65"/>
  <c r="BH43" i="65"/>
  <c r="BI43" i="65"/>
  <c r="BJ43" i="65"/>
  <c r="BK43" i="65"/>
  <c r="BL43" i="65"/>
  <c r="BM43" i="65"/>
  <c r="BN43" i="65"/>
  <c r="BO43" i="65"/>
  <c r="BP43" i="65"/>
  <c r="BQ43" i="65"/>
  <c r="BR43" i="65"/>
  <c r="BS43" i="65"/>
  <c r="BT43" i="65"/>
  <c r="BU43" i="65"/>
  <c r="BV43" i="65"/>
  <c r="BW43" i="65"/>
  <c r="BX43" i="65"/>
  <c r="BY43" i="65"/>
  <c r="BZ43" i="65"/>
  <c r="CA43" i="65"/>
  <c r="CB43" i="65"/>
  <c r="CC43" i="65"/>
  <c r="CD43" i="65"/>
  <c r="CE43" i="65"/>
  <c r="CF43" i="65"/>
  <c r="CG43" i="65"/>
  <c r="CH43" i="65"/>
  <c r="CI43" i="65"/>
  <c r="D44" i="65"/>
  <c r="D45" i="65"/>
  <c r="D46" i="65"/>
  <c r="D47" i="65"/>
  <c r="D48" i="65"/>
  <c r="F48" i="65"/>
  <c r="G48" i="65"/>
  <c r="H48" i="65"/>
  <c r="I48" i="65"/>
  <c r="J48" i="65"/>
  <c r="K48" i="65"/>
  <c r="L48" i="65"/>
  <c r="M48" i="65"/>
  <c r="N48" i="65"/>
  <c r="O48" i="65"/>
  <c r="P48" i="65"/>
  <c r="Q48" i="65"/>
  <c r="R48" i="65"/>
  <c r="S48" i="65"/>
  <c r="T48" i="65"/>
  <c r="U48" i="65"/>
  <c r="V48" i="65"/>
  <c r="W48" i="65"/>
  <c r="X48" i="65"/>
  <c r="Y48" i="65"/>
  <c r="Z48" i="65"/>
  <c r="AA48" i="65"/>
  <c r="AB48" i="65"/>
  <c r="AC48" i="65"/>
  <c r="AD48" i="65"/>
  <c r="AE48" i="65"/>
  <c r="AF48" i="65"/>
  <c r="AG48" i="65"/>
  <c r="AH48" i="65"/>
  <c r="AI48" i="65"/>
  <c r="AJ48" i="65"/>
  <c r="AK48" i="65"/>
  <c r="AL48" i="65"/>
  <c r="AM48" i="65"/>
  <c r="AN48" i="65"/>
  <c r="AO48" i="65"/>
  <c r="AP48" i="65"/>
  <c r="AQ48" i="65"/>
  <c r="AR48" i="65"/>
  <c r="AS48" i="65"/>
  <c r="AT48" i="65"/>
  <c r="AU48" i="65"/>
  <c r="AV48" i="65"/>
  <c r="AW48" i="65"/>
  <c r="AX48" i="65"/>
  <c r="AY48" i="65"/>
  <c r="AZ48" i="65"/>
  <c r="BA48" i="65"/>
  <c r="BB48" i="65"/>
  <c r="BC48" i="65"/>
  <c r="BD48" i="65"/>
  <c r="BE48" i="65"/>
  <c r="BF48" i="65"/>
  <c r="BG48" i="65"/>
  <c r="BH48" i="65"/>
  <c r="BI48" i="65"/>
  <c r="BJ48" i="65"/>
  <c r="BK48" i="65"/>
  <c r="BL48" i="65"/>
  <c r="BM48" i="65"/>
  <c r="BN48" i="65"/>
  <c r="BO48" i="65"/>
  <c r="BP48" i="65"/>
  <c r="BQ48" i="65"/>
  <c r="BR48" i="65"/>
  <c r="BS48" i="65"/>
  <c r="BT48" i="65"/>
  <c r="BU48" i="65"/>
  <c r="BV48" i="65"/>
  <c r="BW48" i="65"/>
  <c r="BX48" i="65"/>
  <c r="BY48" i="65"/>
  <c r="BZ48" i="65"/>
  <c r="CA48" i="65"/>
  <c r="CB48" i="65"/>
  <c r="CC48" i="65"/>
  <c r="CD48" i="65"/>
  <c r="CE48" i="65"/>
  <c r="CF48" i="65"/>
  <c r="CG48" i="65"/>
  <c r="CH48" i="65"/>
  <c r="CI48" i="65"/>
  <c r="D49" i="65"/>
  <c r="F49" i="65"/>
  <c r="G49" i="65"/>
  <c r="H49" i="65"/>
  <c r="I49" i="65"/>
  <c r="J49" i="65"/>
  <c r="K49" i="65"/>
  <c r="L49" i="65"/>
  <c r="M49" i="65"/>
  <c r="N49" i="65"/>
  <c r="O49" i="65"/>
  <c r="P49" i="65"/>
  <c r="Q49" i="65"/>
  <c r="R49" i="65"/>
  <c r="S49" i="65"/>
  <c r="T49" i="65"/>
  <c r="U49" i="65"/>
  <c r="V49" i="65"/>
  <c r="W49" i="65"/>
  <c r="X49" i="65"/>
  <c r="Y49" i="65"/>
  <c r="Z49" i="65"/>
  <c r="AA49" i="65"/>
  <c r="AB49" i="65"/>
  <c r="AC49" i="65"/>
  <c r="AD49" i="65"/>
  <c r="AE49" i="65"/>
  <c r="AF49" i="65"/>
  <c r="AG49" i="65"/>
  <c r="AH49" i="65"/>
  <c r="AI49" i="65"/>
  <c r="AJ49" i="65"/>
  <c r="AK49" i="65"/>
  <c r="AL49" i="65"/>
  <c r="AM49" i="65"/>
  <c r="AN49" i="65"/>
  <c r="AO49" i="65"/>
  <c r="AP49" i="65"/>
  <c r="AQ49" i="65"/>
  <c r="AR49" i="65"/>
  <c r="AS49" i="65"/>
  <c r="AT49" i="65"/>
  <c r="AU49" i="65"/>
  <c r="AV49" i="65"/>
  <c r="AW49" i="65"/>
  <c r="AX49" i="65"/>
  <c r="AY49" i="65"/>
  <c r="AZ49" i="65"/>
  <c r="BA49" i="65"/>
  <c r="BB49" i="65"/>
  <c r="BC49" i="65"/>
  <c r="BD49" i="65"/>
  <c r="BE49" i="65"/>
  <c r="BF49" i="65"/>
  <c r="BG49" i="65"/>
  <c r="BH49" i="65"/>
  <c r="BI49" i="65"/>
  <c r="BJ49" i="65"/>
  <c r="BK49" i="65"/>
  <c r="BL49" i="65"/>
  <c r="BM49" i="65"/>
  <c r="BN49" i="65"/>
  <c r="BO49" i="65"/>
  <c r="BP49" i="65"/>
  <c r="BQ49" i="65"/>
  <c r="BR49" i="65"/>
  <c r="BS49" i="65"/>
  <c r="BT49" i="65"/>
  <c r="BU49" i="65"/>
  <c r="BV49" i="65"/>
  <c r="BW49" i="65"/>
  <c r="BX49" i="65"/>
  <c r="BY49" i="65"/>
  <c r="BZ49" i="65"/>
  <c r="CA49" i="65"/>
  <c r="CB49" i="65"/>
  <c r="CC49" i="65"/>
  <c r="CD49" i="65"/>
  <c r="CE49" i="65"/>
  <c r="CF49" i="65"/>
  <c r="CG49" i="65"/>
  <c r="CH49" i="65"/>
  <c r="CI49" i="65"/>
  <c r="D50" i="65"/>
  <c r="F50" i="65"/>
  <c r="G50" i="65"/>
  <c r="H50" i="65"/>
  <c r="I50" i="65"/>
  <c r="J50" i="65"/>
  <c r="K50" i="65"/>
  <c r="L50" i="65"/>
  <c r="M50" i="65"/>
  <c r="N50" i="65"/>
  <c r="O50" i="65"/>
  <c r="P50" i="65"/>
  <c r="Q50" i="65"/>
  <c r="R50" i="65"/>
  <c r="S50" i="65"/>
  <c r="T50" i="65"/>
  <c r="U50" i="65"/>
  <c r="V50" i="65"/>
  <c r="W50" i="65"/>
  <c r="X50" i="65"/>
  <c r="Y50" i="65"/>
  <c r="Z50" i="65"/>
  <c r="AA50" i="65"/>
  <c r="AB50" i="65"/>
  <c r="AC50" i="65"/>
  <c r="AD50" i="65"/>
  <c r="AE50" i="65"/>
  <c r="AF50" i="65"/>
  <c r="AG50" i="65"/>
  <c r="AH50" i="65"/>
  <c r="AI50" i="65"/>
  <c r="AJ50" i="65"/>
  <c r="AK50" i="65"/>
  <c r="AL50" i="65"/>
  <c r="AM50" i="65"/>
  <c r="AN50" i="65"/>
  <c r="AO50" i="65"/>
  <c r="AP50" i="65"/>
  <c r="AQ50" i="65"/>
  <c r="AR50" i="65"/>
  <c r="AS50" i="65"/>
  <c r="AT50" i="65"/>
  <c r="AU50" i="65"/>
  <c r="AV50" i="65"/>
  <c r="AW50" i="65"/>
  <c r="AX50" i="65"/>
  <c r="AY50" i="65"/>
  <c r="AZ50" i="65"/>
  <c r="BA50" i="65"/>
  <c r="BB50" i="65"/>
  <c r="BC50" i="65"/>
  <c r="BD50" i="65"/>
  <c r="BE50" i="65"/>
  <c r="BF50" i="65"/>
  <c r="BG50" i="65"/>
  <c r="BH50" i="65"/>
  <c r="BI50" i="65"/>
  <c r="BJ50" i="65"/>
  <c r="BK50" i="65"/>
  <c r="BL50" i="65"/>
  <c r="BM50" i="65"/>
  <c r="BN50" i="65"/>
  <c r="BO50" i="65"/>
  <c r="BP50" i="65"/>
  <c r="BQ50" i="65"/>
  <c r="BR50" i="65"/>
  <c r="BS50" i="65"/>
  <c r="BT50" i="65"/>
  <c r="BU50" i="65"/>
  <c r="BV50" i="65"/>
  <c r="BW50" i="65"/>
  <c r="BX50" i="65"/>
  <c r="BY50" i="65"/>
  <c r="BZ50" i="65"/>
  <c r="CA50" i="65"/>
  <c r="CB50" i="65"/>
  <c r="CC50" i="65"/>
  <c r="CD50" i="65"/>
  <c r="CE50" i="65"/>
  <c r="CF50" i="65"/>
  <c r="CG50" i="65"/>
  <c r="CH50" i="65"/>
  <c r="CI50" i="65"/>
  <c r="D51" i="65"/>
  <c r="F51" i="65"/>
  <c r="G51" i="65"/>
  <c r="H51" i="65"/>
  <c r="I51" i="65"/>
  <c r="J51" i="65"/>
  <c r="K51" i="65"/>
  <c r="L51" i="65"/>
  <c r="M51" i="65"/>
  <c r="N51" i="65"/>
  <c r="O51" i="65"/>
  <c r="P51" i="65"/>
  <c r="Q51" i="65"/>
  <c r="R51" i="65"/>
  <c r="S51" i="65"/>
  <c r="T51" i="65"/>
  <c r="U51" i="65"/>
  <c r="V51" i="65"/>
  <c r="W51" i="65"/>
  <c r="X51" i="65"/>
  <c r="Y51" i="65"/>
  <c r="Z51" i="65"/>
  <c r="AA51" i="65"/>
  <c r="AB51" i="65"/>
  <c r="AC51" i="65"/>
  <c r="AD51" i="65"/>
  <c r="AE51" i="65"/>
  <c r="AF51" i="65"/>
  <c r="AG51" i="65"/>
  <c r="AH51" i="65"/>
  <c r="AI51" i="65"/>
  <c r="AJ51" i="65"/>
  <c r="AK51" i="65"/>
  <c r="AL51" i="65"/>
  <c r="AM51" i="65"/>
  <c r="AN51" i="65"/>
  <c r="AO51" i="65"/>
  <c r="AP51" i="65"/>
  <c r="AQ51" i="65"/>
  <c r="AR51" i="65"/>
  <c r="AS51" i="65"/>
  <c r="AT51" i="65"/>
  <c r="AU51" i="65"/>
  <c r="AV51" i="65"/>
  <c r="AW51" i="65"/>
  <c r="AX51" i="65"/>
  <c r="AY51" i="65"/>
  <c r="AZ51" i="65"/>
  <c r="BA51" i="65"/>
  <c r="BB51" i="65"/>
  <c r="BC51" i="65"/>
  <c r="BD51" i="65"/>
  <c r="BE51" i="65"/>
  <c r="BF51" i="65"/>
  <c r="BG51" i="65"/>
  <c r="BH51" i="65"/>
  <c r="BI51" i="65"/>
  <c r="BJ51" i="65"/>
  <c r="BK51" i="65"/>
  <c r="BL51" i="65"/>
  <c r="BM51" i="65"/>
  <c r="BN51" i="65"/>
  <c r="BO51" i="65"/>
  <c r="BP51" i="65"/>
  <c r="BQ51" i="65"/>
  <c r="BR51" i="65"/>
  <c r="BS51" i="65"/>
  <c r="BT51" i="65"/>
  <c r="BU51" i="65"/>
  <c r="BV51" i="65"/>
  <c r="BW51" i="65"/>
  <c r="BX51" i="65"/>
  <c r="BY51" i="65"/>
  <c r="BZ51" i="65"/>
  <c r="CA51" i="65"/>
  <c r="CB51" i="65"/>
  <c r="CC51" i="65"/>
  <c r="CD51" i="65"/>
  <c r="CE51" i="65"/>
  <c r="CF51" i="65"/>
  <c r="CG51" i="65"/>
  <c r="CH51" i="65"/>
  <c r="CI51" i="65"/>
  <c r="D52" i="65"/>
  <c r="F52" i="65"/>
  <c r="G52" i="65"/>
  <c r="H52" i="65"/>
  <c r="I52" i="65"/>
  <c r="J52" i="65"/>
  <c r="K52" i="65"/>
  <c r="L52" i="65"/>
  <c r="M52" i="65"/>
  <c r="N52" i="65"/>
  <c r="O52" i="65"/>
  <c r="P52" i="65"/>
  <c r="Q52" i="65"/>
  <c r="R52" i="65"/>
  <c r="S52" i="65"/>
  <c r="T52" i="65"/>
  <c r="U52" i="65"/>
  <c r="V52" i="65"/>
  <c r="W52" i="65"/>
  <c r="X52" i="65"/>
  <c r="Y52" i="65"/>
  <c r="Z52" i="65"/>
  <c r="AA52" i="65"/>
  <c r="AB52" i="65"/>
  <c r="AC52" i="65"/>
  <c r="AD52" i="65"/>
  <c r="AE52" i="65"/>
  <c r="AF52" i="65"/>
  <c r="AG52" i="65"/>
  <c r="AH52" i="65"/>
  <c r="AI52" i="65"/>
  <c r="AJ52" i="65"/>
  <c r="AK52" i="65"/>
  <c r="AL52" i="65"/>
  <c r="AM52" i="65"/>
  <c r="AN52" i="65"/>
  <c r="AO52" i="65"/>
  <c r="AP52" i="65"/>
  <c r="AQ52" i="65"/>
  <c r="AR52" i="65"/>
  <c r="AS52" i="65"/>
  <c r="AT52" i="65"/>
  <c r="AU52" i="65"/>
  <c r="AV52" i="65"/>
  <c r="AW52" i="65"/>
  <c r="AX52" i="65"/>
  <c r="AY52" i="65"/>
  <c r="AZ52" i="65"/>
  <c r="BA52" i="65"/>
  <c r="BB52" i="65"/>
  <c r="BC52" i="65"/>
  <c r="BD52" i="65"/>
  <c r="BE52" i="65"/>
  <c r="BF52" i="65"/>
  <c r="BG52" i="65"/>
  <c r="BH52" i="65"/>
  <c r="BI52" i="65"/>
  <c r="BJ52" i="65"/>
  <c r="BK52" i="65"/>
  <c r="BL52" i="65"/>
  <c r="BM52" i="65"/>
  <c r="BN52" i="65"/>
  <c r="BO52" i="65"/>
  <c r="BP52" i="65"/>
  <c r="BQ52" i="65"/>
  <c r="BR52" i="65"/>
  <c r="BS52" i="65"/>
  <c r="BT52" i="65"/>
  <c r="BU52" i="65"/>
  <c r="BV52" i="65"/>
  <c r="BW52" i="65"/>
  <c r="BX52" i="65"/>
  <c r="BY52" i="65"/>
  <c r="BZ52" i="65"/>
  <c r="CA52" i="65"/>
  <c r="CB52" i="65"/>
  <c r="CC52" i="65"/>
  <c r="CD52" i="65"/>
  <c r="CE52" i="65"/>
  <c r="CF52" i="65"/>
  <c r="CG52" i="65"/>
  <c r="CH52" i="65"/>
  <c r="CI52" i="65"/>
  <c r="D53" i="65"/>
  <c r="F53" i="65"/>
  <c r="G53" i="65"/>
  <c r="H53" i="65"/>
  <c r="I53" i="65"/>
  <c r="J53" i="65"/>
  <c r="K53" i="65"/>
  <c r="L53" i="65"/>
  <c r="M53" i="65"/>
  <c r="N53" i="65"/>
  <c r="O53" i="65"/>
  <c r="P53" i="65"/>
  <c r="Q53" i="65"/>
  <c r="R53" i="65"/>
  <c r="S53" i="65"/>
  <c r="T53" i="65"/>
  <c r="U53" i="65"/>
  <c r="V53" i="65"/>
  <c r="W53" i="65"/>
  <c r="X53" i="65"/>
  <c r="Y53" i="65"/>
  <c r="Z53" i="65"/>
  <c r="AA53" i="65"/>
  <c r="AB53" i="65"/>
  <c r="AC53" i="65"/>
  <c r="AD53" i="65"/>
  <c r="AE53" i="65"/>
  <c r="AF53" i="65"/>
  <c r="AG53" i="65"/>
  <c r="AH53" i="65"/>
  <c r="AI53" i="65"/>
  <c r="AJ53" i="65"/>
  <c r="AK53" i="65"/>
  <c r="AL53" i="65"/>
  <c r="AM53" i="65"/>
  <c r="AN53" i="65"/>
  <c r="AO53" i="65"/>
  <c r="AP53" i="65"/>
  <c r="AQ53" i="65"/>
  <c r="AR53" i="65"/>
  <c r="AS53" i="65"/>
  <c r="AT53" i="65"/>
  <c r="AU53" i="65"/>
  <c r="AV53" i="65"/>
  <c r="AW53" i="65"/>
  <c r="AX53" i="65"/>
  <c r="AY53" i="65"/>
  <c r="AZ53" i="65"/>
  <c r="BA53" i="65"/>
  <c r="BB53" i="65"/>
  <c r="BC53" i="65"/>
  <c r="BD53" i="65"/>
  <c r="BE53" i="65"/>
  <c r="BF53" i="65"/>
  <c r="BG53" i="65"/>
  <c r="BH53" i="65"/>
  <c r="BI53" i="65"/>
  <c r="BJ53" i="65"/>
  <c r="BK53" i="65"/>
  <c r="BL53" i="65"/>
  <c r="BM53" i="65"/>
  <c r="BN53" i="65"/>
  <c r="BO53" i="65"/>
  <c r="BP53" i="65"/>
  <c r="BQ53" i="65"/>
  <c r="BR53" i="65"/>
  <c r="BS53" i="65"/>
  <c r="BT53" i="65"/>
  <c r="BU53" i="65"/>
  <c r="BV53" i="65"/>
  <c r="BW53" i="65"/>
  <c r="BX53" i="65"/>
  <c r="BY53" i="65"/>
  <c r="BZ53" i="65"/>
  <c r="CA53" i="65"/>
  <c r="CB53" i="65"/>
  <c r="CC53" i="65"/>
  <c r="CD53" i="65"/>
  <c r="CE53" i="65"/>
  <c r="CF53" i="65"/>
  <c r="CG53" i="65"/>
  <c r="CH53" i="65"/>
  <c r="CI53" i="65"/>
  <c r="D54" i="65"/>
  <c r="F54" i="65"/>
  <c r="G54" i="65"/>
  <c r="H54" i="65"/>
  <c r="I54" i="65"/>
  <c r="J54" i="65"/>
  <c r="K54" i="65"/>
  <c r="L54" i="65"/>
  <c r="M54" i="65"/>
  <c r="N54" i="65"/>
  <c r="O54" i="65"/>
  <c r="P54" i="65"/>
  <c r="Q54" i="65"/>
  <c r="R54" i="65"/>
  <c r="S54" i="65"/>
  <c r="T54" i="65"/>
  <c r="U54" i="65"/>
  <c r="V54" i="65"/>
  <c r="W54" i="65"/>
  <c r="X54" i="65"/>
  <c r="Y54" i="65"/>
  <c r="Z54" i="65"/>
  <c r="AA54" i="65"/>
  <c r="AB54" i="65"/>
  <c r="AC54" i="65"/>
  <c r="AD54" i="65"/>
  <c r="AE54" i="65"/>
  <c r="AF54" i="65"/>
  <c r="AG54" i="65"/>
  <c r="AH54" i="65"/>
  <c r="AI54" i="65"/>
  <c r="AJ54" i="65"/>
  <c r="AK54" i="65"/>
  <c r="AL54" i="65"/>
  <c r="AM54" i="65"/>
  <c r="AN54" i="65"/>
  <c r="AO54" i="65"/>
  <c r="AP54" i="65"/>
  <c r="AQ54" i="65"/>
  <c r="AR54" i="65"/>
  <c r="AS54" i="65"/>
  <c r="AT54" i="65"/>
  <c r="AU54" i="65"/>
  <c r="AV54" i="65"/>
  <c r="AW54" i="65"/>
  <c r="AX54" i="65"/>
  <c r="AY54" i="65"/>
  <c r="AZ54" i="65"/>
  <c r="BA54" i="65"/>
  <c r="BB54" i="65"/>
  <c r="BC54" i="65"/>
  <c r="BD54" i="65"/>
  <c r="BE54" i="65"/>
  <c r="BF54" i="65"/>
  <c r="BG54" i="65"/>
  <c r="BH54" i="65"/>
  <c r="BI54" i="65"/>
  <c r="BJ54" i="65"/>
  <c r="BK54" i="65"/>
  <c r="BL54" i="65"/>
  <c r="BM54" i="65"/>
  <c r="BN54" i="65"/>
  <c r="BO54" i="65"/>
  <c r="BP54" i="65"/>
  <c r="BQ54" i="65"/>
  <c r="BR54" i="65"/>
  <c r="BS54" i="65"/>
  <c r="BT54" i="65"/>
  <c r="BU54" i="65"/>
  <c r="BV54" i="65"/>
  <c r="BW54" i="65"/>
  <c r="BX54" i="65"/>
  <c r="BY54" i="65"/>
  <c r="BZ54" i="65"/>
  <c r="CA54" i="65"/>
  <c r="CB54" i="65"/>
  <c r="CC54" i="65"/>
  <c r="CD54" i="65"/>
  <c r="CE54" i="65"/>
  <c r="CF54" i="65"/>
  <c r="CG54" i="65"/>
  <c r="CH54" i="65"/>
  <c r="CI54" i="65"/>
  <c r="D55" i="65"/>
  <c r="F55" i="65"/>
  <c r="G55" i="65"/>
  <c r="H55" i="65"/>
  <c r="I55" i="65"/>
  <c r="J55" i="65"/>
  <c r="K55" i="65"/>
  <c r="L55" i="65"/>
  <c r="M55" i="65"/>
  <c r="N55" i="65"/>
  <c r="O55" i="65"/>
  <c r="P55" i="65"/>
  <c r="Q55" i="65"/>
  <c r="R55" i="65"/>
  <c r="S55" i="65"/>
  <c r="T55" i="65"/>
  <c r="U55" i="65"/>
  <c r="V55" i="65"/>
  <c r="W55" i="65"/>
  <c r="X55" i="65"/>
  <c r="Y55" i="65"/>
  <c r="Z55" i="65"/>
  <c r="AA55" i="65"/>
  <c r="AB55" i="65"/>
  <c r="AC55" i="65"/>
  <c r="AD55" i="65"/>
  <c r="AE55" i="65"/>
  <c r="AF55" i="65"/>
  <c r="AG55" i="65"/>
  <c r="AH55" i="65"/>
  <c r="AI55" i="65"/>
  <c r="AJ55" i="65"/>
  <c r="AK55" i="65"/>
  <c r="AL55" i="65"/>
  <c r="AM55" i="65"/>
  <c r="AN55" i="65"/>
  <c r="AO55" i="65"/>
  <c r="AP55" i="65"/>
  <c r="AQ55" i="65"/>
  <c r="AR55" i="65"/>
  <c r="AS55" i="65"/>
  <c r="AT55" i="65"/>
  <c r="AU55" i="65"/>
  <c r="AV55" i="65"/>
  <c r="AW55" i="65"/>
  <c r="AX55" i="65"/>
  <c r="AY55" i="65"/>
  <c r="AZ55" i="65"/>
  <c r="BA55" i="65"/>
  <c r="BB55" i="65"/>
  <c r="BC55" i="65"/>
  <c r="BD55" i="65"/>
  <c r="BE55" i="65"/>
  <c r="BF55" i="65"/>
  <c r="BG55" i="65"/>
  <c r="BH55" i="65"/>
  <c r="BI55" i="65"/>
  <c r="BJ55" i="65"/>
  <c r="BK55" i="65"/>
  <c r="BL55" i="65"/>
  <c r="BM55" i="65"/>
  <c r="BN55" i="65"/>
  <c r="BO55" i="65"/>
  <c r="BP55" i="65"/>
  <c r="BQ55" i="65"/>
  <c r="BR55" i="65"/>
  <c r="BS55" i="65"/>
  <c r="BT55" i="65"/>
  <c r="BU55" i="65"/>
  <c r="BV55" i="65"/>
  <c r="BW55" i="65"/>
  <c r="BX55" i="65"/>
  <c r="BY55" i="65"/>
  <c r="BZ55" i="65"/>
  <c r="CA55" i="65"/>
  <c r="CB55" i="65"/>
  <c r="CC55" i="65"/>
  <c r="CD55" i="65"/>
  <c r="CE55" i="65"/>
  <c r="CF55" i="65"/>
  <c r="CG55" i="65"/>
  <c r="CH55" i="65"/>
  <c r="CI55" i="65"/>
  <c r="D56" i="65"/>
  <c r="F56" i="65"/>
  <c r="G56" i="65"/>
  <c r="H56" i="65"/>
  <c r="I56" i="65"/>
  <c r="J56" i="65"/>
  <c r="K56" i="65"/>
  <c r="L56" i="65"/>
  <c r="M56" i="65"/>
  <c r="N56" i="65"/>
  <c r="O56" i="65"/>
  <c r="P56" i="65"/>
  <c r="Q56" i="65"/>
  <c r="R56" i="65"/>
  <c r="S56" i="65"/>
  <c r="T56" i="65"/>
  <c r="U56" i="65"/>
  <c r="V56" i="65"/>
  <c r="W56" i="65"/>
  <c r="X56" i="65"/>
  <c r="Y56" i="65"/>
  <c r="Z56" i="65"/>
  <c r="AA56" i="65"/>
  <c r="AB56" i="65"/>
  <c r="AC56" i="65"/>
  <c r="AD56" i="65"/>
  <c r="AE56" i="65"/>
  <c r="AF56" i="65"/>
  <c r="AG56" i="65"/>
  <c r="AH56" i="65"/>
  <c r="AI56" i="65"/>
  <c r="AJ56" i="65"/>
  <c r="AK56" i="65"/>
  <c r="AL56" i="65"/>
  <c r="AM56" i="65"/>
  <c r="AN56" i="65"/>
  <c r="AO56" i="65"/>
  <c r="AP56" i="65"/>
  <c r="AQ56" i="65"/>
  <c r="AR56" i="65"/>
  <c r="AS56" i="65"/>
  <c r="AT56" i="65"/>
  <c r="AU56" i="65"/>
  <c r="AV56" i="65"/>
  <c r="AW56" i="65"/>
  <c r="AX56" i="65"/>
  <c r="AY56" i="65"/>
  <c r="AZ56" i="65"/>
  <c r="BA56" i="65"/>
  <c r="BB56" i="65"/>
  <c r="BC56" i="65"/>
  <c r="BD56" i="65"/>
  <c r="BE56" i="65"/>
  <c r="BF56" i="65"/>
  <c r="BG56" i="65"/>
  <c r="BH56" i="65"/>
  <c r="BI56" i="65"/>
  <c r="BJ56" i="65"/>
  <c r="BK56" i="65"/>
  <c r="BL56" i="65"/>
  <c r="BM56" i="65"/>
  <c r="BN56" i="65"/>
  <c r="BO56" i="65"/>
  <c r="BP56" i="65"/>
  <c r="BQ56" i="65"/>
  <c r="BR56" i="65"/>
  <c r="BS56" i="65"/>
  <c r="BT56" i="65"/>
  <c r="BU56" i="65"/>
  <c r="BV56" i="65"/>
  <c r="BW56" i="65"/>
  <c r="BX56" i="65"/>
  <c r="BY56" i="65"/>
  <c r="BZ56" i="65"/>
  <c r="CA56" i="65"/>
  <c r="CB56" i="65"/>
  <c r="CC56" i="65"/>
  <c r="CD56" i="65"/>
  <c r="CE56" i="65"/>
  <c r="CF56" i="65"/>
  <c r="CG56" i="65"/>
  <c r="CH56" i="65"/>
  <c r="CI56" i="65"/>
  <c r="D57" i="65"/>
  <c r="F57" i="65"/>
  <c r="G57" i="65"/>
  <c r="H57" i="65"/>
  <c r="I57" i="65"/>
  <c r="J57" i="65"/>
  <c r="K57" i="65"/>
  <c r="L57" i="65"/>
  <c r="M57" i="65"/>
  <c r="N57" i="65"/>
  <c r="O57" i="65"/>
  <c r="P57" i="65"/>
  <c r="Q57" i="65"/>
  <c r="R57" i="65"/>
  <c r="S57" i="65"/>
  <c r="T57" i="65"/>
  <c r="U57" i="65"/>
  <c r="V57" i="65"/>
  <c r="W57" i="65"/>
  <c r="X57" i="65"/>
  <c r="Y57" i="65"/>
  <c r="Z57" i="65"/>
  <c r="AA57" i="65"/>
  <c r="AB57" i="65"/>
  <c r="AC57" i="65"/>
  <c r="AD57" i="65"/>
  <c r="AE57" i="65"/>
  <c r="AF57" i="65"/>
  <c r="AG57" i="65"/>
  <c r="AH57" i="65"/>
  <c r="AI57" i="65"/>
  <c r="AJ57" i="65"/>
  <c r="AK57" i="65"/>
  <c r="AL57" i="65"/>
  <c r="AM57" i="65"/>
  <c r="AN57" i="65"/>
  <c r="AO57" i="65"/>
  <c r="AP57" i="65"/>
  <c r="AQ57" i="65"/>
  <c r="AR57" i="65"/>
  <c r="AS57" i="65"/>
  <c r="AT57" i="65"/>
  <c r="AU57" i="65"/>
  <c r="AV57" i="65"/>
  <c r="AW57" i="65"/>
  <c r="AX57" i="65"/>
  <c r="AY57" i="65"/>
  <c r="AZ57" i="65"/>
  <c r="BA57" i="65"/>
  <c r="BB57" i="65"/>
  <c r="BC57" i="65"/>
  <c r="BD57" i="65"/>
  <c r="BE57" i="65"/>
  <c r="BF57" i="65"/>
  <c r="BG57" i="65"/>
  <c r="BH57" i="65"/>
  <c r="BI57" i="65"/>
  <c r="BJ57" i="65"/>
  <c r="BK57" i="65"/>
  <c r="BL57" i="65"/>
  <c r="BM57" i="65"/>
  <c r="BN57" i="65"/>
  <c r="BO57" i="65"/>
  <c r="BP57" i="65"/>
  <c r="BQ57" i="65"/>
  <c r="BR57" i="65"/>
  <c r="BS57" i="65"/>
  <c r="BT57" i="65"/>
  <c r="BU57" i="65"/>
  <c r="BV57" i="65"/>
  <c r="BW57" i="65"/>
  <c r="BX57" i="65"/>
  <c r="BY57" i="65"/>
  <c r="BZ57" i="65"/>
  <c r="CA57" i="65"/>
  <c r="CB57" i="65"/>
  <c r="CC57" i="65"/>
  <c r="CD57" i="65"/>
  <c r="CE57" i="65"/>
  <c r="CF57" i="65"/>
  <c r="CG57" i="65"/>
  <c r="CH57" i="65"/>
  <c r="CI57" i="65"/>
  <c r="D58" i="65"/>
  <c r="F58" i="65"/>
  <c r="G58" i="65"/>
  <c r="H58" i="65"/>
  <c r="I58" i="65"/>
  <c r="J58" i="65"/>
  <c r="K58" i="65"/>
  <c r="L58" i="65"/>
  <c r="M58" i="65"/>
  <c r="N58" i="65"/>
  <c r="O58" i="65"/>
  <c r="P58" i="65"/>
  <c r="Q58" i="65"/>
  <c r="R58" i="65"/>
  <c r="S58" i="65"/>
  <c r="T58" i="65"/>
  <c r="U58" i="65"/>
  <c r="V58" i="65"/>
  <c r="W58" i="65"/>
  <c r="X58" i="65"/>
  <c r="Y58" i="65"/>
  <c r="Z58" i="65"/>
  <c r="AA58" i="65"/>
  <c r="AB58" i="65"/>
  <c r="AC58" i="65"/>
  <c r="AD58" i="65"/>
  <c r="AE58" i="65"/>
  <c r="AF58" i="65"/>
  <c r="AG58" i="65"/>
  <c r="AH58" i="65"/>
  <c r="AI58" i="65"/>
  <c r="AJ58" i="65"/>
  <c r="AK58" i="65"/>
  <c r="AL58" i="65"/>
  <c r="AM58" i="65"/>
  <c r="AN58" i="65"/>
  <c r="AO58" i="65"/>
  <c r="AP58" i="65"/>
  <c r="AQ58" i="65"/>
  <c r="AR58" i="65"/>
  <c r="AS58" i="65"/>
  <c r="AT58" i="65"/>
  <c r="AU58" i="65"/>
  <c r="AV58" i="65"/>
  <c r="AW58" i="65"/>
  <c r="AX58" i="65"/>
  <c r="AY58" i="65"/>
  <c r="AZ58" i="65"/>
  <c r="BA58" i="65"/>
  <c r="BB58" i="65"/>
  <c r="BC58" i="65"/>
  <c r="BD58" i="65"/>
  <c r="BE58" i="65"/>
  <c r="BF58" i="65"/>
  <c r="BG58" i="65"/>
  <c r="BH58" i="65"/>
  <c r="BI58" i="65"/>
  <c r="BJ58" i="65"/>
  <c r="BK58" i="65"/>
  <c r="BL58" i="65"/>
  <c r="BM58" i="65"/>
  <c r="BN58" i="65"/>
  <c r="BO58" i="65"/>
  <c r="BP58" i="65"/>
  <c r="BQ58" i="65"/>
  <c r="BR58" i="65"/>
  <c r="BS58" i="65"/>
  <c r="BT58" i="65"/>
  <c r="BU58" i="65"/>
  <c r="BV58" i="65"/>
  <c r="BW58" i="65"/>
  <c r="BX58" i="65"/>
  <c r="BY58" i="65"/>
  <c r="BZ58" i="65"/>
  <c r="CA58" i="65"/>
  <c r="CB58" i="65"/>
  <c r="CC58" i="65"/>
  <c r="CD58" i="65"/>
  <c r="CE58" i="65"/>
  <c r="CF58" i="65"/>
  <c r="CG58" i="65"/>
  <c r="CH58" i="65"/>
  <c r="CI58" i="65"/>
  <c r="D59" i="65"/>
  <c r="F59" i="65"/>
  <c r="G59" i="65"/>
  <c r="H59" i="65"/>
  <c r="I59" i="65"/>
  <c r="J59" i="65"/>
  <c r="K59" i="65"/>
  <c r="L59" i="65"/>
  <c r="M59" i="65"/>
  <c r="N59" i="65"/>
  <c r="O59" i="65"/>
  <c r="P59" i="65"/>
  <c r="Q59" i="65"/>
  <c r="R59" i="65"/>
  <c r="S59" i="65"/>
  <c r="T59" i="65"/>
  <c r="U59" i="65"/>
  <c r="V59" i="65"/>
  <c r="W59" i="65"/>
  <c r="X59" i="65"/>
  <c r="Y59" i="65"/>
  <c r="Z59" i="65"/>
  <c r="AA59" i="65"/>
  <c r="AB59" i="65"/>
  <c r="AC59" i="65"/>
  <c r="AD59" i="65"/>
  <c r="AE59" i="65"/>
  <c r="AF59" i="65"/>
  <c r="AG59" i="65"/>
  <c r="AH59" i="65"/>
  <c r="AI59" i="65"/>
  <c r="AJ59" i="65"/>
  <c r="AK59" i="65"/>
  <c r="AL59" i="65"/>
  <c r="AM59" i="65"/>
  <c r="AN59" i="65"/>
  <c r="AO59" i="65"/>
  <c r="AP59" i="65"/>
  <c r="AQ59" i="65"/>
  <c r="AR59" i="65"/>
  <c r="AS59" i="65"/>
  <c r="AT59" i="65"/>
  <c r="AU59" i="65"/>
  <c r="AV59" i="65"/>
  <c r="AW59" i="65"/>
  <c r="AX59" i="65"/>
  <c r="AY59" i="65"/>
  <c r="AZ59" i="65"/>
  <c r="BA59" i="65"/>
  <c r="BB59" i="65"/>
  <c r="BC59" i="65"/>
  <c r="BD59" i="65"/>
  <c r="BE59" i="65"/>
  <c r="BF59" i="65"/>
  <c r="BG59" i="65"/>
  <c r="BH59" i="65"/>
  <c r="BI59" i="65"/>
  <c r="BJ59" i="65"/>
  <c r="BK59" i="65"/>
  <c r="BL59" i="65"/>
  <c r="BM59" i="65"/>
  <c r="BN59" i="65"/>
  <c r="BO59" i="65"/>
  <c r="BP59" i="65"/>
  <c r="BQ59" i="65"/>
  <c r="BR59" i="65"/>
  <c r="BS59" i="65"/>
  <c r="BT59" i="65"/>
  <c r="BU59" i="65"/>
  <c r="BV59" i="65"/>
  <c r="BW59" i="65"/>
  <c r="BX59" i="65"/>
  <c r="BY59" i="65"/>
  <c r="BZ59" i="65"/>
  <c r="CA59" i="65"/>
  <c r="CB59" i="65"/>
  <c r="CC59" i="65"/>
  <c r="CD59" i="65"/>
  <c r="CE59" i="65"/>
  <c r="CF59" i="65"/>
  <c r="CG59" i="65"/>
  <c r="CH59" i="65"/>
  <c r="CI59" i="65"/>
  <c r="D60" i="65"/>
  <c r="F60" i="65"/>
  <c r="G60" i="65"/>
  <c r="H60" i="65"/>
  <c r="I60" i="65"/>
  <c r="J60" i="65"/>
  <c r="K60" i="65"/>
  <c r="L60" i="65"/>
  <c r="M60" i="65"/>
  <c r="N60" i="65"/>
  <c r="O60" i="65"/>
  <c r="P60" i="65"/>
  <c r="Q60" i="65"/>
  <c r="R60" i="65"/>
  <c r="S60" i="65"/>
  <c r="T60" i="65"/>
  <c r="U60" i="65"/>
  <c r="V60" i="65"/>
  <c r="W60" i="65"/>
  <c r="X60" i="65"/>
  <c r="Y60" i="65"/>
  <c r="Z60" i="65"/>
  <c r="AA60" i="65"/>
  <c r="AB60" i="65"/>
  <c r="AC60" i="65"/>
  <c r="AD60" i="65"/>
  <c r="AE60" i="65"/>
  <c r="AF60" i="65"/>
  <c r="AG60" i="65"/>
  <c r="AH60" i="65"/>
  <c r="AI60" i="65"/>
  <c r="AJ60" i="65"/>
  <c r="AK60" i="65"/>
  <c r="AL60" i="65"/>
  <c r="AM60" i="65"/>
  <c r="AN60" i="65"/>
  <c r="AO60" i="65"/>
  <c r="AP60" i="65"/>
  <c r="AQ60" i="65"/>
  <c r="AR60" i="65"/>
  <c r="AS60" i="65"/>
  <c r="AT60" i="65"/>
  <c r="AU60" i="65"/>
  <c r="AV60" i="65"/>
  <c r="AW60" i="65"/>
  <c r="AX60" i="65"/>
  <c r="AY60" i="65"/>
  <c r="AZ60" i="65"/>
  <c r="BA60" i="65"/>
  <c r="BB60" i="65"/>
  <c r="BC60" i="65"/>
  <c r="BD60" i="65"/>
  <c r="BE60" i="65"/>
  <c r="BF60" i="65"/>
  <c r="BG60" i="65"/>
  <c r="BH60" i="65"/>
  <c r="BI60" i="65"/>
  <c r="BJ60" i="65"/>
  <c r="BK60" i="65"/>
  <c r="BL60" i="65"/>
  <c r="BM60" i="65"/>
  <c r="BN60" i="65"/>
  <c r="BO60" i="65"/>
  <c r="BP60" i="65"/>
  <c r="BQ60" i="65"/>
  <c r="BR60" i="65"/>
  <c r="BS60" i="65"/>
  <c r="BT60" i="65"/>
  <c r="BU60" i="65"/>
  <c r="BV60" i="65"/>
  <c r="BW60" i="65"/>
  <c r="BX60" i="65"/>
  <c r="BY60" i="65"/>
  <c r="BZ60" i="65"/>
  <c r="CA60" i="65"/>
  <c r="CB60" i="65"/>
  <c r="CC60" i="65"/>
  <c r="CD60" i="65"/>
  <c r="CE60" i="65"/>
  <c r="CF60" i="65"/>
  <c r="CG60" i="65"/>
  <c r="CH60" i="65"/>
  <c r="CI60" i="65"/>
  <c r="D61" i="65"/>
  <c r="F61" i="65"/>
  <c r="G61" i="65"/>
  <c r="H61" i="65"/>
  <c r="I61" i="65"/>
  <c r="J61" i="65"/>
  <c r="K61" i="65"/>
  <c r="L61" i="65"/>
  <c r="M61" i="65"/>
  <c r="N61" i="65"/>
  <c r="O61" i="65"/>
  <c r="P61" i="65"/>
  <c r="Q61" i="65"/>
  <c r="R61" i="65"/>
  <c r="S61" i="65"/>
  <c r="T61" i="65"/>
  <c r="U61" i="65"/>
  <c r="V61" i="65"/>
  <c r="W61" i="65"/>
  <c r="X61" i="65"/>
  <c r="Y61" i="65"/>
  <c r="Z61" i="65"/>
  <c r="AA61" i="65"/>
  <c r="AB61" i="65"/>
  <c r="AC61" i="65"/>
  <c r="AD61" i="65"/>
  <c r="AE61" i="65"/>
  <c r="AF61" i="65"/>
  <c r="AG61" i="65"/>
  <c r="AH61" i="65"/>
  <c r="AI61" i="65"/>
  <c r="AJ61" i="65"/>
  <c r="AK61" i="65"/>
  <c r="AL61" i="65"/>
  <c r="AM61" i="65"/>
  <c r="AN61" i="65"/>
  <c r="AO61" i="65"/>
  <c r="AP61" i="65"/>
  <c r="AQ61" i="65"/>
  <c r="AR61" i="65"/>
  <c r="AS61" i="65"/>
  <c r="AT61" i="65"/>
  <c r="AU61" i="65"/>
  <c r="AV61" i="65"/>
  <c r="AW61" i="65"/>
  <c r="AX61" i="65"/>
  <c r="AY61" i="65"/>
  <c r="AZ61" i="65"/>
  <c r="BA61" i="65"/>
  <c r="BB61" i="65"/>
  <c r="BC61" i="65"/>
  <c r="BD61" i="65"/>
  <c r="BE61" i="65"/>
  <c r="BF61" i="65"/>
  <c r="BG61" i="65"/>
  <c r="BH61" i="65"/>
  <c r="BI61" i="65"/>
  <c r="BJ61" i="65"/>
  <c r="BK61" i="65"/>
  <c r="BL61" i="65"/>
  <c r="BM61" i="65"/>
  <c r="BN61" i="65"/>
  <c r="BO61" i="65"/>
  <c r="BP61" i="65"/>
  <c r="BQ61" i="65"/>
  <c r="BR61" i="65"/>
  <c r="BS61" i="65"/>
  <c r="BT61" i="65"/>
  <c r="BU61" i="65"/>
  <c r="BV61" i="65"/>
  <c r="BW61" i="65"/>
  <c r="BX61" i="65"/>
  <c r="BY61" i="65"/>
  <c r="BZ61" i="65"/>
  <c r="CA61" i="65"/>
  <c r="CB61" i="65"/>
  <c r="CC61" i="65"/>
  <c r="CD61" i="65"/>
  <c r="CE61" i="65"/>
  <c r="CF61" i="65"/>
  <c r="CG61" i="65"/>
  <c r="CH61" i="65"/>
  <c r="CI61" i="65"/>
  <c r="D62" i="65"/>
  <c r="F62" i="65"/>
  <c r="G62" i="65"/>
  <c r="H62" i="65"/>
  <c r="I62" i="65"/>
  <c r="J62" i="65"/>
  <c r="K62" i="65"/>
  <c r="L62" i="65"/>
  <c r="M62" i="65"/>
  <c r="N62" i="65"/>
  <c r="O62" i="65"/>
  <c r="P62" i="65"/>
  <c r="Q62" i="65"/>
  <c r="R62" i="65"/>
  <c r="S62" i="65"/>
  <c r="T62" i="65"/>
  <c r="U62" i="65"/>
  <c r="V62" i="65"/>
  <c r="W62" i="65"/>
  <c r="X62" i="65"/>
  <c r="Y62" i="65"/>
  <c r="Z62" i="65"/>
  <c r="AA62" i="65"/>
  <c r="AB62" i="65"/>
  <c r="AC62" i="65"/>
  <c r="AD62" i="65"/>
  <c r="AE62" i="65"/>
  <c r="AF62" i="65"/>
  <c r="AG62" i="65"/>
  <c r="AH62" i="65"/>
  <c r="AI62" i="65"/>
  <c r="AJ62" i="65"/>
  <c r="AK62" i="65"/>
  <c r="AL62" i="65"/>
  <c r="AM62" i="65"/>
  <c r="AN62" i="65"/>
  <c r="AO62" i="65"/>
  <c r="AP62" i="65"/>
  <c r="AQ62" i="65"/>
  <c r="AR62" i="65"/>
  <c r="AS62" i="65"/>
  <c r="AT62" i="65"/>
  <c r="AU62" i="65"/>
  <c r="AV62" i="65"/>
  <c r="AW62" i="65"/>
  <c r="AX62" i="65"/>
  <c r="AY62" i="65"/>
  <c r="AZ62" i="65"/>
  <c r="BA62" i="65"/>
  <c r="BB62" i="65"/>
  <c r="BC62" i="65"/>
  <c r="BD62" i="65"/>
  <c r="BE62" i="65"/>
  <c r="BF62" i="65"/>
  <c r="BG62" i="65"/>
  <c r="BH62" i="65"/>
  <c r="BI62" i="65"/>
  <c r="BJ62" i="65"/>
  <c r="BK62" i="65"/>
  <c r="BL62" i="65"/>
  <c r="BM62" i="65"/>
  <c r="BN62" i="65"/>
  <c r="BO62" i="65"/>
  <c r="BP62" i="65"/>
  <c r="BQ62" i="65"/>
  <c r="BR62" i="65"/>
  <c r="BS62" i="65"/>
  <c r="BT62" i="65"/>
  <c r="BU62" i="65"/>
  <c r="BV62" i="65"/>
  <c r="BW62" i="65"/>
  <c r="BX62" i="65"/>
  <c r="BY62" i="65"/>
  <c r="BZ62" i="65"/>
  <c r="CA62" i="65"/>
  <c r="CB62" i="65"/>
  <c r="CC62" i="65"/>
  <c r="CD62" i="65"/>
  <c r="CE62" i="65"/>
  <c r="CF62" i="65"/>
  <c r="CG62" i="65"/>
  <c r="CH62" i="65"/>
  <c r="CI62" i="65"/>
  <c r="D63" i="65"/>
  <c r="F63" i="65"/>
  <c r="G63" i="65"/>
  <c r="H63" i="65"/>
  <c r="I63" i="65"/>
  <c r="J63" i="65"/>
  <c r="K63" i="65"/>
  <c r="L63" i="65"/>
  <c r="M63" i="65"/>
  <c r="N63" i="65"/>
  <c r="O63" i="65"/>
  <c r="P63" i="65"/>
  <c r="Q63" i="65"/>
  <c r="R63" i="65"/>
  <c r="S63" i="65"/>
  <c r="T63" i="65"/>
  <c r="U63" i="65"/>
  <c r="V63" i="65"/>
  <c r="W63" i="65"/>
  <c r="X63" i="65"/>
  <c r="Y63" i="65"/>
  <c r="Z63" i="65"/>
  <c r="AA63" i="65"/>
  <c r="AB63" i="65"/>
  <c r="AC63" i="65"/>
  <c r="AD63" i="65"/>
  <c r="AE63" i="65"/>
  <c r="AF63" i="65"/>
  <c r="AG63" i="65"/>
  <c r="AH63" i="65"/>
  <c r="AI63" i="65"/>
  <c r="AJ63" i="65"/>
  <c r="AK63" i="65"/>
  <c r="AL63" i="65"/>
  <c r="AM63" i="65"/>
  <c r="AN63" i="65"/>
  <c r="AO63" i="65"/>
  <c r="AP63" i="65"/>
  <c r="AQ63" i="65"/>
  <c r="AR63" i="65"/>
  <c r="AS63" i="65"/>
  <c r="AT63" i="65"/>
  <c r="AU63" i="65"/>
  <c r="AV63" i="65"/>
  <c r="AW63" i="65"/>
  <c r="AX63" i="65"/>
  <c r="AY63" i="65"/>
  <c r="AZ63" i="65"/>
  <c r="BA63" i="65"/>
  <c r="BB63" i="65"/>
  <c r="BC63" i="65"/>
  <c r="BD63" i="65"/>
  <c r="BE63" i="65"/>
  <c r="BF63" i="65"/>
  <c r="BG63" i="65"/>
  <c r="BH63" i="65"/>
  <c r="BI63" i="65"/>
  <c r="BJ63" i="65"/>
  <c r="BK63" i="65"/>
  <c r="BL63" i="65"/>
  <c r="BM63" i="65"/>
  <c r="BN63" i="65"/>
  <c r="BO63" i="65"/>
  <c r="BP63" i="65"/>
  <c r="BQ63" i="65"/>
  <c r="BR63" i="65"/>
  <c r="BS63" i="65"/>
  <c r="BT63" i="65"/>
  <c r="BU63" i="65"/>
  <c r="BV63" i="65"/>
  <c r="BW63" i="65"/>
  <c r="BX63" i="65"/>
  <c r="BY63" i="65"/>
  <c r="BZ63" i="65"/>
  <c r="CA63" i="65"/>
  <c r="CB63" i="65"/>
  <c r="CC63" i="65"/>
  <c r="CD63" i="65"/>
  <c r="CE63" i="65"/>
  <c r="CF63" i="65"/>
  <c r="CG63" i="65"/>
  <c r="CH63" i="65"/>
  <c r="CI63" i="65"/>
  <c r="D64" i="65"/>
  <c r="F64" i="65"/>
  <c r="G64" i="65"/>
  <c r="H64" i="65"/>
  <c r="I64" i="65"/>
  <c r="J64" i="65"/>
  <c r="K64" i="65"/>
  <c r="L64" i="65"/>
  <c r="M64" i="65"/>
  <c r="N64" i="65"/>
  <c r="O64" i="65"/>
  <c r="P64" i="65"/>
  <c r="Q64" i="65"/>
  <c r="R64" i="65"/>
  <c r="S64" i="65"/>
  <c r="T64" i="65"/>
  <c r="U64" i="65"/>
  <c r="V64" i="65"/>
  <c r="W64" i="65"/>
  <c r="X64" i="65"/>
  <c r="Y64" i="65"/>
  <c r="Z64" i="65"/>
  <c r="AA64" i="65"/>
  <c r="AB64" i="65"/>
  <c r="AC64" i="65"/>
  <c r="AD64" i="65"/>
  <c r="AE64" i="65"/>
  <c r="AF64" i="65"/>
  <c r="AG64" i="65"/>
  <c r="AH64" i="65"/>
  <c r="AI64" i="65"/>
  <c r="AJ64" i="65"/>
  <c r="AK64" i="65"/>
  <c r="AL64" i="65"/>
  <c r="AM64" i="65"/>
  <c r="AN64" i="65"/>
  <c r="AO64" i="65"/>
  <c r="AP64" i="65"/>
  <c r="AQ64" i="65"/>
  <c r="AR64" i="65"/>
  <c r="AS64" i="65"/>
  <c r="AT64" i="65"/>
  <c r="AU64" i="65"/>
  <c r="AV64" i="65"/>
  <c r="AW64" i="65"/>
  <c r="AX64" i="65"/>
  <c r="AY64" i="65"/>
  <c r="AZ64" i="65"/>
  <c r="BA64" i="65"/>
  <c r="BB64" i="65"/>
  <c r="BC64" i="65"/>
  <c r="BD64" i="65"/>
  <c r="BE64" i="65"/>
  <c r="BF64" i="65"/>
  <c r="BG64" i="65"/>
  <c r="BH64" i="65"/>
  <c r="BI64" i="65"/>
  <c r="BJ64" i="65"/>
  <c r="BK64" i="65"/>
  <c r="BL64" i="65"/>
  <c r="BM64" i="65"/>
  <c r="BN64" i="65"/>
  <c r="BO64" i="65"/>
  <c r="BP64" i="65"/>
  <c r="BQ64" i="65"/>
  <c r="BR64" i="65"/>
  <c r="BS64" i="65"/>
  <c r="BT64" i="65"/>
  <c r="BU64" i="65"/>
  <c r="BV64" i="65"/>
  <c r="BW64" i="65"/>
  <c r="BX64" i="65"/>
  <c r="BY64" i="65"/>
  <c r="BZ64" i="65"/>
  <c r="CA64" i="65"/>
  <c r="CB64" i="65"/>
  <c r="CC64" i="65"/>
  <c r="CD64" i="65"/>
  <c r="CE64" i="65"/>
  <c r="CF64" i="65"/>
  <c r="CG64" i="65"/>
  <c r="CH64" i="65"/>
  <c r="CI64" i="65"/>
  <c r="D65" i="65"/>
  <c r="F65" i="65"/>
  <c r="G65" i="65"/>
  <c r="H65" i="65"/>
  <c r="I65" i="65"/>
  <c r="J65" i="65"/>
  <c r="K65" i="65"/>
  <c r="L65" i="65"/>
  <c r="M65" i="65"/>
  <c r="N65" i="65"/>
  <c r="O65" i="65"/>
  <c r="P65" i="65"/>
  <c r="Q65" i="65"/>
  <c r="R65" i="65"/>
  <c r="S65" i="65"/>
  <c r="T65" i="65"/>
  <c r="U65" i="65"/>
  <c r="V65" i="65"/>
  <c r="W65" i="65"/>
  <c r="X65" i="65"/>
  <c r="Y65" i="65"/>
  <c r="Z65" i="65"/>
  <c r="AA65" i="65"/>
  <c r="AB65" i="65"/>
  <c r="AC65" i="65"/>
  <c r="AD65" i="65"/>
  <c r="AE65" i="65"/>
  <c r="AF65" i="65"/>
  <c r="AG65" i="65"/>
  <c r="AH65" i="65"/>
  <c r="AI65" i="65"/>
  <c r="AJ65" i="65"/>
  <c r="AK65" i="65"/>
  <c r="AL65" i="65"/>
  <c r="AM65" i="65"/>
  <c r="AN65" i="65"/>
  <c r="AO65" i="65"/>
  <c r="AP65" i="65"/>
  <c r="AQ65" i="65"/>
  <c r="AR65" i="65"/>
  <c r="AS65" i="65"/>
  <c r="AT65" i="65"/>
  <c r="AU65" i="65"/>
  <c r="AV65" i="65"/>
  <c r="AW65" i="65"/>
  <c r="AX65" i="65"/>
  <c r="AY65" i="65"/>
  <c r="AZ65" i="65"/>
  <c r="BA65" i="65"/>
  <c r="BB65" i="65"/>
  <c r="BC65" i="65"/>
  <c r="BD65" i="65"/>
  <c r="BE65" i="65"/>
  <c r="BF65" i="65"/>
  <c r="BG65" i="65"/>
  <c r="BH65" i="65"/>
  <c r="BI65" i="65"/>
  <c r="BK65" i="65"/>
  <c r="BL65" i="65"/>
  <c r="BM65" i="65"/>
  <c r="BN65" i="65"/>
  <c r="BO65" i="65"/>
  <c r="BP65" i="65"/>
  <c r="BQ65" i="65"/>
  <c r="BR65" i="65"/>
  <c r="BS65" i="65"/>
  <c r="BT65" i="65"/>
  <c r="BU65" i="65"/>
  <c r="BV65" i="65"/>
  <c r="BW65" i="65"/>
  <c r="BX65" i="65"/>
  <c r="BY65" i="65"/>
  <c r="BZ65" i="65"/>
  <c r="CA65" i="65"/>
  <c r="CB65" i="65"/>
  <c r="CC65" i="65"/>
  <c r="CD65" i="65"/>
  <c r="CE65" i="65"/>
  <c r="CF65" i="65"/>
  <c r="CG65" i="65"/>
  <c r="CH65" i="65"/>
  <c r="CI65" i="65"/>
  <c r="D66" i="65"/>
  <c r="D67" i="65"/>
  <c r="D68" i="65"/>
  <c r="F68" i="65"/>
  <c r="G68" i="65"/>
  <c r="H68" i="65"/>
  <c r="I68" i="65"/>
  <c r="J68" i="65"/>
  <c r="K68" i="65"/>
  <c r="L68" i="65"/>
  <c r="M68" i="65"/>
  <c r="N68" i="65"/>
  <c r="O68" i="65"/>
  <c r="P68" i="65"/>
  <c r="Q68" i="65"/>
  <c r="R68" i="65"/>
  <c r="S68" i="65"/>
  <c r="T68" i="65"/>
  <c r="U68" i="65"/>
  <c r="V68" i="65"/>
  <c r="W68" i="65"/>
  <c r="X68" i="65"/>
  <c r="Y68" i="65"/>
  <c r="Z68" i="65"/>
  <c r="AA68" i="65"/>
  <c r="AB68" i="65"/>
  <c r="AC68" i="65"/>
  <c r="AD68" i="65"/>
  <c r="AE68" i="65"/>
  <c r="AF68" i="65"/>
  <c r="AG68" i="65"/>
  <c r="AH68" i="65"/>
  <c r="AI68" i="65"/>
  <c r="AJ68" i="65"/>
  <c r="AK68" i="65"/>
  <c r="AL68" i="65"/>
  <c r="AM68" i="65"/>
  <c r="AN68" i="65"/>
  <c r="AO68" i="65"/>
  <c r="AP68" i="65"/>
  <c r="AQ68" i="65"/>
  <c r="AR68" i="65"/>
  <c r="AS68" i="65"/>
  <c r="AT68" i="65"/>
  <c r="AU68" i="65"/>
  <c r="AV68" i="65"/>
  <c r="AW68" i="65"/>
  <c r="AX68" i="65"/>
  <c r="AY68" i="65"/>
  <c r="AZ68" i="65"/>
  <c r="BA68" i="65"/>
  <c r="BB68" i="65"/>
  <c r="BC68" i="65"/>
  <c r="BD68" i="65"/>
  <c r="BE68" i="65"/>
  <c r="BF68" i="65"/>
  <c r="BG68" i="65"/>
  <c r="BH68" i="65"/>
  <c r="BI68" i="65"/>
  <c r="BJ68" i="65"/>
  <c r="BK68" i="65"/>
  <c r="BL68" i="65"/>
  <c r="BM68" i="65"/>
  <c r="BN68" i="65"/>
  <c r="BO68" i="65"/>
  <c r="BP68" i="65"/>
  <c r="BQ68" i="65"/>
  <c r="BR68" i="65"/>
  <c r="BS68" i="65"/>
  <c r="BT68" i="65"/>
  <c r="BU68" i="65"/>
  <c r="BV68" i="65"/>
  <c r="BW68" i="65"/>
  <c r="BX68" i="65"/>
  <c r="BY68" i="65"/>
  <c r="BZ68" i="65"/>
  <c r="CA68" i="65"/>
  <c r="CB68" i="65"/>
  <c r="CC68" i="65"/>
  <c r="CD68" i="65"/>
  <c r="CE68" i="65"/>
  <c r="CF68" i="65"/>
  <c r="CG68" i="65"/>
  <c r="CH68" i="65"/>
  <c r="CI68" i="65"/>
  <c r="D69" i="65"/>
  <c r="F69" i="65"/>
  <c r="G69" i="65"/>
  <c r="H69" i="65"/>
  <c r="I69" i="65"/>
  <c r="J69" i="65"/>
  <c r="K69" i="65"/>
  <c r="L69" i="65"/>
  <c r="M69" i="65"/>
  <c r="N69" i="65"/>
  <c r="O69" i="65"/>
  <c r="P69" i="65"/>
  <c r="Q69" i="65"/>
  <c r="R69" i="65"/>
  <c r="S69" i="65"/>
  <c r="T69" i="65"/>
  <c r="U69" i="65"/>
  <c r="V69" i="65"/>
  <c r="W69" i="65"/>
  <c r="X69" i="65"/>
  <c r="Y69" i="65"/>
  <c r="Z69" i="65"/>
  <c r="AA69" i="65"/>
  <c r="AB69" i="65"/>
  <c r="AC69" i="65"/>
  <c r="AD69" i="65"/>
  <c r="AE69" i="65"/>
  <c r="AF69" i="65"/>
  <c r="AG69" i="65"/>
  <c r="AH69" i="65"/>
  <c r="AI69" i="65"/>
  <c r="AJ69" i="65"/>
  <c r="AK69" i="65"/>
  <c r="AL69" i="65"/>
  <c r="AM69" i="65"/>
  <c r="AN69" i="65"/>
  <c r="AO69" i="65"/>
  <c r="AP69" i="65"/>
  <c r="AQ69" i="65"/>
  <c r="AR69" i="65"/>
  <c r="AS69" i="65"/>
  <c r="AT69" i="65"/>
  <c r="AU69" i="65"/>
  <c r="AV69" i="65"/>
  <c r="AW69" i="65"/>
  <c r="AX69" i="65"/>
  <c r="AY69" i="65"/>
  <c r="AZ69" i="65"/>
  <c r="BA69" i="65"/>
  <c r="BB69" i="65"/>
  <c r="BC69" i="65"/>
  <c r="BD69" i="65"/>
  <c r="BE69" i="65"/>
  <c r="BF69" i="65"/>
  <c r="BG69" i="65"/>
  <c r="BH69" i="65"/>
  <c r="BI69" i="65"/>
  <c r="BJ69" i="65"/>
  <c r="BK69" i="65"/>
  <c r="BL69" i="65"/>
  <c r="BM69" i="65"/>
  <c r="BN69" i="65"/>
  <c r="BO69" i="65"/>
  <c r="BP69" i="65"/>
  <c r="BQ69" i="65"/>
  <c r="BR69" i="65"/>
  <c r="BS69" i="65"/>
  <c r="BT69" i="65"/>
  <c r="BU69" i="65"/>
  <c r="BV69" i="65"/>
  <c r="BW69" i="65"/>
  <c r="BX69" i="65"/>
  <c r="BY69" i="65"/>
  <c r="BZ69" i="65"/>
  <c r="CA69" i="65"/>
  <c r="CB69" i="65"/>
  <c r="CC69" i="65"/>
  <c r="CD69" i="65"/>
  <c r="CE69" i="65"/>
  <c r="CF69" i="65"/>
  <c r="CG69" i="65"/>
  <c r="CH69" i="65"/>
  <c r="CI69" i="65"/>
  <c r="D70" i="65"/>
  <c r="F70" i="65"/>
  <c r="G70" i="65"/>
  <c r="H70" i="65"/>
  <c r="I70" i="65"/>
  <c r="J70" i="65"/>
  <c r="K70" i="65"/>
  <c r="L70" i="65"/>
  <c r="M70" i="65"/>
  <c r="N70" i="65"/>
  <c r="O70" i="65"/>
  <c r="P70" i="65"/>
  <c r="Q70" i="65"/>
  <c r="R70" i="65"/>
  <c r="S70" i="65"/>
  <c r="T70" i="65"/>
  <c r="U70" i="65"/>
  <c r="V70" i="65"/>
  <c r="W70" i="65"/>
  <c r="X70" i="65"/>
  <c r="Y70" i="65"/>
  <c r="Z70" i="65"/>
  <c r="AA70" i="65"/>
  <c r="AB70" i="65"/>
  <c r="AC70" i="65"/>
  <c r="AD70" i="65"/>
  <c r="AE70" i="65"/>
  <c r="AF70" i="65"/>
  <c r="AG70" i="65"/>
  <c r="AH70" i="65"/>
  <c r="AI70" i="65"/>
  <c r="AJ70" i="65"/>
  <c r="AK70" i="65"/>
  <c r="AL70" i="65"/>
  <c r="AM70" i="65"/>
  <c r="AN70" i="65"/>
  <c r="AO70" i="65"/>
  <c r="AP70" i="65"/>
  <c r="AQ70" i="65"/>
  <c r="AR70" i="65"/>
  <c r="AS70" i="65"/>
  <c r="AT70" i="65"/>
  <c r="AU70" i="65"/>
  <c r="AV70" i="65"/>
  <c r="AW70" i="65"/>
  <c r="AX70" i="65"/>
  <c r="AY70" i="65"/>
  <c r="AZ70" i="65"/>
  <c r="BA70" i="65"/>
  <c r="BB70" i="65"/>
  <c r="BC70" i="65"/>
  <c r="BD70" i="65"/>
  <c r="BE70" i="65"/>
  <c r="BF70" i="65"/>
  <c r="BG70" i="65"/>
  <c r="BH70" i="65"/>
  <c r="BI70" i="65"/>
  <c r="BJ70" i="65"/>
  <c r="BK70" i="65"/>
  <c r="BL70" i="65"/>
  <c r="BM70" i="65"/>
  <c r="BN70" i="65"/>
  <c r="BO70" i="65"/>
  <c r="BP70" i="65"/>
  <c r="BQ70" i="65"/>
  <c r="BR70" i="65"/>
  <c r="BS70" i="65"/>
  <c r="BT70" i="65"/>
  <c r="BU70" i="65"/>
  <c r="BV70" i="65"/>
  <c r="BW70" i="65"/>
  <c r="BX70" i="65"/>
  <c r="BY70" i="65"/>
  <c r="BZ70" i="65"/>
  <c r="CA70" i="65"/>
  <c r="CB70" i="65"/>
  <c r="CC70" i="65"/>
  <c r="CD70" i="65"/>
  <c r="CE70" i="65"/>
  <c r="CF70" i="65"/>
  <c r="CG70" i="65"/>
  <c r="CH70" i="65"/>
  <c r="CI70" i="65"/>
  <c r="D71" i="65"/>
  <c r="F71" i="65"/>
  <c r="G71" i="65"/>
  <c r="H71" i="65"/>
  <c r="I71" i="65"/>
  <c r="J71" i="65"/>
  <c r="K71" i="65"/>
  <c r="L71" i="65"/>
  <c r="M71" i="65"/>
  <c r="N71" i="65"/>
  <c r="O71" i="65"/>
  <c r="P71" i="65"/>
  <c r="Q71" i="65"/>
  <c r="R71" i="65"/>
  <c r="S71" i="65"/>
  <c r="T71" i="65"/>
  <c r="U71" i="65"/>
  <c r="V71" i="65"/>
  <c r="W71" i="65"/>
  <c r="X71" i="65"/>
  <c r="Y71" i="65"/>
  <c r="Z71" i="65"/>
  <c r="AA71" i="65"/>
  <c r="AB71" i="65"/>
  <c r="AC71" i="65"/>
  <c r="AD71" i="65"/>
  <c r="AE71" i="65"/>
  <c r="AF71" i="65"/>
  <c r="AG71" i="65"/>
  <c r="AH71" i="65"/>
  <c r="AI71" i="65"/>
  <c r="AJ71" i="65"/>
  <c r="AK71" i="65"/>
  <c r="AL71" i="65"/>
  <c r="AM71" i="65"/>
  <c r="AN71" i="65"/>
  <c r="AO71" i="65"/>
  <c r="AP71" i="65"/>
  <c r="AQ71" i="65"/>
  <c r="AR71" i="65"/>
  <c r="AS71" i="65"/>
  <c r="AT71" i="65"/>
  <c r="AU71" i="65"/>
  <c r="AV71" i="65"/>
  <c r="AW71" i="65"/>
  <c r="AX71" i="65"/>
  <c r="AY71" i="65"/>
  <c r="AZ71" i="65"/>
  <c r="BA71" i="65"/>
  <c r="BB71" i="65"/>
  <c r="BC71" i="65"/>
  <c r="BD71" i="65"/>
  <c r="BE71" i="65"/>
  <c r="BF71" i="65"/>
  <c r="BG71" i="65"/>
  <c r="BH71" i="65"/>
  <c r="BI71" i="65"/>
  <c r="BJ71" i="65"/>
  <c r="BK71" i="65"/>
  <c r="BL71" i="65"/>
  <c r="BM71" i="65"/>
  <c r="BN71" i="65"/>
  <c r="BO71" i="65"/>
  <c r="BP71" i="65"/>
  <c r="BQ71" i="65"/>
  <c r="BR71" i="65"/>
  <c r="BS71" i="65"/>
  <c r="BT71" i="65"/>
  <c r="BU71" i="65"/>
  <c r="BV71" i="65"/>
  <c r="BW71" i="65"/>
  <c r="BX71" i="65"/>
  <c r="BY71" i="65"/>
  <c r="BZ71" i="65"/>
  <c r="CA71" i="65"/>
  <c r="CB71" i="65"/>
  <c r="CC71" i="65"/>
  <c r="CD71" i="65"/>
  <c r="CE71" i="65"/>
  <c r="CF71" i="65"/>
  <c r="CG71" i="65"/>
  <c r="CH71" i="65"/>
  <c r="CI71" i="65"/>
  <c r="D72" i="65"/>
  <c r="F72" i="65"/>
  <c r="G72" i="65"/>
  <c r="H72" i="65"/>
  <c r="I72" i="65"/>
  <c r="J72" i="65"/>
  <c r="K72" i="65"/>
  <c r="L72" i="65"/>
  <c r="M72" i="65"/>
  <c r="N72" i="65"/>
  <c r="O72" i="65"/>
  <c r="P72" i="65"/>
  <c r="Q72" i="65"/>
  <c r="R72" i="65"/>
  <c r="S72" i="65"/>
  <c r="T72" i="65"/>
  <c r="U72" i="65"/>
  <c r="V72" i="65"/>
  <c r="W72" i="65"/>
  <c r="X72" i="65"/>
  <c r="Y72" i="65"/>
  <c r="Z72" i="65"/>
  <c r="AA72" i="65"/>
  <c r="AB72" i="65"/>
  <c r="AC72" i="65"/>
  <c r="AD72" i="65"/>
  <c r="AE72" i="65"/>
  <c r="AF72" i="65"/>
  <c r="AG72" i="65"/>
  <c r="AH72" i="65"/>
  <c r="AI72" i="65"/>
  <c r="AJ72" i="65"/>
  <c r="AK72" i="65"/>
  <c r="AL72" i="65"/>
  <c r="AM72" i="65"/>
  <c r="AN72" i="65"/>
  <c r="AO72" i="65"/>
  <c r="AP72" i="65"/>
  <c r="AQ72" i="65"/>
  <c r="AR72" i="65"/>
  <c r="AS72" i="65"/>
  <c r="AT72" i="65"/>
  <c r="AU72" i="65"/>
  <c r="AV72" i="65"/>
  <c r="AW72" i="65"/>
  <c r="AX72" i="65"/>
  <c r="AY72" i="65"/>
  <c r="AZ72" i="65"/>
  <c r="BA72" i="65"/>
  <c r="BB72" i="65"/>
  <c r="BC72" i="65"/>
  <c r="BD72" i="65"/>
  <c r="BE72" i="65"/>
  <c r="BF72" i="65"/>
  <c r="BG72" i="65"/>
  <c r="BH72" i="65"/>
  <c r="BI72" i="65"/>
  <c r="BJ72" i="65"/>
  <c r="BK72" i="65"/>
  <c r="BL72" i="65"/>
  <c r="BM72" i="65"/>
  <c r="BN72" i="65"/>
  <c r="BO72" i="65"/>
  <c r="BP72" i="65"/>
  <c r="BQ72" i="65"/>
  <c r="BR72" i="65"/>
  <c r="BS72" i="65"/>
  <c r="BT72" i="65"/>
  <c r="BU72" i="65"/>
  <c r="BV72" i="65"/>
  <c r="BW72" i="65"/>
  <c r="BX72" i="65"/>
  <c r="BY72" i="65"/>
  <c r="BZ72" i="65"/>
  <c r="CA72" i="65"/>
  <c r="CB72" i="65"/>
  <c r="CC72" i="65"/>
  <c r="CD72" i="65"/>
  <c r="CE72" i="65"/>
  <c r="CF72" i="65"/>
  <c r="CG72" i="65"/>
  <c r="CH72" i="65"/>
  <c r="CI72" i="65"/>
  <c r="D73" i="65"/>
  <c r="F73" i="65"/>
  <c r="G73" i="65"/>
  <c r="H73" i="65"/>
  <c r="I73" i="65"/>
  <c r="J73" i="65"/>
  <c r="K73" i="65"/>
  <c r="L73" i="65"/>
  <c r="M73" i="65"/>
  <c r="N73" i="65"/>
  <c r="O73" i="65"/>
  <c r="P73" i="65"/>
  <c r="Q73" i="65"/>
  <c r="R73" i="65"/>
  <c r="S73" i="65"/>
  <c r="T73" i="65"/>
  <c r="U73" i="65"/>
  <c r="V73" i="65"/>
  <c r="W73" i="65"/>
  <c r="X73" i="65"/>
  <c r="Y73" i="65"/>
  <c r="Z73" i="65"/>
  <c r="AA73" i="65"/>
  <c r="AB73" i="65"/>
  <c r="AC73" i="65"/>
  <c r="AD73" i="65"/>
  <c r="AE73" i="65"/>
  <c r="AF73" i="65"/>
  <c r="AG73" i="65"/>
  <c r="AH73" i="65"/>
  <c r="AI73" i="65"/>
  <c r="AJ73" i="65"/>
  <c r="AK73" i="65"/>
  <c r="AL73" i="65"/>
  <c r="AM73" i="65"/>
  <c r="AN73" i="65"/>
  <c r="AO73" i="65"/>
  <c r="AP73" i="65"/>
  <c r="AQ73" i="65"/>
  <c r="AR73" i="65"/>
  <c r="AS73" i="65"/>
  <c r="AT73" i="65"/>
  <c r="AU73" i="65"/>
  <c r="AV73" i="65"/>
  <c r="AW73" i="65"/>
  <c r="AX73" i="65"/>
  <c r="AY73" i="65"/>
  <c r="AZ73" i="65"/>
  <c r="BA73" i="65"/>
  <c r="BB73" i="65"/>
  <c r="BC73" i="65"/>
  <c r="BD73" i="65"/>
  <c r="BE73" i="65"/>
  <c r="BF73" i="65"/>
  <c r="BG73" i="65"/>
  <c r="BH73" i="65"/>
  <c r="BI73" i="65"/>
  <c r="BJ73" i="65"/>
  <c r="BK73" i="65"/>
  <c r="BL73" i="65"/>
  <c r="BM73" i="65"/>
  <c r="BN73" i="65"/>
  <c r="BO73" i="65"/>
  <c r="BP73" i="65"/>
  <c r="BQ73" i="65"/>
  <c r="BR73" i="65"/>
  <c r="BS73" i="65"/>
  <c r="BT73" i="65"/>
  <c r="BU73" i="65"/>
  <c r="BV73" i="65"/>
  <c r="BW73" i="65"/>
  <c r="BX73" i="65"/>
  <c r="BY73" i="65"/>
  <c r="BZ73" i="65"/>
  <c r="CA73" i="65"/>
  <c r="CB73" i="65"/>
  <c r="CC73" i="65"/>
  <c r="CD73" i="65"/>
  <c r="CE73" i="65"/>
  <c r="CF73" i="65"/>
  <c r="CG73" i="65"/>
  <c r="CH73" i="65"/>
  <c r="CI73" i="65"/>
  <c r="D74" i="65"/>
  <c r="F74" i="65"/>
  <c r="G74" i="65"/>
  <c r="H74" i="65"/>
  <c r="I74" i="65"/>
  <c r="J74" i="65"/>
  <c r="K74" i="65"/>
  <c r="L74" i="65"/>
  <c r="M74" i="65"/>
  <c r="N74" i="65"/>
  <c r="O74" i="65"/>
  <c r="P74" i="65"/>
  <c r="Q74" i="65"/>
  <c r="R74" i="65"/>
  <c r="S74" i="65"/>
  <c r="T74" i="65"/>
  <c r="U74" i="65"/>
  <c r="V74" i="65"/>
  <c r="W74" i="65"/>
  <c r="X74" i="65"/>
  <c r="Y74" i="65"/>
  <c r="Z74" i="65"/>
  <c r="AA74" i="65"/>
  <c r="AB74" i="65"/>
  <c r="AC74" i="65"/>
  <c r="AD74" i="65"/>
  <c r="AE74" i="65"/>
  <c r="AF74" i="65"/>
  <c r="AG74" i="65"/>
  <c r="AH74" i="65"/>
  <c r="AI74" i="65"/>
  <c r="AJ74" i="65"/>
  <c r="AK74" i="65"/>
  <c r="AL74" i="65"/>
  <c r="AM74" i="65"/>
  <c r="AN74" i="65"/>
  <c r="AO74" i="65"/>
  <c r="AP74" i="65"/>
  <c r="AQ74" i="65"/>
  <c r="AR74" i="65"/>
  <c r="AS74" i="65"/>
  <c r="AT74" i="65"/>
  <c r="AU74" i="65"/>
  <c r="AV74" i="65"/>
  <c r="AW74" i="65"/>
  <c r="AX74" i="65"/>
  <c r="AY74" i="65"/>
  <c r="AZ74" i="65"/>
  <c r="BA74" i="65"/>
  <c r="BB74" i="65"/>
  <c r="BC74" i="65"/>
  <c r="BD74" i="65"/>
  <c r="BE74" i="65"/>
  <c r="BF74" i="65"/>
  <c r="BG74" i="65"/>
  <c r="BH74" i="65"/>
  <c r="BI74" i="65"/>
  <c r="BJ74" i="65"/>
  <c r="BK74" i="65"/>
  <c r="BL74" i="65"/>
  <c r="BM74" i="65"/>
  <c r="BN74" i="65"/>
  <c r="BO74" i="65"/>
  <c r="BP74" i="65"/>
  <c r="BQ74" i="65"/>
  <c r="BR74" i="65"/>
  <c r="BS74" i="65"/>
  <c r="BT74" i="65"/>
  <c r="BU74" i="65"/>
  <c r="BV74" i="65"/>
  <c r="BW74" i="65"/>
  <c r="BX74" i="65"/>
  <c r="BY74" i="65"/>
  <c r="BZ74" i="65"/>
  <c r="CA74" i="65"/>
  <c r="CB74" i="65"/>
  <c r="CC74" i="65"/>
  <c r="CD74" i="65"/>
  <c r="CE74" i="65"/>
  <c r="CF74" i="65"/>
  <c r="CG74" i="65"/>
  <c r="CH74" i="65"/>
  <c r="CI74" i="65"/>
  <c r="D75" i="65"/>
  <c r="F75" i="65"/>
  <c r="G75" i="65"/>
  <c r="H75" i="65"/>
  <c r="I75" i="65"/>
  <c r="J75" i="65"/>
  <c r="K75" i="65"/>
  <c r="L75" i="65"/>
  <c r="M75" i="65"/>
  <c r="N75" i="65"/>
  <c r="O75" i="65"/>
  <c r="P75" i="65"/>
  <c r="Q75" i="65"/>
  <c r="R75" i="65"/>
  <c r="S75" i="65"/>
  <c r="T75" i="65"/>
  <c r="U75" i="65"/>
  <c r="V75" i="65"/>
  <c r="W75" i="65"/>
  <c r="X75" i="65"/>
  <c r="Y75" i="65"/>
  <c r="Z75" i="65"/>
  <c r="AA75" i="65"/>
  <c r="AB75" i="65"/>
  <c r="AC75" i="65"/>
  <c r="AD75" i="65"/>
  <c r="AE75" i="65"/>
  <c r="AF75" i="65"/>
  <c r="AG75" i="65"/>
  <c r="AH75" i="65"/>
  <c r="AI75" i="65"/>
  <c r="AJ75" i="65"/>
  <c r="AK75" i="65"/>
  <c r="AL75" i="65"/>
  <c r="AM75" i="65"/>
  <c r="AN75" i="65"/>
  <c r="AO75" i="65"/>
  <c r="AP75" i="65"/>
  <c r="AQ75" i="65"/>
  <c r="AR75" i="65"/>
  <c r="AS75" i="65"/>
  <c r="AT75" i="65"/>
  <c r="AU75" i="65"/>
  <c r="AV75" i="65"/>
  <c r="AW75" i="65"/>
  <c r="AX75" i="65"/>
  <c r="AY75" i="65"/>
  <c r="AZ75" i="65"/>
  <c r="BA75" i="65"/>
  <c r="BB75" i="65"/>
  <c r="BC75" i="65"/>
  <c r="BD75" i="65"/>
  <c r="BE75" i="65"/>
  <c r="BF75" i="65"/>
  <c r="BG75" i="65"/>
  <c r="BH75" i="65"/>
  <c r="BI75" i="65"/>
  <c r="BJ75" i="65"/>
  <c r="BK75" i="65"/>
  <c r="BL75" i="65"/>
  <c r="BM75" i="65"/>
  <c r="BN75" i="65"/>
  <c r="BO75" i="65"/>
  <c r="BP75" i="65"/>
  <c r="BQ75" i="65"/>
  <c r="BR75" i="65"/>
  <c r="BS75" i="65"/>
  <c r="BT75" i="65"/>
  <c r="BU75" i="65"/>
  <c r="BV75" i="65"/>
  <c r="BW75" i="65"/>
  <c r="BX75" i="65"/>
  <c r="BY75" i="65"/>
  <c r="BZ75" i="65"/>
  <c r="CA75" i="65"/>
  <c r="CB75" i="65"/>
  <c r="CC75" i="65"/>
  <c r="CD75" i="65"/>
  <c r="CE75" i="65"/>
  <c r="CF75" i="65"/>
  <c r="CG75" i="65"/>
  <c r="CH75" i="65"/>
  <c r="CI75" i="65"/>
  <c r="D76" i="65"/>
  <c r="F76" i="65"/>
  <c r="G76" i="65"/>
  <c r="H76" i="65"/>
  <c r="I76" i="65"/>
  <c r="J76" i="65"/>
  <c r="K76" i="65"/>
  <c r="L76" i="65"/>
  <c r="M76" i="65"/>
  <c r="N76" i="65"/>
  <c r="O76" i="65"/>
  <c r="P76" i="65"/>
  <c r="Q76" i="65"/>
  <c r="R76" i="65"/>
  <c r="S76" i="65"/>
  <c r="T76" i="65"/>
  <c r="U76" i="65"/>
  <c r="V76" i="65"/>
  <c r="W76" i="65"/>
  <c r="X76" i="65"/>
  <c r="Y76" i="65"/>
  <c r="Z76" i="65"/>
  <c r="AA76" i="65"/>
  <c r="AB76" i="65"/>
  <c r="AC76" i="65"/>
  <c r="AD76" i="65"/>
  <c r="AE76" i="65"/>
  <c r="AF76" i="65"/>
  <c r="AG76" i="65"/>
  <c r="AH76" i="65"/>
  <c r="AI76" i="65"/>
  <c r="AJ76" i="65"/>
  <c r="AK76" i="65"/>
  <c r="AL76" i="65"/>
  <c r="AM76" i="65"/>
  <c r="AN76" i="65"/>
  <c r="AO76" i="65"/>
  <c r="AP76" i="65"/>
  <c r="AQ76" i="65"/>
  <c r="AR76" i="65"/>
  <c r="AS76" i="65"/>
  <c r="AT76" i="65"/>
  <c r="AU76" i="65"/>
  <c r="AV76" i="65"/>
  <c r="AW76" i="65"/>
  <c r="AX76" i="65"/>
  <c r="AY76" i="65"/>
  <c r="AZ76" i="65"/>
  <c r="BA76" i="65"/>
  <c r="BB76" i="65"/>
  <c r="BC76" i="65"/>
  <c r="BD76" i="65"/>
  <c r="BE76" i="65"/>
  <c r="BF76" i="65"/>
  <c r="BG76" i="65"/>
  <c r="BH76" i="65"/>
  <c r="BI76" i="65"/>
  <c r="BJ76" i="65"/>
  <c r="BK76" i="65"/>
  <c r="BL76" i="65"/>
  <c r="BM76" i="65"/>
  <c r="BN76" i="65"/>
  <c r="BO76" i="65"/>
  <c r="BP76" i="65"/>
  <c r="BQ76" i="65"/>
  <c r="BR76" i="65"/>
  <c r="BS76" i="65"/>
  <c r="BT76" i="65"/>
  <c r="BU76" i="65"/>
  <c r="BV76" i="65"/>
  <c r="BW76" i="65"/>
  <c r="BX76" i="65"/>
  <c r="BY76" i="65"/>
  <c r="BZ76" i="65"/>
  <c r="CA76" i="65"/>
  <c r="CB76" i="65"/>
  <c r="CC76" i="65"/>
  <c r="CD76" i="65"/>
  <c r="CE76" i="65"/>
  <c r="CF76" i="65"/>
  <c r="CG76" i="65"/>
  <c r="CH76" i="65"/>
  <c r="CI76" i="65"/>
  <c r="D77" i="65"/>
  <c r="F77" i="65"/>
  <c r="G77" i="65"/>
  <c r="H77" i="65"/>
  <c r="I77" i="65"/>
  <c r="J77" i="65"/>
  <c r="K77" i="65"/>
  <c r="L77" i="65"/>
  <c r="M77" i="65"/>
  <c r="N77" i="65"/>
  <c r="O77" i="65"/>
  <c r="P77" i="65"/>
  <c r="Q77" i="65"/>
  <c r="R77" i="65"/>
  <c r="S77" i="65"/>
  <c r="T77" i="65"/>
  <c r="U77" i="65"/>
  <c r="V77" i="65"/>
  <c r="W77" i="65"/>
  <c r="X77" i="65"/>
  <c r="Y77" i="65"/>
  <c r="Z77" i="65"/>
  <c r="AA77" i="65"/>
  <c r="AB77" i="65"/>
  <c r="AC77" i="65"/>
  <c r="AD77" i="65"/>
  <c r="AE77" i="65"/>
  <c r="AF77" i="65"/>
  <c r="AG77" i="65"/>
  <c r="AH77" i="65"/>
  <c r="AI77" i="65"/>
  <c r="AJ77" i="65"/>
  <c r="AK77" i="65"/>
  <c r="AL77" i="65"/>
  <c r="AM77" i="65"/>
  <c r="AN77" i="65"/>
  <c r="AO77" i="65"/>
  <c r="AP77" i="65"/>
  <c r="AQ77" i="65"/>
  <c r="AR77" i="65"/>
  <c r="AS77" i="65"/>
  <c r="AT77" i="65"/>
  <c r="AU77" i="65"/>
  <c r="AV77" i="65"/>
  <c r="AW77" i="65"/>
  <c r="AX77" i="65"/>
  <c r="AY77" i="65"/>
  <c r="AZ77" i="65"/>
  <c r="BA77" i="65"/>
  <c r="BB77" i="65"/>
  <c r="BC77" i="65"/>
  <c r="BD77" i="65"/>
  <c r="BE77" i="65"/>
  <c r="BF77" i="65"/>
  <c r="BG77" i="65"/>
  <c r="BH77" i="65"/>
  <c r="BI77" i="65"/>
  <c r="BJ77" i="65"/>
  <c r="BK77" i="65"/>
  <c r="BL77" i="65"/>
  <c r="BM77" i="65"/>
  <c r="BN77" i="65"/>
  <c r="BO77" i="65"/>
  <c r="BP77" i="65"/>
  <c r="BQ77" i="65"/>
  <c r="BR77" i="65"/>
  <c r="BS77" i="65"/>
  <c r="BT77" i="65"/>
  <c r="BU77" i="65"/>
  <c r="BV77" i="65"/>
  <c r="BW77" i="65"/>
  <c r="BX77" i="65"/>
  <c r="BY77" i="65"/>
  <c r="BZ77" i="65"/>
  <c r="CA77" i="65"/>
  <c r="CB77" i="65"/>
  <c r="CC77" i="65"/>
  <c r="CD77" i="65"/>
  <c r="CE77" i="65"/>
  <c r="CF77" i="65"/>
  <c r="CG77" i="65"/>
  <c r="CH77" i="65"/>
  <c r="CI77" i="65"/>
  <c r="D78" i="65"/>
  <c r="F78" i="65"/>
  <c r="G78" i="65"/>
  <c r="H78" i="65"/>
  <c r="I78" i="65"/>
  <c r="J78" i="65"/>
  <c r="K78" i="65"/>
  <c r="L78" i="65"/>
  <c r="M78" i="65"/>
  <c r="N78" i="65"/>
  <c r="O78" i="65"/>
  <c r="P78" i="65"/>
  <c r="Q78" i="65"/>
  <c r="R78" i="65"/>
  <c r="S78" i="65"/>
  <c r="T78" i="65"/>
  <c r="U78" i="65"/>
  <c r="V78" i="65"/>
  <c r="W78" i="65"/>
  <c r="X78" i="65"/>
  <c r="Y78" i="65"/>
  <c r="Z78" i="65"/>
  <c r="AA78" i="65"/>
  <c r="AB78" i="65"/>
  <c r="AC78" i="65"/>
  <c r="AD78" i="65"/>
  <c r="AE78" i="65"/>
  <c r="AF78" i="65"/>
  <c r="AG78" i="65"/>
  <c r="AH78" i="65"/>
  <c r="AI78" i="65"/>
  <c r="AJ78" i="65"/>
  <c r="AK78" i="65"/>
  <c r="AL78" i="65"/>
  <c r="AM78" i="65"/>
  <c r="AN78" i="65"/>
  <c r="AO78" i="65"/>
  <c r="AP78" i="65"/>
  <c r="AQ78" i="65"/>
  <c r="AR78" i="65"/>
  <c r="AS78" i="65"/>
  <c r="AT78" i="65"/>
  <c r="AU78" i="65"/>
  <c r="AV78" i="65"/>
  <c r="AW78" i="65"/>
  <c r="AX78" i="65"/>
  <c r="AY78" i="65"/>
  <c r="AZ78" i="65"/>
  <c r="BA78" i="65"/>
  <c r="BB78" i="65"/>
  <c r="BC78" i="65"/>
  <c r="BD78" i="65"/>
  <c r="BE78" i="65"/>
  <c r="BF78" i="65"/>
  <c r="BG78" i="65"/>
  <c r="BH78" i="65"/>
  <c r="BI78" i="65"/>
  <c r="BJ78" i="65"/>
  <c r="BK78" i="65"/>
  <c r="BL78" i="65"/>
  <c r="BM78" i="65"/>
  <c r="BN78" i="65"/>
  <c r="BO78" i="65"/>
  <c r="BP78" i="65"/>
  <c r="BQ78" i="65"/>
  <c r="BR78" i="65"/>
  <c r="BS78" i="65"/>
  <c r="BT78" i="65"/>
  <c r="BU78" i="65"/>
  <c r="BV78" i="65"/>
  <c r="BW78" i="65"/>
  <c r="BX78" i="65"/>
  <c r="BY78" i="65"/>
  <c r="BZ78" i="65"/>
  <c r="CA78" i="65"/>
  <c r="CB78" i="65"/>
  <c r="CC78" i="65"/>
  <c r="CD78" i="65"/>
  <c r="CE78" i="65"/>
  <c r="CF78" i="65"/>
  <c r="CG78" i="65"/>
  <c r="CH78" i="65"/>
  <c r="CI78" i="65"/>
  <c r="D79" i="65"/>
  <c r="F79" i="65"/>
  <c r="G79" i="65"/>
  <c r="H79" i="65"/>
  <c r="I79" i="65"/>
  <c r="J79" i="65"/>
  <c r="K79" i="65"/>
  <c r="L79" i="65"/>
  <c r="M79" i="65"/>
  <c r="N79" i="65"/>
  <c r="O79" i="65"/>
  <c r="P79" i="65"/>
  <c r="Q79" i="65"/>
  <c r="R79" i="65"/>
  <c r="S79" i="65"/>
  <c r="T79" i="65"/>
  <c r="U79" i="65"/>
  <c r="V79" i="65"/>
  <c r="W79" i="65"/>
  <c r="X79" i="65"/>
  <c r="Y79" i="65"/>
  <c r="Z79" i="65"/>
  <c r="AA79" i="65"/>
  <c r="AB79" i="65"/>
  <c r="AC79" i="65"/>
  <c r="AD79" i="65"/>
  <c r="AE79" i="65"/>
  <c r="AF79" i="65"/>
  <c r="AG79" i="65"/>
  <c r="AH79" i="65"/>
  <c r="AI79" i="65"/>
  <c r="AJ79" i="65"/>
  <c r="AK79" i="65"/>
  <c r="AL79" i="65"/>
  <c r="AM79" i="65"/>
  <c r="AN79" i="65"/>
  <c r="AO79" i="65"/>
  <c r="AP79" i="65"/>
  <c r="AQ79" i="65"/>
  <c r="AR79" i="65"/>
  <c r="AS79" i="65"/>
  <c r="AT79" i="65"/>
  <c r="AU79" i="65"/>
  <c r="AV79" i="65"/>
  <c r="AW79" i="65"/>
  <c r="AX79" i="65"/>
  <c r="AY79" i="65"/>
  <c r="AZ79" i="65"/>
  <c r="BA79" i="65"/>
  <c r="BB79" i="65"/>
  <c r="BC79" i="65"/>
  <c r="BD79" i="65"/>
  <c r="BE79" i="65"/>
  <c r="BF79" i="65"/>
  <c r="BG79" i="65"/>
  <c r="BH79" i="65"/>
  <c r="BI79" i="65"/>
  <c r="BJ79" i="65"/>
  <c r="BK79" i="65"/>
  <c r="BL79" i="65"/>
  <c r="BM79" i="65"/>
  <c r="BN79" i="65"/>
  <c r="BO79" i="65"/>
  <c r="BP79" i="65"/>
  <c r="BQ79" i="65"/>
  <c r="BR79" i="65"/>
  <c r="BS79" i="65"/>
  <c r="BT79" i="65"/>
  <c r="BU79" i="65"/>
  <c r="BV79" i="65"/>
  <c r="BW79" i="65"/>
  <c r="BX79" i="65"/>
  <c r="BY79" i="65"/>
  <c r="BZ79" i="65"/>
  <c r="CA79" i="65"/>
  <c r="CB79" i="65"/>
  <c r="CC79" i="65"/>
  <c r="CD79" i="65"/>
  <c r="CE79" i="65"/>
  <c r="CF79" i="65"/>
  <c r="CG79" i="65"/>
  <c r="CH79" i="65"/>
  <c r="CI79" i="65"/>
  <c r="D80" i="65"/>
  <c r="F80" i="65"/>
  <c r="G80" i="65"/>
  <c r="H80" i="65"/>
  <c r="I80" i="65"/>
  <c r="J80" i="65"/>
  <c r="K80" i="65"/>
  <c r="L80" i="65"/>
  <c r="M80" i="65"/>
  <c r="N80" i="65"/>
  <c r="O80" i="65"/>
  <c r="P80" i="65"/>
  <c r="Q80" i="65"/>
  <c r="R80" i="65"/>
  <c r="S80" i="65"/>
  <c r="T80" i="65"/>
  <c r="U80" i="65"/>
  <c r="V80" i="65"/>
  <c r="W80" i="65"/>
  <c r="X80" i="65"/>
  <c r="Y80" i="65"/>
  <c r="Z80" i="65"/>
  <c r="AA80" i="65"/>
  <c r="AB80" i="65"/>
  <c r="AC80" i="65"/>
  <c r="AD80" i="65"/>
  <c r="AE80" i="65"/>
  <c r="AF80" i="65"/>
  <c r="AG80" i="65"/>
  <c r="AH80" i="65"/>
  <c r="AI80" i="65"/>
  <c r="AJ80" i="65"/>
  <c r="AK80" i="65"/>
  <c r="AL80" i="65"/>
  <c r="AM80" i="65"/>
  <c r="AN80" i="65"/>
  <c r="AO80" i="65"/>
  <c r="AP80" i="65"/>
  <c r="AQ80" i="65"/>
  <c r="AR80" i="65"/>
  <c r="AS80" i="65"/>
  <c r="AT80" i="65"/>
  <c r="AU80" i="65"/>
  <c r="AV80" i="65"/>
  <c r="AW80" i="65"/>
  <c r="AX80" i="65"/>
  <c r="AY80" i="65"/>
  <c r="AZ80" i="65"/>
  <c r="BA80" i="65"/>
  <c r="BB80" i="65"/>
  <c r="BC80" i="65"/>
  <c r="BD80" i="65"/>
  <c r="BE80" i="65"/>
  <c r="BF80" i="65"/>
  <c r="BG80" i="65"/>
  <c r="BH80" i="65"/>
  <c r="BI80" i="65"/>
  <c r="BJ80" i="65"/>
  <c r="BK80" i="65"/>
  <c r="BL80" i="65"/>
  <c r="BM80" i="65"/>
  <c r="BN80" i="65"/>
  <c r="BO80" i="65"/>
  <c r="BP80" i="65"/>
  <c r="BQ80" i="65"/>
  <c r="BR80" i="65"/>
  <c r="BS80" i="65"/>
  <c r="BT80" i="65"/>
  <c r="BU80" i="65"/>
  <c r="BV80" i="65"/>
  <c r="BW80" i="65"/>
  <c r="BX80" i="65"/>
  <c r="BY80" i="65"/>
  <c r="BZ80" i="65"/>
  <c r="CA80" i="65"/>
  <c r="CB80" i="65"/>
  <c r="CC80" i="65"/>
  <c r="CD80" i="65"/>
  <c r="CE80" i="65"/>
  <c r="CF80" i="65"/>
  <c r="CG80" i="65"/>
  <c r="CH80" i="65"/>
  <c r="CI80" i="65"/>
  <c r="D81" i="65"/>
  <c r="F81" i="65"/>
  <c r="G81" i="65"/>
  <c r="H81" i="65"/>
  <c r="I81" i="65"/>
  <c r="J81" i="65"/>
  <c r="K81" i="65"/>
  <c r="L81" i="65"/>
  <c r="M81" i="65"/>
  <c r="N81" i="65"/>
  <c r="O81" i="65"/>
  <c r="P81" i="65"/>
  <c r="Q81" i="65"/>
  <c r="R81" i="65"/>
  <c r="S81" i="65"/>
  <c r="T81" i="65"/>
  <c r="U81" i="65"/>
  <c r="V81" i="65"/>
  <c r="W81" i="65"/>
  <c r="X81" i="65"/>
  <c r="Y81" i="65"/>
  <c r="Z81" i="65"/>
  <c r="AA81" i="65"/>
  <c r="AB81" i="65"/>
  <c r="AC81" i="65"/>
  <c r="AD81" i="65"/>
  <c r="AE81" i="65"/>
  <c r="AF81" i="65"/>
  <c r="AG81" i="65"/>
  <c r="AH81" i="65"/>
  <c r="AI81" i="65"/>
  <c r="AJ81" i="65"/>
  <c r="AK81" i="65"/>
  <c r="AL81" i="65"/>
  <c r="AM81" i="65"/>
  <c r="AN81" i="65"/>
  <c r="AO81" i="65"/>
  <c r="AP81" i="65"/>
  <c r="AQ81" i="65"/>
  <c r="AR81" i="65"/>
  <c r="AS81" i="65"/>
  <c r="AT81" i="65"/>
  <c r="AU81" i="65"/>
  <c r="AV81" i="65"/>
  <c r="AW81" i="65"/>
  <c r="AX81" i="65"/>
  <c r="AY81" i="65"/>
  <c r="AZ81" i="65"/>
  <c r="BA81" i="65"/>
  <c r="BB81" i="65"/>
  <c r="BC81" i="65"/>
  <c r="BD81" i="65"/>
  <c r="BE81" i="65"/>
  <c r="BF81" i="65"/>
  <c r="BG81" i="65"/>
  <c r="BH81" i="65"/>
  <c r="BI81" i="65"/>
  <c r="BJ81" i="65"/>
  <c r="BK81" i="65"/>
  <c r="BL81" i="65"/>
  <c r="BM81" i="65"/>
  <c r="BN81" i="65"/>
  <c r="BO81" i="65"/>
  <c r="BP81" i="65"/>
  <c r="BQ81" i="65"/>
  <c r="BR81" i="65"/>
  <c r="BS81" i="65"/>
  <c r="BT81" i="65"/>
  <c r="BU81" i="65"/>
  <c r="BV81" i="65"/>
  <c r="BW81" i="65"/>
  <c r="BX81" i="65"/>
  <c r="BY81" i="65"/>
  <c r="BZ81" i="65"/>
  <c r="CA81" i="65"/>
  <c r="CB81" i="65"/>
  <c r="CC81" i="65"/>
  <c r="CD81" i="65"/>
  <c r="CE81" i="65"/>
  <c r="CF81" i="65"/>
  <c r="CG81" i="65"/>
  <c r="CH81" i="65"/>
  <c r="CI81" i="65"/>
  <c r="D82" i="65"/>
  <c r="D83" i="65"/>
  <c r="D84" i="65"/>
  <c r="F84" i="65"/>
  <c r="G84" i="65"/>
  <c r="H84" i="65"/>
  <c r="I84" i="65"/>
  <c r="J84" i="65"/>
  <c r="K84" i="65"/>
  <c r="L84" i="65"/>
  <c r="M84" i="65"/>
  <c r="N84" i="65"/>
  <c r="O84" i="65"/>
  <c r="P84" i="65"/>
  <c r="Q84" i="65"/>
  <c r="R84" i="65"/>
  <c r="S84" i="65"/>
  <c r="T84" i="65"/>
  <c r="U84" i="65"/>
  <c r="V84" i="65"/>
  <c r="W84" i="65"/>
  <c r="X84" i="65"/>
  <c r="Y84" i="65"/>
  <c r="Z84" i="65"/>
  <c r="AA84" i="65"/>
  <c r="AB84" i="65"/>
  <c r="AC84" i="65"/>
  <c r="AD84" i="65"/>
  <c r="AE84" i="65"/>
  <c r="AF84" i="65"/>
  <c r="AG84" i="65"/>
  <c r="AH84" i="65"/>
  <c r="AI84" i="65"/>
  <c r="AJ84" i="65"/>
  <c r="AK84" i="65"/>
  <c r="AL84" i="65"/>
  <c r="AM84" i="65"/>
  <c r="AN84" i="65"/>
  <c r="AO84" i="65"/>
  <c r="AP84" i="65"/>
  <c r="AQ84" i="65"/>
  <c r="AR84" i="65"/>
  <c r="AS84" i="65"/>
  <c r="AT84" i="65"/>
  <c r="AU84" i="65"/>
  <c r="AV84" i="65"/>
  <c r="AW84" i="65"/>
  <c r="AX84" i="65"/>
  <c r="AY84" i="65"/>
  <c r="AZ84" i="65"/>
  <c r="BA84" i="65"/>
  <c r="BB84" i="65"/>
  <c r="BC84" i="65"/>
  <c r="BD84" i="65"/>
  <c r="BE84" i="65"/>
  <c r="BF84" i="65"/>
  <c r="BG84" i="65"/>
  <c r="BH84" i="65"/>
  <c r="BI84" i="65"/>
  <c r="BJ84" i="65"/>
  <c r="BK84" i="65"/>
  <c r="BL84" i="65"/>
  <c r="BM84" i="65"/>
  <c r="BN84" i="65"/>
  <c r="BO84" i="65"/>
  <c r="BP84" i="65"/>
  <c r="BQ84" i="65"/>
  <c r="BR84" i="65"/>
  <c r="BS84" i="65"/>
  <c r="BT84" i="65"/>
  <c r="BU84" i="65"/>
  <c r="BV84" i="65"/>
  <c r="BW84" i="65"/>
  <c r="BX84" i="65"/>
  <c r="BY84" i="65"/>
  <c r="BZ84" i="65"/>
  <c r="CA84" i="65"/>
  <c r="CB84" i="65"/>
  <c r="CC84" i="65"/>
  <c r="CD84" i="65"/>
  <c r="CE84" i="65"/>
  <c r="CF84" i="65"/>
  <c r="CG84" i="65"/>
  <c r="CH84" i="65"/>
  <c r="CI84" i="65"/>
  <c r="D85" i="65"/>
  <c r="F85" i="65"/>
  <c r="G85" i="65"/>
  <c r="H85" i="65"/>
  <c r="I85" i="65"/>
  <c r="J85" i="65"/>
  <c r="K85" i="65"/>
  <c r="L85" i="65"/>
  <c r="M85" i="65"/>
  <c r="N85" i="65"/>
  <c r="O85" i="65"/>
  <c r="P85" i="65"/>
  <c r="Q85" i="65"/>
  <c r="R85" i="65"/>
  <c r="S85" i="65"/>
  <c r="T85" i="65"/>
  <c r="U85" i="65"/>
  <c r="V85" i="65"/>
  <c r="W85" i="65"/>
  <c r="X85" i="65"/>
  <c r="Y85" i="65"/>
  <c r="Z85" i="65"/>
  <c r="AA85" i="65"/>
  <c r="AB85" i="65"/>
  <c r="AC85" i="65"/>
  <c r="AD85" i="65"/>
  <c r="AE85" i="65"/>
  <c r="AF85" i="65"/>
  <c r="AG85" i="65"/>
  <c r="AH85" i="65"/>
  <c r="AI85" i="65"/>
  <c r="AJ85" i="65"/>
  <c r="AK85" i="65"/>
  <c r="AL85" i="65"/>
  <c r="AM85" i="65"/>
  <c r="AN85" i="65"/>
  <c r="AO85" i="65"/>
  <c r="AP85" i="65"/>
  <c r="AQ85" i="65"/>
  <c r="AR85" i="65"/>
  <c r="AS85" i="65"/>
  <c r="AT85" i="65"/>
  <c r="AU85" i="65"/>
  <c r="AV85" i="65"/>
  <c r="AW85" i="65"/>
  <c r="AX85" i="65"/>
  <c r="AY85" i="65"/>
  <c r="AZ85" i="65"/>
  <c r="BA85" i="65"/>
  <c r="BB85" i="65"/>
  <c r="BC85" i="65"/>
  <c r="BD85" i="65"/>
  <c r="BE85" i="65"/>
  <c r="BF85" i="65"/>
  <c r="BG85" i="65"/>
  <c r="BH85" i="65"/>
  <c r="BI85" i="65"/>
  <c r="BJ85" i="65"/>
  <c r="BK85" i="65"/>
  <c r="BL85" i="65"/>
  <c r="BM85" i="65"/>
  <c r="BN85" i="65"/>
  <c r="BO85" i="65"/>
  <c r="BP85" i="65"/>
  <c r="BQ85" i="65"/>
  <c r="BR85" i="65"/>
  <c r="BS85" i="65"/>
  <c r="BT85" i="65"/>
  <c r="BU85" i="65"/>
  <c r="BV85" i="65"/>
  <c r="BW85" i="65"/>
  <c r="BX85" i="65"/>
  <c r="BY85" i="65"/>
  <c r="BZ85" i="65"/>
  <c r="CA85" i="65"/>
  <c r="CB85" i="65"/>
  <c r="CC85" i="65"/>
  <c r="CD85" i="65"/>
  <c r="CE85" i="65"/>
  <c r="CF85" i="65"/>
  <c r="CG85" i="65"/>
  <c r="CH85" i="65"/>
  <c r="CI85" i="65"/>
  <c r="D86" i="65"/>
  <c r="F86" i="65"/>
  <c r="G86" i="65"/>
  <c r="H86" i="65"/>
  <c r="I86" i="65"/>
  <c r="J86" i="65"/>
  <c r="K86" i="65"/>
  <c r="L86" i="65"/>
  <c r="M86" i="65"/>
  <c r="N86" i="65"/>
  <c r="O86" i="65"/>
  <c r="P86" i="65"/>
  <c r="Q86" i="65"/>
  <c r="R86" i="65"/>
  <c r="S86" i="65"/>
  <c r="T86" i="65"/>
  <c r="U86" i="65"/>
  <c r="V86" i="65"/>
  <c r="W86" i="65"/>
  <c r="X86" i="65"/>
  <c r="Y86" i="65"/>
  <c r="Z86" i="65"/>
  <c r="AA86" i="65"/>
  <c r="AB86" i="65"/>
  <c r="AC86" i="65"/>
  <c r="AD86" i="65"/>
  <c r="AE86" i="65"/>
  <c r="AF86" i="65"/>
  <c r="AG86" i="65"/>
  <c r="AH86" i="65"/>
  <c r="AI86" i="65"/>
  <c r="AJ86" i="65"/>
  <c r="AK86" i="65"/>
  <c r="AL86" i="65"/>
  <c r="AM86" i="65"/>
  <c r="AN86" i="65"/>
  <c r="AO86" i="65"/>
  <c r="AP86" i="65"/>
  <c r="AQ86" i="65"/>
  <c r="AR86" i="65"/>
  <c r="AS86" i="65"/>
  <c r="AT86" i="65"/>
  <c r="AU86" i="65"/>
  <c r="AV86" i="65"/>
  <c r="AW86" i="65"/>
  <c r="AX86" i="65"/>
  <c r="AY86" i="65"/>
  <c r="AZ86" i="65"/>
  <c r="BA86" i="65"/>
  <c r="BB86" i="65"/>
  <c r="BC86" i="65"/>
  <c r="BD86" i="65"/>
  <c r="BE86" i="65"/>
  <c r="BF86" i="65"/>
  <c r="BG86" i="65"/>
  <c r="BH86" i="65"/>
  <c r="BI86" i="65"/>
  <c r="BJ86" i="65"/>
  <c r="BK86" i="65"/>
  <c r="BL86" i="65"/>
  <c r="BM86" i="65"/>
  <c r="BN86" i="65"/>
  <c r="BO86" i="65"/>
  <c r="BP86" i="65"/>
  <c r="BQ86" i="65"/>
  <c r="BR86" i="65"/>
  <c r="BS86" i="65"/>
  <c r="BT86" i="65"/>
  <c r="BU86" i="65"/>
  <c r="BV86" i="65"/>
  <c r="BW86" i="65"/>
  <c r="BX86" i="65"/>
  <c r="BY86" i="65"/>
  <c r="BZ86" i="65"/>
  <c r="CA86" i="65"/>
  <c r="CB86" i="65"/>
  <c r="CC86" i="65"/>
  <c r="CD86" i="65"/>
  <c r="CE86" i="65"/>
  <c r="CF86" i="65"/>
  <c r="CG86" i="65"/>
  <c r="CH86" i="65"/>
  <c r="CI86" i="65"/>
  <c r="D87" i="65"/>
  <c r="F87" i="65"/>
  <c r="G87" i="65"/>
  <c r="H87" i="65"/>
  <c r="I87" i="65"/>
  <c r="J87" i="65"/>
  <c r="K87" i="65"/>
  <c r="L87" i="65"/>
  <c r="M87" i="65"/>
  <c r="N87" i="65"/>
  <c r="O87" i="65"/>
  <c r="P87" i="65"/>
  <c r="Q87" i="65"/>
  <c r="R87" i="65"/>
  <c r="S87" i="65"/>
  <c r="T87" i="65"/>
  <c r="U87" i="65"/>
  <c r="V87" i="65"/>
  <c r="W87" i="65"/>
  <c r="X87" i="65"/>
  <c r="Y87" i="65"/>
  <c r="Z87" i="65"/>
  <c r="AA87" i="65"/>
  <c r="AB87" i="65"/>
  <c r="AC87" i="65"/>
  <c r="AD87" i="65"/>
  <c r="AE87" i="65"/>
  <c r="AF87" i="65"/>
  <c r="AG87" i="65"/>
  <c r="AH87" i="65"/>
  <c r="AI87" i="65"/>
  <c r="AJ87" i="65"/>
  <c r="AK87" i="65"/>
  <c r="AL87" i="65"/>
  <c r="AM87" i="65"/>
  <c r="AN87" i="65"/>
  <c r="AO87" i="65"/>
  <c r="AP87" i="65"/>
  <c r="AQ87" i="65"/>
  <c r="AR87" i="65"/>
  <c r="AS87" i="65"/>
  <c r="AT87" i="65"/>
  <c r="AU87" i="65"/>
  <c r="AV87" i="65"/>
  <c r="AW87" i="65"/>
  <c r="AX87" i="65"/>
  <c r="AY87" i="65"/>
  <c r="AZ87" i="65"/>
  <c r="BA87" i="65"/>
  <c r="BB87" i="65"/>
  <c r="BC87" i="65"/>
  <c r="BD87" i="65"/>
  <c r="BE87" i="65"/>
  <c r="BF87" i="65"/>
  <c r="BG87" i="65"/>
  <c r="BH87" i="65"/>
  <c r="BI87" i="65"/>
  <c r="BJ87" i="65"/>
  <c r="BK87" i="65"/>
  <c r="BL87" i="65"/>
  <c r="BM87" i="65"/>
  <c r="BN87" i="65"/>
  <c r="BO87" i="65"/>
  <c r="BP87" i="65"/>
  <c r="BQ87" i="65"/>
  <c r="BR87" i="65"/>
  <c r="BS87" i="65"/>
  <c r="BT87" i="65"/>
  <c r="BU87" i="65"/>
  <c r="BV87" i="65"/>
  <c r="BW87" i="65"/>
  <c r="BX87" i="65"/>
  <c r="BY87" i="65"/>
  <c r="BZ87" i="65"/>
  <c r="CA87" i="65"/>
  <c r="CB87" i="65"/>
  <c r="CC87" i="65"/>
  <c r="CD87" i="65"/>
  <c r="CE87" i="65"/>
  <c r="CF87" i="65"/>
  <c r="CG87" i="65"/>
  <c r="CH87" i="65"/>
  <c r="CI87" i="65"/>
  <c r="D88" i="65"/>
  <c r="D89" i="65"/>
  <c r="D90" i="65"/>
  <c r="F90" i="65"/>
  <c r="G90" i="65"/>
  <c r="H90" i="65"/>
  <c r="I90" i="65"/>
  <c r="J90" i="65"/>
  <c r="K90" i="65"/>
  <c r="L90" i="65"/>
  <c r="M90" i="65"/>
  <c r="N90" i="65"/>
  <c r="O90" i="65"/>
  <c r="P90" i="65"/>
  <c r="Q90" i="65"/>
  <c r="R90" i="65"/>
  <c r="S90" i="65"/>
  <c r="T90" i="65"/>
  <c r="U90" i="65"/>
  <c r="V90" i="65"/>
  <c r="W90" i="65"/>
  <c r="X90" i="65"/>
  <c r="Y90" i="65"/>
  <c r="Z90" i="65"/>
  <c r="AA90" i="65"/>
  <c r="AB90" i="65"/>
  <c r="AC90" i="65"/>
  <c r="AD90" i="65"/>
  <c r="AE90" i="65"/>
  <c r="AF90" i="65"/>
  <c r="AG90" i="65"/>
  <c r="AH90" i="65"/>
  <c r="AI90" i="65"/>
  <c r="AJ90" i="65"/>
  <c r="AK90" i="65"/>
  <c r="AL90" i="65"/>
  <c r="AM90" i="65"/>
  <c r="AN90" i="65"/>
  <c r="AO90" i="65"/>
  <c r="AP90" i="65"/>
  <c r="AQ90" i="65"/>
  <c r="AR90" i="65"/>
  <c r="AS90" i="65"/>
  <c r="AT90" i="65"/>
  <c r="AU90" i="65"/>
  <c r="AV90" i="65"/>
  <c r="AW90" i="65"/>
  <c r="AX90" i="65"/>
  <c r="AY90" i="65"/>
  <c r="AZ90" i="65"/>
  <c r="BA90" i="65"/>
  <c r="BB90" i="65"/>
  <c r="BC90" i="65"/>
  <c r="BD90" i="65"/>
  <c r="BE90" i="65"/>
  <c r="BF90" i="65"/>
  <c r="BG90" i="65"/>
  <c r="BH90" i="65"/>
  <c r="BI90" i="65"/>
  <c r="BJ90" i="65"/>
  <c r="BK90" i="65"/>
  <c r="BL90" i="65"/>
  <c r="BM90" i="65"/>
  <c r="BN90" i="65"/>
  <c r="BO90" i="65"/>
  <c r="BP90" i="65"/>
  <c r="BQ90" i="65"/>
  <c r="BR90" i="65"/>
  <c r="BS90" i="65"/>
  <c r="BT90" i="65"/>
  <c r="BU90" i="65"/>
  <c r="BV90" i="65"/>
  <c r="BW90" i="65"/>
  <c r="BX90" i="65"/>
  <c r="BY90" i="65"/>
  <c r="BZ90" i="65"/>
  <c r="CA90" i="65"/>
  <c r="CB90" i="65"/>
  <c r="CC90" i="65"/>
  <c r="CD90" i="65"/>
  <c r="CE90" i="65"/>
  <c r="CF90" i="65"/>
  <c r="CG90" i="65"/>
  <c r="CH90" i="65"/>
  <c r="CI90" i="65"/>
  <c r="D91" i="65"/>
  <c r="F91" i="65"/>
  <c r="G91" i="65"/>
  <c r="H91" i="65"/>
  <c r="I91" i="65"/>
  <c r="J91" i="65"/>
  <c r="K91" i="65"/>
  <c r="L91" i="65"/>
  <c r="M91" i="65"/>
  <c r="N91" i="65"/>
  <c r="O91" i="65"/>
  <c r="P91" i="65"/>
  <c r="Q91" i="65"/>
  <c r="R91" i="65"/>
  <c r="S91" i="65"/>
  <c r="T91" i="65"/>
  <c r="U91" i="65"/>
  <c r="V91" i="65"/>
  <c r="W91" i="65"/>
  <c r="X91" i="65"/>
  <c r="Y91" i="65"/>
  <c r="Z91" i="65"/>
  <c r="AA91" i="65"/>
  <c r="AB91" i="65"/>
  <c r="AC91" i="65"/>
  <c r="AD91" i="65"/>
  <c r="AE91" i="65"/>
  <c r="AF91" i="65"/>
  <c r="AG91" i="65"/>
  <c r="AH91" i="65"/>
  <c r="AI91" i="65"/>
  <c r="AJ91" i="65"/>
  <c r="AK91" i="65"/>
  <c r="AL91" i="65"/>
  <c r="AM91" i="65"/>
  <c r="AN91" i="65"/>
  <c r="AO91" i="65"/>
  <c r="AP91" i="65"/>
  <c r="AQ91" i="65"/>
  <c r="AR91" i="65"/>
  <c r="AS91" i="65"/>
  <c r="AT91" i="65"/>
  <c r="AU91" i="65"/>
  <c r="AV91" i="65"/>
  <c r="AW91" i="65"/>
  <c r="AX91" i="65"/>
  <c r="AY91" i="65"/>
  <c r="AZ91" i="65"/>
  <c r="BA91" i="65"/>
  <c r="BB91" i="65"/>
  <c r="BC91" i="65"/>
  <c r="BD91" i="65"/>
  <c r="BE91" i="65"/>
  <c r="BF91" i="65"/>
  <c r="BG91" i="65"/>
  <c r="BH91" i="65"/>
  <c r="BI91" i="65"/>
  <c r="BJ91" i="65"/>
  <c r="BK91" i="65"/>
  <c r="BL91" i="65"/>
  <c r="BM91" i="65"/>
  <c r="BN91" i="65"/>
  <c r="BO91" i="65"/>
  <c r="BP91" i="65"/>
  <c r="BQ91" i="65"/>
  <c r="BR91" i="65"/>
  <c r="BS91" i="65"/>
  <c r="BT91" i="65"/>
  <c r="BU91" i="65"/>
  <c r="BV91" i="65"/>
  <c r="BW91" i="65"/>
  <c r="BX91" i="65"/>
  <c r="BY91" i="65"/>
  <c r="BZ91" i="65"/>
  <c r="CA91" i="65"/>
  <c r="CB91" i="65"/>
  <c r="CC91" i="65"/>
  <c r="CD91" i="65"/>
  <c r="CE91" i="65"/>
  <c r="CF91" i="65"/>
  <c r="CG91" i="65"/>
  <c r="CH91" i="65"/>
  <c r="CI91" i="65"/>
  <c r="D92" i="65"/>
  <c r="F92" i="65"/>
  <c r="G92" i="65"/>
  <c r="H92" i="65"/>
  <c r="I92" i="65"/>
  <c r="J92" i="65"/>
  <c r="K92" i="65"/>
  <c r="L92" i="65"/>
  <c r="M92" i="65"/>
  <c r="N92" i="65"/>
  <c r="O92" i="65"/>
  <c r="P92" i="65"/>
  <c r="Q92" i="65"/>
  <c r="R92" i="65"/>
  <c r="S92" i="65"/>
  <c r="T92" i="65"/>
  <c r="U92" i="65"/>
  <c r="V92" i="65"/>
  <c r="W92" i="65"/>
  <c r="X92" i="65"/>
  <c r="Y92" i="65"/>
  <c r="Z92" i="65"/>
  <c r="AA92" i="65"/>
  <c r="AB92" i="65"/>
  <c r="AC92" i="65"/>
  <c r="AD92" i="65"/>
  <c r="AE92" i="65"/>
  <c r="AF92" i="65"/>
  <c r="AG92" i="65"/>
  <c r="AH92" i="65"/>
  <c r="AI92" i="65"/>
  <c r="AJ92" i="65"/>
  <c r="AK92" i="65"/>
  <c r="AL92" i="65"/>
  <c r="AM92" i="65"/>
  <c r="AN92" i="65"/>
  <c r="AO92" i="65"/>
  <c r="AP92" i="65"/>
  <c r="AQ92" i="65"/>
  <c r="AR92" i="65"/>
  <c r="AS92" i="65"/>
  <c r="AT92" i="65"/>
  <c r="AU92" i="65"/>
  <c r="AV92" i="65"/>
  <c r="AW92" i="65"/>
  <c r="AX92" i="65"/>
  <c r="AY92" i="65"/>
  <c r="AZ92" i="65"/>
  <c r="BA92" i="65"/>
  <c r="BB92" i="65"/>
  <c r="BC92" i="65"/>
  <c r="BD92" i="65"/>
  <c r="BE92" i="65"/>
  <c r="BF92" i="65"/>
  <c r="BG92" i="65"/>
  <c r="BH92" i="65"/>
  <c r="BI92" i="65"/>
  <c r="BJ92" i="65"/>
  <c r="BK92" i="65"/>
  <c r="BL92" i="65"/>
  <c r="BM92" i="65"/>
  <c r="BN92" i="65"/>
  <c r="BO92" i="65"/>
  <c r="BP92" i="65"/>
  <c r="BQ92" i="65"/>
  <c r="BR92" i="65"/>
  <c r="BS92" i="65"/>
  <c r="BT92" i="65"/>
  <c r="BU92" i="65"/>
  <c r="BV92" i="65"/>
  <c r="BW92" i="65"/>
  <c r="BX92" i="65"/>
  <c r="BY92" i="65"/>
  <c r="BZ92" i="65"/>
  <c r="CA92" i="65"/>
  <c r="CB92" i="65"/>
  <c r="CC92" i="65"/>
  <c r="CD92" i="65"/>
  <c r="CE92" i="65"/>
  <c r="CF92" i="65"/>
  <c r="CG92" i="65"/>
  <c r="CH92" i="65"/>
  <c r="CI92" i="65"/>
  <c r="D93" i="65"/>
  <c r="F93" i="65"/>
  <c r="G93" i="65"/>
  <c r="H93" i="65"/>
  <c r="I93" i="65"/>
  <c r="J93" i="65"/>
  <c r="K93" i="65"/>
  <c r="L93" i="65"/>
  <c r="M93" i="65"/>
  <c r="N93" i="65"/>
  <c r="O93" i="65"/>
  <c r="P93" i="65"/>
  <c r="Q93" i="65"/>
  <c r="R93" i="65"/>
  <c r="S93" i="65"/>
  <c r="T93" i="65"/>
  <c r="U93" i="65"/>
  <c r="V93" i="65"/>
  <c r="W93" i="65"/>
  <c r="X93" i="65"/>
  <c r="Y93" i="65"/>
  <c r="Z93" i="65"/>
  <c r="AA93" i="65"/>
  <c r="AB93" i="65"/>
  <c r="AC93" i="65"/>
  <c r="AD93" i="65"/>
  <c r="AE93" i="65"/>
  <c r="AF93" i="65"/>
  <c r="AG93" i="65"/>
  <c r="AH93" i="65"/>
  <c r="AI93" i="65"/>
  <c r="AJ93" i="65"/>
  <c r="AK93" i="65"/>
  <c r="AL93" i="65"/>
  <c r="AM93" i="65"/>
  <c r="AN93" i="65"/>
  <c r="AO93" i="65"/>
  <c r="AP93" i="65"/>
  <c r="AQ93" i="65"/>
  <c r="AR93" i="65"/>
  <c r="AS93" i="65"/>
  <c r="AT93" i="65"/>
  <c r="AU93" i="65"/>
  <c r="AV93" i="65"/>
  <c r="AW93" i="65"/>
  <c r="AX93" i="65"/>
  <c r="AY93" i="65"/>
  <c r="AZ93" i="65"/>
  <c r="BA93" i="65"/>
  <c r="BB93" i="65"/>
  <c r="BC93" i="65"/>
  <c r="BD93" i="65"/>
  <c r="BE93" i="65"/>
  <c r="BF93" i="65"/>
  <c r="BG93" i="65"/>
  <c r="BH93" i="65"/>
  <c r="BI93" i="65"/>
  <c r="BJ93" i="65"/>
  <c r="BK93" i="65"/>
  <c r="BL93" i="65"/>
  <c r="BM93" i="65"/>
  <c r="BN93" i="65"/>
  <c r="BO93" i="65"/>
  <c r="BP93" i="65"/>
  <c r="BQ93" i="65"/>
  <c r="BR93" i="65"/>
  <c r="BS93" i="65"/>
  <c r="BT93" i="65"/>
  <c r="BU93" i="65"/>
  <c r="BV93" i="65"/>
  <c r="BW93" i="65"/>
  <c r="BX93" i="65"/>
  <c r="BY93" i="65"/>
  <c r="BZ93" i="65"/>
  <c r="CA93" i="65"/>
  <c r="CB93" i="65"/>
  <c r="CC93" i="65"/>
  <c r="CD93" i="65"/>
  <c r="CE93" i="65"/>
  <c r="CF93" i="65"/>
  <c r="CG93" i="65"/>
  <c r="CH93" i="65"/>
  <c r="CI93" i="65"/>
  <c r="D94" i="65"/>
  <c r="F94" i="65"/>
  <c r="G94" i="65"/>
  <c r="H94" i="65"/>
  <c r="I94" i="65"/>
  <c r="J94" i="65"/>
  <c r="K94" i="65"/>
  <c r="L94" i="65"/>
  <c r="M94" i="65"/>
  <c r="N94" i="65"/>
  <c r="O94" i="65"/>
  <c r="P94" i="65"/>
  <c r="Q94" i="65"/>
  <c r="R94" i="65"/>
  <c r="S94" i="65"/>
  <c r="T94" i="65"/>
  <c r="U94" i="65"/>
  <c r="V94" i="65"/>
  <c r="W94" i="65"/>
  <c r="X94" i="65"/>
  <c r="Y94" i="65"/>
  <c r="Z94" i="65"/>
  <c r="AA94" i="65"/>
  <c r="AB94" i="65"/>
  <c r="AC94" i="65"/>
  <c r="AD94" i="65"/>
  <c r="AE94" i="65"/>
  <c r="AF94" i="65"/>
  <c r="AG94" i="65"/>
  <c r="AH94" i="65"/>
  <c r="AI94" i="65"/>
  <c r="AJ94" i="65"/>
  <c r="AK94" i="65"/>
  <c r="AL94" i="65"/>
  <c r="AM94" i="65"/>
  <c r="AN94" i="65"/>
  <c r="AO94" i="65"/>
  <c r="AP94" i="65"/>
  <c r="AQ94" i="65"/>
  <c r="AR94" i="65"/>
  <c r="AS94" i="65"/>
  <c r="AT94" i="65"/>
  <c r="AU94" i="65"/>
  <c r="AV94" i="65"/>
  <c r="AW94" i="65"/>
  <c r="AX94" i="65"/>
  <c r="AY94" i="65"/>
  <c r="AZ94" i="65"/>
  <c r="BA94" i="65"/>
  <c r="BB94" i="65"/>
  <c r="BC94" i="65"/>
  <c r="BD94" i="65"/>
  <c r="BE94" i="65"/>
  <c r="BF94" i="65"/>
  <c r="BG94" i="65"/>
  <c r="BH94" i="65"/>
  <c r="BI94" i="65"/>
  <c r="BJ94" i="65"/>
  <c r="BK94" i="65"/>
  <c r="BL94" i="65"/>
  <c r="BM94" i="65"/>
  <c r="BN94" i="65"/>
  <c r="BO94" i="65"/>
  <c r="BP94" i="65"/>
  <c r="BQ94" i="65"/>
  <c r="BR94" i="65"/>
  <c r="BS94" i="65"/>
  <c r="BT94" i="65"/>
  <c r="BU94" i="65"/>
  <c r="BV94" i="65"/>
  <c r="BW94" i="65"/>
  <c r="BX94" i="65"/>
  <c r="BY94" i="65"/>
  <c r="BZ94" i="65"/>
  <c r="CA94" i="65"/>
  <c r="CB94" i="65"/>
  <c r="CC94" i="65"/>
  <c r="CD94" i="65"/>
  <c r="CE94" i="65"/>
  <c r="CF94" i="65"/>
  <c r="CG94" i="65"/>
  <c r="CH94" i="65"/>
  <c r="CI94" i="65"/>
  <c r="D95" i="65"/>
  <c r="F95" i="65"/>
  <c r="G95" i="65"/>
  <c r="H95" i="65"/>
  <c r="I95" i="65"/>
  <c r="J95" i="65"/>
  <c r="K95" i="65"/>
  <c r="L95" i="65"/>
  <c r="M95" i="65"/>
  <c r="N95" i="65"/>
  <c r="O95" i="65"/>
  <c r="P95" i="65"/>
  <c r="Q95" i="65"/>
  <c r="R95" i="65"/>
  <c r="S95" i="65"/>
  <c r="T95" i="65"/>
  <c r="U95" i="65"/>
  <c r="V95" i="65"/>
  <c r="W95" i="65"/>
  <c r="X95" i="65"/>
  <c r="Y95" i="65"/>
  <c r="Z95" i="65"/>
  <c r="AA95" i="65"/>
  <c r="AB95" i="65"/>
  <c r="AC95" i="65"/>
  <c r="AD95" i="65"/>
  <c r="AE95" i="65"/>
  <c r="AF95" i="65"/>
  <c r="AG95" i="65"/>
  <c r="AH95" i="65"/>
  <c r="AI95" i="65"/>
  <c r="AJ95" i="65"/>
  <c r="AK95" i="65"/>
  <c r="AL95" i="65"/>
  <c r="AM95" i="65"/>
  <c r="AN95" i="65"/>
  <c r="AO95" i="65"/>
  <c r="AP95" i="65"/>
  <c r="AQ95" i="65"/>
  <c r="AR95" i="65"/>
  <c r="AS95" i="65"/>
  <c r="AT95" i="65"/>
  <c r="AU95" i="65"/>
  <c r="AV95" i="65"/>
  <c r="AW95" i="65"/>
  <c r="AX95" i="65"/>
  <c r="AY95" i="65"/>
  <c r="AZ95" i="65"/>
  <c r="BA95" i="65"/>
  <c r="BB95" i="65"/>
  <c r="BC95" i="65"/>
  <c r="BD95" i="65"/>
  <c r="BE95" i="65"/>
  <c r="BF95" i="65"/>
  <c r="BG95" i="65"/>
  <c r="BH95" i="65"/>
  <c r="BI95" i="65"/>
  <c r="BJ95" i="65"/>
  <c r="BK95" i="65"/>
  <c r="BL95" i="65"/>
  <c r="BM95" i="65"/>
  <c r="BN95" i="65"/>
  <c r="BO95" i="65"/>
  <c r="BP95" i="65"/>
  <c r="BQ95" i="65"/>
  <c r="BR95" i="65"/>
  <c r="BS95" i="65"/>
  <c r="BT95" i="65"/>
  <c r="BU95" i="65"/>
  <c r="BV95" i="65"/>
  <c r="BW95" i="65"/>
  <c r="BX95" i="65"/>
  <c r="BY95" i="65"/>
  <c r="BZ95" i="65"/>
  <c r="CA95" i="65"/>
  <c r="CB95" i="65"/>
  <c r="CC95" i="65"/>
  <c r="CD95" i="65"/>
  <c r="CE95" i="65"/>
  <c r="CF95" i="65"/>
  <c r="CG95" i="65"/>
  <c r="CH95" i="65"/>
  <c r="CI95" i="65"/>
  <c r="D96" i="65"/>
  <c r="F96" i="65"/>
  <c r="G96" i="65"/>
  <c r="H96" i="65"/>
  <c r="I96" i="65"/>
  <c r="J96" i="65"/>
  <c r="K96" i="65"/>
  <c r="L96" i="65"/>
  <c r="M96" i="65"/>
  <c r="N96" i="65"/>
  <c r="O96" i="65"/>
  <c r="P96" i="65"/>
  <c r="Q96" i="65"/>
  <c r="R96" i="65"/>
  <c r="S96" i="65"/>
  <c r="T96" i="65"/>
  <c r="U96" i="65"/>
  <c r="V96" i="65"/>
  <c r="W96" i="65"/>
  <c r="X96" i="65"/>
  <c r="Y96" i="65"/>
  <c r="Z96" i="65"/>
  <c r="AA96" i="65"/>
  <c r="AB96" i="65"/>
  <c r="AC96" i="65"/>
  <c r="AD96" i="65"/>
  <c r="AE96" i="65"/>
  <c r="AF96" i="65"/>
  <c r="AG96" i="65"/>
  <c r="AH96" i="65"/>
  <c r="AI96" i="65"/>
  <c r="AJ96" i="65"/>
  <c r="AK96" i="65"/>
  <c r="AL96" i="65"/>
  <c r="AM96" i="65"/>
  <c r="AN96" i="65"/>
  <c r="AO96" i="65"/>
  <c r="AP96" i="65"/>
  <c r="AQ96" i="65"/>
  <c r="AR96" i="65"/>
  <c r="AS96" i="65"/>
  <c r="AT96" i="65"/>
  <c r="AU96" i="65"/>
  <c r="AV96" i="65"/>
  <c r="AW96" i="65"/>
  <c r="AX96" i="65"/>
  <c r="AY96" i="65"/>
  <c r="AZ96" i="65"/>
  <c r="BA96" i="65"/>
  <c r="BB96" i="65"/>
  <c r="BC96" i="65"/>
  <c r="BD96" i="65"/>
  <c r="BE96" i="65"/>
  <c r="BF96" i="65"/>
  <c r="BG96" i="65"/>
  <c r="BH96" i="65"/>
  <c r="BI96" i="65"/>
  <c r="BJ96" i="65"/>
  <c r="BK96" i="65"/>
  <c r="BL96" i="65"/>
  <c r="BM96" i="65"/>
  <c r="BN96" i="65"/>
  <c r="BO96" i="65"/>
  <c r="BP96" i="65"/>
  <c r="BQ96" i="65"/>
  <c r="BR96" i="65"/>
  <c r="BS96" i="65"/>
  <c r="BT96" i="65"/>
  <c r="BU96" i="65"/>
  <c r="BV96" i="65"/>
  <c r="BW96" i="65"/>
  <c r="BX96" i="65"/>
  <c r="BY96" i="65"/>
  <c r="BZ96" i="65"/>
  <c r="CA96" i="65"/>
  <c r="CB96" i="65"/>
  <c r="CC96" i="65"/>
  <c r="CD96" i="65"/>
  <c r="CE96" i="65"/>
  <c r="CF96" i="65"/>
  <c r="CG96" i="65"/>
  <c r="CH96" i="65"/>
  <c r="CI96" i="65"/>
  <c r="D97" i="65"/>
  <c r="F97" i="65"/>
  <c r="G97" i="65"/>
  <c r="H97" i="65"/>
  <c r="I97" i="65"/>
  <c r="J97" i="65"/>
  <c r="K97" i="65"/>
  <c r="L97" i="65"/>
  <c r="M97" i="65"/>
  <c r="N97" i="65"/>
  <c r="O97" i="65"/>
  <c r="P97" i="65"/>
  <c r="Q97" i="65"/>
  <c r="R97" i="65"/>
  <c r="S97" i="65"/>
  <c r="T97" i="65"/>
  <c r="U97" i="65"/>
  <c r="V97" i="65"/>
  <c r="W97" i="65"/>
  <c r="X97" i="65"/>
  <c r="Y97" i="65"/>
  <c r="Z97" i="65"/>
  <c r="AA97" i="65"/>
  <c r="AB97" i="65"/>
  <c r="AC97" i="65"/>
  <c r="AD97" i="65"/>
  <c r="AE97" i="65"/>
  <c r="AF97" i="65"/>
  <c r="AG97" i="65"/>
  <c r="AH97" i="65"/>
  <c r="AI97" i="65"/>
  <c r="AJ97" i="65"/>
  <c r="AK97" i="65"/>
  <c r="AL97" i="65"/>
  <c r="AM97" i="65"/>
  <c r="AN97" i="65"/>
  <c r="AO97" i="65"/>
  <c r="AP97" i="65"/>
  <c r="AQ97" i="65"/>
  <c r="AR97" i="65"/>
  <c r="AS97" i="65"/>
  <c r="AT97" i="65"/>
  <c r="AU97" i="65"/>
  <c r="AV97" i="65"/>
  <c r="AW97" i="65"/>
  <c r="AX97" i="65"/>
  <c r="AY97" i="65"/>
  <c r="AZ97" i="65"/>
  <c r="BA97" i="65"/>
  <c r="BB97" i="65"/>
  <c r="BC97" i="65"/>
  <c r="BD97" i="65"/>
  <c r="BE97" i="65"/>
  <c r="BF97" i="65"/>
  <c r="BG97" i="65"/>
  <c r="BH97" i="65"/>
  <c r="BI97" i="65"/>
  <c r="BJ97" i="65"/>
  <c r="BK97" i="65"/>
  <c r="BL97" i="65"/>
  <c r="BM97" i="65"/>
  <c r="BN97" i="65"/>
  <c r="BO97" i="65"/>
  <c r="BP97" i="65"/>
  <c r="BQ97" i="65"/>
  <c r="BR97" i="65"/>
  <c r="BS97" i="65"/>
  <c r="BT97" i="65"/>
  <c r="BU97" i="65"/>
  <c r="BV97" i="65"/>
  <c r="BW97" i="65"/>
  <c r="BX97" i="65"/>
  <c r="BY97" i="65"/>
  <c r="BZ97" i="65"/>
  <c r="CA97" i="65"/>
  <c r="CB97" i="65"/>
  <c r="CC97" i="65"/>
  <c r="CD97" i="65"/>
  <c r="CE97" i="65"/>
  <c r="CF97" i="65"/>
  <c r="CG97" i="65"/>
  <c r="CH97" i="65"/>
  <c r="CI97" i="65"/>
  <c r="D2" i="65"/>
  <c r="K49" i="64"/>
  <c r="E39" i="65" s="1"/>
  <c r="F49" i="64"/>
  <c r="C39" i="65" s="1"/>
  <c r="K48" i="64"/>
  <c r="E38" i="65" s="1"/>
  <c r="F48" i="64"/>
  <c r="C38" i="65" s="1"/>
  <c r="D48" i="64"/>
  <c r="D49" i="64" s="1"/>
  <c r="B39" i="65" s="1"/>
  <c r="B48" i="64"/>
  <c r="B38" i="65" l="1"/>
  <c r="B49" i="64"/>
  <c r="A39" i="65" s="1"/>
  <c r="A38" i="65"/>
  <c r="L49" i="64"/>
  <c r="L48" i="64"/>
  <c r="B106" i="64"/>
  <c r="B104" i="64"/>
  <c r="B102" i="64"/>
  <c r="B100" i="64"/>
  <c r="B98" i="64"/>
  <c r="B96" i="64"/>
  <c r="B94" i="64"/>
  <c r="B92" i="64"/>
  <c r="B90" i="64"/>
  <c r="B88" i="64"/>
  <c r="B86" i="64"/>
  <c r="B84" i="64"/>
  <c r="B82" i="64"/>
  <c r="B80" i="64"/>
  <c r="B78" i="64"/>
  <c r="B76" i="64"/>
  <c r="B74" i="64"/>
  <c r="B72" i="64"/>
  <c r="B70" i="64"/>
  <c r="B68" i="64"/>
  <c r="B66" i="64"/>
  <c r="B64" i="64"/>
  <c r="B62" i="64"/>
  <c r="B60" i="64"/>
  <c r="B58" i="64"/>
  <c r="B56" i="64"/>
  <c r="B54" i="64"/>
  <c r="B52" i="64"/>
  <c r="B50" i="64"/>
  <c r="B46" i="64"/>
  <c r="B44" i="64"/>
  <c r="B42" i="64"/>
  <c r="B40" i="64"/>
  <c r="B38" i="64"/>
  <c r="B36" i="64"/>
  <c r="B34" i="64"/>
  <c r="B32" i="64"/>
  <c r="B30" i="64"/>
  <c r="B28" i="64"/>
  <c r="B26" i="64"/>
  <c r="B24" i="64"/>
  <c r="B22" i="64"/>
  <c r="B20" i="64"/>
  <c r="B18" i="64"/>
  <c r="B16" i="64"/>
  <c r="B14" i="64"/>
  <c r="B12" i="64"/>
  <c r="A2" i="65" s="1"/>
  <c r="D106" i="64"/>
  <c r="D104" i="64"/>
  <c r="D102" i="64"/>
  <c r="D100" i="64"/>
  <c r="D98" i="64"/>
  <c r="D96" i="64"/>
  <c r="D94" i="64"/>
  <c r="D92" i="64"/>
  <c r="D90" i="64"/>
  <c r="D88" i="64"/>
  <c r="D86" i="64"/>
  <c r="D84" i="64"/>
  <c r="D82" i="64"/>
  <c r="D80" i="64"/>
  <c r="D78" i="64"/>
  <c r="D76" i="64"/>
  <c r="D74" i="64"/>
  <c r="D72" i="64"/>
  <c r="D70" i="64"/>
  <c r="D68" i="64"/>
  <c r="D66" i="64"/>
  <c r="D64" i="64"/>
  <c r="D62" i="64"/>
  <c r="D60" i="64"/>
  <c r="D58" i="64"/>
  <c r="D56" i="64"/>
  <c r="D54" i="64"/>
  <c r="D52" i="64"/>
  <c r="D50" i="64"/>
  <c r="D46" i="64"/>
  <c r="D44" i="64"/>
  <c r="D42" i="64"/>
  <c r="D40" i="64"/>
  <c r="D38" i="64"/>
  <c r="D36" i="64"/>
  <c r="D34" i="64"/>
  <c r="D32" i="64"/>
  <c r="D30" i="64"/>
  <c r="D28" i="64"/>
  <c r="D26" i="64"/>
  <c r="D24" i="64"/>
  <c r="D22" i="64"/>
  <c r="D20" i="64"/>
  <c r="D18" i="64"/>
  <c r="D16" i="64"/>
  <c r="D14" i="64"/>
  <c r="D12" i="64"/>
  <c r="F1" i="65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E59" i="63"/>
  <c r="E60" i="63"/>
  <c r="E61" i="63"/>
  <c r="E62" i="63"/>
  <c r="E63" i="63"/>
  <c r="E64" i="63"/>
  <c r="E65" i="63"/>
  <c r="E66" i="63"/>
  <c r="E67" i="63"/>
  <c r="E68" i="63"/>
  <c r="E69" i="63"/>
  <c r="E70" i="63"/>
  <c r="E71" i="63"/>
  <c r="E72" i="63"/>
  <c r="E73" i="63"/>
  <c r="E74" i="63"/>
  <c r="E75" i="63"/>
  <c r="E76" i="63"/>
  <c r="E77" i="63"/>
  <c r="E78" i="63"/>
  <c r="E79" i="63"/>
  <c r="E80" i="63"/>
  <c r="F2" i="64"/>
  <c r="C2" i="63"/>
  <c r="D27" i="64" l="1"/>
  <c r="B17" i="65" s="1"/>
  <c r="B16" i="65"/>
  <c r="D43" i="64"/>
  <c r="B33" i="65" s="1"/>
  <c r="B32" i="65"/>
  <c r="D83" i="64"/>
  <c r="B73" i="65" s="1"/>
  <c r="B72" i="65"/>
  <c r="D99" i="64"/>
  <c r="B89" i="65" s="1"/>
  <c r="B88" i="65"/>
  <c r="B25" i="64"/>
  <c r="A15" i="65" s="1"/>
  <c r="A14" i="65"/>
  <c r="B41" i="64"/>
  <c r="A31" i="65" s="1"/>
  <c r="A30" i="65"/>
  <c r="B59" i="64"/>
  <c r="A49" i="65" s="1"/>
  <c r="A48" i="65"/>
  <c r="B73" i="64"/>
  <c r="A63" i="65" s="1"/>
  <c r="A62" i="65"/>
  <c r="B89" i="64"/>
  <c r="A79" i="65" s="1"/>
  <c r="A78" i="65"/>
  <c r="D37" i="64"/>
  <c r="B27" i="65" s="1"/>
  <c r="B26" i="65"/>
  <c r="D55" i="64"/>
  <c r="B45" i="65" s="1"/>
  <c r="B44" i="65"/>
  <c r="D63" i="64"/>
  <c r="B53" i="65" s="1"/>
  <c r="B52" i="65"/>
  <c r="D77" i="64"/>
  <c r="B67" i="65" s="1"/>
  <c r="B66" i="65"/>
  <c r="D93" i="64"/>
  <c r="B83" i="65" s="1"/>
  <c r="B82" i="65"/>
  <c r="D101" i="64"/>
  <c r="B91" i="65" s="1"/>
  <c r="B90" i="65"/>
  <c r="B19" i="64"/>
  <c r="A9" i="65" s="1"/>
  <c r="A8" i="65"/>
  <c r="B43" i="64"/>
  <c r="A33" i="65" s="1"/>
  <c r="A32" i="65"/>
  <c r="B61" i="64"/>
  <c r="A51" i="65" s="1"/>
  <c r="A50" i="65"/>
  <c r="B75" i="64"/>
  <c r="A65" i="65" s="1"/>
  <c r="A64" i="65"/>
  <c r="B83" i="64"/>
  <c r="A73" i="65" s="1"/>
  <c r="A72" i="65"/>
  <c r="B99" i="64"/>
  <c r="A89" i="65" s="1"/>
  <c r="A88" i="65"/>
  <c r="B107" i="64"/>
  <c r="A97" i="65" s="1"/>
  <c r="A96" i="65"/>
  <c r="D15" i="64"/>
  <c r="B5" i="65" s="1"/>
  <c r="B4" i="65"/>
  <c r="D23" i="64"/>
  <c r="B13" i="65" s="1"/>
  <c r="B12" i="65"/>
  <c r="D31" i="64"/>
  <c r="B21" i="65" s="1"/>
  <c r="B20" i="65"/>
  <c r="D39" i="64"/>
  <c r="B29" i="65" s="1"/>
  <c r="B28" i="65"/>
  <c r="D47" i="64"/>
  <c r="B37" i="65" s="1"/>
  <c r="B36" i="65"/>
  <c r="D57" i="64"/>
  <c r="B47" i="65" s="1"/>
  <c r="B46" i="65"/>
  <c r="D65" i="64"/>
  <c r="B55" i="65" s="1"/>
  <c r="B54" i="65"/>
  <c r="D71" i="64"/>
  <c r="B61" i="65" s="1"/>
  <c r="B60" i="65"/>
  <c r="D79" i="64"/>
  <c r="B69" i="65" s="1"/>
  <c r="B68" i="65"/>
  <c r="D87" i="64"/>
  <c r="B77" i="65" s="1"/>
  <c r="B76" i="65"/>
  <c r="D95" i="64"/>
  <c r="B85" i="65" s="1"/>
  <c r="B84" i="65"/>
  <c r="D103" i="64"/>
  <c r="B93" i="65" s="1"/>
  <c r="B92" i="65"/>
  <c r="B21" i="64"/>
  <c r="A11" i="65" s="1"/>
  <c r="A10" i="65"/>
  <c r="B29" i="64"/>
  <c r="A19" i="65" s="1"/>
  <c r="A18" i="65"/>
  <c r="B37" i="64"/>
  <c r="A27" i="65" s="1"/>
  <c r="A26" i="65"/>
  <c r="B45" i="64"/>
  <c r="A35" i="65" s="1"/>
  <c r="A34" i="65"/>
  <c r="B55" i="64"/>
  <c r="A45" i="65" s="1"/>
  <c r="A44" i="65"/>
  <c r="B63" i="64"/>
  <c r="A53" i="65" s="1"/>
  <c r="A52" i="65"/>
  <c r="B69" i="64"/>
  <c r="A59" i="65" s="1"/>
  <c r="A58" i="65"/>
  <c r="B77" i="64"/>
  <c r="A67" i="65" s="1"/>
  <c r="A66" i="65"/>
  <c r="B93" i="64"/>
  <c r="A83" i="65" s="1"/>
  <c r="A82" i="65"/>
  <c r="B101" i="64"/>
  <c r="A91" i="65" s="1"/>
  <c r="A90" i="65"/>
  <c r="D19" i="64"/>
  <c r="B9" i="65" s="1"/>
  <c r="B8" i="65"/>
  <c r="D35" i="64"/>
  <c r="B25" i="65" s="1"/>
  <c r="B24" i="65"/>
  <c r="D53" i="64"/>
  <c r="B43" i="65" s="1"/>
  <c r="B42" i="65"/>
  <c r="D61" i="64"/>
  <c r="B51" i="65" s="1"/>
  <c r="B50" i="65"/>
  <c r="D75" i="64"/>
  <c r="B65" i="65" s="1"/>
  <c r="B64" i="65"/>
  <c r="D91" i="64"/>
  <c r="B81" i="65" s="1"/>
  <c r="B80" i="65"/>
  <c r="D107" i="64"/>
  <c r="B97" i="65" s="1"/>
  <c r="B96" i="65"/>
  <c r="B17" i="64"/>
  <c r="A7" i="65" s="1"/>
  <c r="A6" i="65"/>
  <c r="B33" i="64"/>
  <c r="A23" i="65" s="1"/>
  <c r="A22" i="65"/>
  <c r="B51" i="64"/>
  <c r="A41" i="65" s="1"/>
  <c r="A40" i="65"/>
  <c r="B67" i="64"/>
  <c r="A57" i="65" s="1"/>
  <c r="A56" i="65"/>
  <c r="B81" i="64"/>
  <c r="A71" i="65" s="1"/>
  <c r="A70" i="65"/>
  <c r="B97" i="64"/>
  <c r="A87" i="65" s="1"/>
  <c r="A86" i="65"/>
  <c r="B105" i="64"/>
  <c r="A95" i="65" s="1"/>
  <c r="A94" i="65"/>
  <c r="D13" i="64"/>
  <c r="B3" i="65" s="1"/>
  <c r="B2" i="65"/>
  <c r="D21" i="64"/>
  <c r="B11" i="65" s="1"/>
  <c r="B10" i="65"/>
  <c r="D29" i="64"/>
  <c r="B19" i="65" s="1"/>
  <c r="B18" i="65"/>
  <c r="D45" i="64"/>
  <c r="B35" i="65" s="1"/>
  <c r="B34" i="65"/>
  <c r="D69" i="64"/>
  <c r="B59" i="65" s="1"/>
  <c r="B58" i="65"/>
  <c r="B27" i="64"/>
  <c r="A17" i="65" s="1"/>
  <c r="A16" i="65"/>
  <c r="B35" i="64"/>
  <c r="A25" i="65" s="1"/>
  <c r="A24" i="65"/>
  <c r="B53" i="64"/>
  <c r="A43" i="65" s="1"/>
  <c r="A42" i="65"/>
  <c r="B91" i="64"/>
  <c r="A81" i="65" s="1"/>
  <c r="A80" i="65"/>
  <c r="D17" i="64"/>
  <c r="B7" i="65" s="1"/>
  <c r="B6" i="65"/>
  <c r="D25" i="64"/>
  <c r="B15" i="65" s="1"/>
  <c r="B14" i="65"/>
  <c r="D33" i="64"/>
  <c r="B23" i="65" s="1"/>
  <c r="B22" i="65"/>
  <c r="D41" i="64"/>
  <c r="B31" i="65" s="1"/>
  <c r="B30" i="65"/>
  <c r="D51" i="64"/>
  <c r="B41" i="65" s="1"/>
  <c r="B40" i="65"/>
  <c r="D59" i="64"/>
  <c r="B49" i="65" s="1"/>
  <c r="B48" i="65"/>
  <c r="D67" i="64"/>
  <c r="B57" i="65" s="1"/>
  <c r="B56" i="65"/>
  <c r="D73" i="64"/>
  <c r="B63" i="65" s="1"/>
  <c r="B62" i="65"/>
  <c r="D81" i="64"/>
  <c r="B71" i="65" s="1"/>
  <c r="B70" i="65"/>
  <c r="D89" i="64"/>
  <c r="B79" i="65" s="1"/>
  <c r="B78" i="65"/>
  <c r="D97" i="64"/>
  <c r="B87" i="65" s="1"/>
  <c r="B86" i="65"/>
  <c r="D105" i="64"/>
  <c r="B95" i="65" s="1"/>
  <c r="B94" i="65"/>
  <c r="B15" i="64"/>
  <c r="A5" i="65" s="1"/>
  <c r="A4" i="65"/>
  <c r="B23" i="64"/>
  <c r="A13" i="65" s="1"/>
  <c r="A12" i="65"/>
  <c r="B31" i="64"/>
  <c r="A21" i="65" s="1"/>
  <c r="A20" i="65"/>
  <c r="B39" i="64"/>
  <c r="A29" i="65" s="1"/>
  <c r="A28" i="65"/>
  <c r="B47" i="64"/>
  <c r="A37" i="65" s="1"/>
  <c r="A36" i="65"/>
  <c r="B57" i="64"/>
  <c r="A47" i="65" s="1"/>
  <c r="A46" i="65"/>
  <c r="B65" i="64"/>
  <c r="A55" i="65" s="1"/>
  <c r="A54" i="65"/>
  <c r="B71" i="64"/>
  <c r="A61" i="65" s="1"/>
  <c r="A60" i="65"/>
  <c r="B79" i="64"/>
  <c r="A69" i="65" s="1"/>
  <c r="A68" i="65"/>
  <c r="B87" i="64"/>
  <c r="A77" i="65" s="1"/>
  <c r="A76" i="65"/>
  <c r="B95" i="64"/>
  <c r="A85" i="65" s="1"/>
  <c r="A84" i="65"/>
  <c r="B103" i="64"/>
  <c r="A93" i="65" s="1"/>
  <c r="A92" i="65"/>
  <c r="B85" i="64"/>
  <c r="A75" i="65" s="1"/>
  <c r="A74" i="65"/>
  <c r="D85" i="64"/>
  <c r="B75" i="65" s="1"/>
  <c r="B74" i="65"/>
  <c r="B13" i="64"/>
  <c r="A3" i="65" s="1"/>
  <c r="F107" i="64"/>
  <c r="C97" i="65" s="1"/>
  <c r="F106" i="64"/>
  <c r="C96" i="65" s="1"/>
  <c r="F105" i="64"/>
  <c r="C95" i="65" s="1"/>
  <c r="F104" i="64"/>
  <c r="C94" i="65" s="1"/>
  <c r="F103" i="64"/>
  <c r="C93" i="65" s="1"/>
  <c r="F102" i="64"/>
  <c r="C92" i="65" s="1"/>
  <c r="F101" i="64"/>
  <c r="C91" i="65" s="1"/>
  <c r="F100" i="64"/>
  <c r="E98" i="64"/>
  <c r="F98" i="64" s="1"/>
  <c r="C88" i="65" s="1"/>
  <c r="F97" i="64"/>
  <c r="C87" i="65" s="1"/>
  <c r="F96" i="64"/>
  <c r="C86" i="65" s="1"/>
  <c r="F95" i="64"/>
  <c r="C85" i="65" s="1"/>
  <c r="F94" i="64"/>
  <c r="C84" i="65" s="1"/>
  <c r="E92" i="64"/>
  <c r="F91" i="64"/>
  <c r="C81" i="65" s="1"/>
  <c r="F90" i="64"/>
  <c r="C80" i="65" s="1"/>
  <c r="F89" i="64"/>
  <c r="C79" i="65" s="1"/>
  <c r="F88" i="64"/>
  <c r="C78" i="65" s="1"/>
  <c r="F87" i="64"/>
  <c r="C77" i="65" s="1"/>
  <c r="F86" i="64"/>
  <c r="C76" i="65" s="1"/>
  <c r="F85" i="64"/>
  <c r="C75" i="65" s="1"/>
  <c r="F84" i="64"/>
  <c r="C74" i="65" s="1"/>
  <c r="F83" i="64"/>
  <c r="C73" i="65" s="1"/>
  <c r="F82" i="64"/>
  <c r="C72" i="65" s="1"/>
  <c r="F81" i="64"/>
  <c r="C71" i="65" s="1"/>
  <c r="F80" i="64"/>
  <c r="C70" i="65" s="1"/>
  <c r="F79" i="64"/>
  <c r="C69" i="65" s="1"/>
  <c r="F78" i="64"/>
  <c r="C68" i="65" s="1"/>
  <c r="E76" i="64"/>
  <c r="M76" i="64" s="1" a="1"/>
  <c r="M76" i="64" s="1"/>
  <c r="F66" i="65" s="1"/>
  <c r="BQ75" i="64"/>
  <c r="BJ65" i="65" s="1"/>
  <c r="F75" i="64"/>
  <c r="C65" i="65" s="1"/>
  <c r="F74" i="64"/>
  <c r="C64" i="65" s="1"/>
  <c r="F73" i="64"/>
  <c r="C63" i="65" s="1"/>
  <c r="F72" i="64"/>
  <c r="C62" i="65" s="1"/>
  <c r="F71" i="64"/>
  <c r="C61" i="65" s="1"/>
  <c r="F70" i="64"/>
  <c r="C60" i="65" s="1"/>
  <c r="F69" i="64"/>
  <c r="C59" i="65" s="1"/>
  <c r="F68" i="64"/>
  <c r="C58" i="65" s="1"/>
  <c r="F67" i="64"/>
  <c r="C57" i="65" s="1"/>
  <c r="F66" i="64"/>
  <c r="C56" i="65" s="1"/>
  <c r="F65" i="64"/>
  <c r="C55" i="65" s="1"/>
  <c r="F64" i="64"/>
  <c r="C54" i="65" s="1"/>
  <c r="F63" i="64"/>
  <c r="C53" i="65" s="1"/>
  <c r="F62" i="64"/>
  <c r="C52" i="65" s="1"/>
  <c r="F61" i="64"/>
  <c r="C51" i="65" s="1"/>
  <c r="F60" i="64"/>
  <c r="C50" i="65" s="1"/>
  <c r="F59" i="64"/>
  <c r="C49" i="65" s="1"/>
  <c r="F58" i="64"/>
  <c r="E56" i="64"/>
  <c r="F53" i="64"/>
  <c r="C43" i="65" s="1"/>
  <c r="F52" i="64"/>
  <c r="C42" i="65" s="1"/>
  <c r="F51" i="64"/>
  <c r="C41" i="65" s="1"/>
  <c r="F50" i="64"/>
  <c r="C40" i="65" s="1"/>
  <c r="F47" i="64"/>
  <c r="C37" i="65" s="1"/>
  <c r="F46" i="64"/>
  <c r="C36" i="65" s="1"/>
  <c r="E44" i="64"/>
  <c r="F45" i="64" s="1"/>
  <c r="C35" i="65" s="1"/>
  <c r="F43" i="64"/>
  <c r="C33" i="65" s="1"/>
  <c r="F42" i="64"/>
  <c r="C32" i="65" s="1"/>
  <c r="F41" i="64"/>
  <c r="C31" i="65" s="1"/>
  <c r="F40" i="64"/>
  <c r="C30" i="65" s="1"/>
  <c r="F39" i="64"/>
  <c r="C29" i="65" s="1"/>
  <c r="F38" i="64"/>
  <c r="C28" i="65" s="1"/>
  <c r="F37" i="64"/>
  <c r="C27" i="65" s="1"/>
  <c r="F36" i="64"/>
  <c r="C26" i="65" s="1"/>
  <c r="F35" i="64"/>
  <c r="C25" i="65" s="1"/>
  <c r="F34" i="64"/>
  <c r="C24" i="65" s="1"/>
  <c r="F33" i="64"/>
  <c r="C23" i="65" s="1"/>
  <c r="F32" i="64"/>
  <c r="C22" i="65" s="1"/>
  <c r="F31" i="64"/>
  <c r="C21" i="65" s="1"/>
  <c r="F30" i="64"/>
  <c r="C20" i="65" s="1"/>
  <c r="F29" i="64"/>
  <c r="C19" i="65" s="1"/>
  <c r="K28" i="64"/>
  <c r="E18" i="65" s="1"/>
  <c r="F28" i="64"/>
  <c r="C18" i="65" s="1"/>
  <c r="K27" i="64"/>
  <c r="E17" i="65" s="1"/>
  <c r="F27" i="64"/>
  <c r="C17" i="65" s="1"/>
  <c r="K26" i="64"/>
  <c r="E16" i="65" s="1"/>
  <c r="F26" i="64"/>
  <c r="C16" i="65" s="1"/>
  <c r="K25" i="64"/>
  <c r="E15" i="65" s="1"/>
  <c r="F25" i="64"/>
  <c r="C15" i="65" s="1"/>
  <c r="K24" i="64"/>
  <c r="E14" i="65" s="1"/>
  <c r="F24" i="64"/>
  <c r="C14" i="65" s="1"/>
  <c r="K23" i="64"/>
  <c r="E13" i="65" s="1"/>
  <c r="F23" i="64"/>
  <c r="C13" i="65" s="1"/>
  <c r="K22" i="64"/>
  <c r="E12" i="65" s="1"/>
  <c r="F22" i="64"/>
  <c r="C12" i="65" s="1"/>
  <c r="K21" i="64"/>
  <c r="E11" i="65" s="1"/>
  <c r="F21" i="64"/>
  <c r="C11" i="65" s="1"/>
  <c r="K20" i="64"/>
  <c r="E10" i="65" s="1"/>
  <c r="F20" i="64"/>
  <c r="C10" i="65" s="1"/>
  <c r="K19" i="64"/>
  <c r="E9" i="65" s="1"/>
  <c r="F19" i="64"/>
  <c r="C9" i="65" s="1"/>
  <c r="K18" i="64"/>
  <c r="E8" i="65" s="1"/>
  <c r="F18" i="64"/>
  <c r="C8" i="65" s="1"/>
  <c r="E16" i="64"/>
  <c r="F16" i="64" s="1"/>
  <c r="C6" i="65" s="1"/>
  <c r="K15" i="64"/>
  <c r="E5" i="65" s="1"/>
  <c r="F15" i="64"/>
  <c r="C5" i="65" s="1"/>
  <c r="K14" i="64"/>
  <c r="E4" i="65" s="1"/>
  <c r="F14" i="64"/>
  <c r="C4" i="65" s="1"/>
  <c r="N11" i="64"/>
  <c r="CM5" i="64"/>
  <c r="C3" i="63"/>
  <c r="C4" i="63" s="1"/>
  <c r="C5" i="63" s="1"/>
  <c r="C6" i="63" s="1"/>
  <c r="C7" i="63" s="1"/>
  <c r="C8" i="63" s="1"/>
  <c r="C9" i="63" s="1"/>
  <c r="C10" i="63" s="1"/>
  <c r="C11" i="63" s="1"/>
  <c r="C12" i="63" s="1"/>
  <c r="C13" i="63" s="1"/>
  <c r="C14" i="63" s="1"/>
  <c r="C15" i="63" s="1"/>
  <c r="C16" i="63" s="1"/>
  <c r="C17" i="63" s="1"/>
  <c r="C18" i="63" s="1"/>
  <c r="C19" i="63" s="1"/>
  <c r="C20" i="63" s="1"/>
  <c r="C21" i="63" s="1"/>
  <c r="C22" i="63" s="1"/>
  <c r="C23" i="63" s="1"/>
  <c r="C24" i="63" s="1"/>
  <c r="C25" i="63" s="1"/>
  <c r="C26" i="63" s="1"/>
  <c r="C27" i="63" s="1"/>
  <c r="C28" i="63" s="1"/>
  <c r="C29" i="63" s="1"/>
  <c r="C30" i="63" s="1"/>
  <c r="C31" i="63" s="1"/>
  <c r="C32" i="63" s="1"/>
  <c r="C33" i="63" s="1"/>
  <c r="C34" i="63" s="1"/>
  <c r="C35" i="63" s="1"/>
  <c r="C36" i="63" s="1"/>
  <c r="C37" i="63" s="1"/>
  <c r="C38" i="63" s="1"/>
  <c r="C39" i="63" s="1"/>
  <c r="C40" i="63" s="1"/>
  <c r="C41" i="63" s="1"/>
  <c r="C42" i="63" s="1"/>
  <c r="C43" i="63" s="1"/>
  <c r="C44" i="63" s="1"/>
  <c r="C45" i="63" s="1"/>
  <c r="C46" i="63" s="1"/>
  <c r="C47" i="63" s="1"/>
  <c r="C48" i="63" s="1"/>
  <c r="C49" i="63" s="1"/>
  <c r="C50" i="63" s="1"/>
  <c r="C51" i="63" s="1"/>
  <c r="C52" i="63" s="1"/>
  <c r="C53" i="63" s="1"/>
  <c r="C54" i="63" s="1"/>
  <c r="C55" i="63" s="1"/>
  <c r="C56" i="63" s="1"/>
  <c r="C57" i="63" s="1"/>
  <c r="C58" i="63" s="1"/>
  <c r="C59" i="63" s="1"/>
  <c r="C60" i="63" s="1"/>
  <c r="C61" i="63" s="1"/>
  <c r="C62" i="63" s="1"/>
  <c r="C63" i="63" s="1"/>
  <c r="C64" i="63" s="1"/>
  <c r="C65" i="63" s="1"/>
  <c r="C66" i="63" s="1"/>
  <c r="C67" i="63" s="1"/>
  <c r="C68" i="63" s="1"/>
  <c r="C69" i="63" s="1"/>
  <c r="C70" i="63" s="1"/>
  <c r="C71" i="63" s="1"/>
  <c r="C72" i="63" s="1"/>
  <c r="C73" i="63" s="1"/>
  <c r="C74" i="63" s="1"/>
  <c r="C75" i="63" s="1"/>
  <c r="C76" i="63" s="1"/>
  <c r="C77" i="63" s="1"/>
  <c r="C78" i="63" s="1"/>
  <c r="C79" i="63" s="1"/>
  <c r="C80" i="63" s="1"/>
  <c r="F56" i="64" l="1"/>
  <c r="E54" i="64"/>
  <c r="M56" i="64" a="1"/>
  <c r="M56" i="64" s="1"/>
  <c r="C90" i="65"/>
  <c r="CL98" i="64" a="1"/>
  <c r="CL98" i="64" s="1"/>
  <c r="CH98" i="64" a="1"/>
  <c r="CH98" i="64" s="1"/>
  <c r="CD98" i="64" a="1"/>
  <c r="CD98" i="64" s="1"/>
  <c r="BZ98" i="64" a="1"/>
  <c r="BZ98" i="64" s="1"/>
  <c r="BS88" i="65" s="1"/>
  <c r="BV98" i="64" a="1"/>
  <c r="BV98" i="64" s="1"/>
  <c r="CK98" i="64" a="1"/>
  <c r="CK98" i="64" s="1"/>
  <c r="CG98" i="64" a="1"/>
  <c r="CG98" i="64" s="1"/>
  <c r="CC98" i="64" a="1"/>
  <c r="CC98" i="64" s="1"/>
  <c r="BV88" i="65" s="1"/>
  <c r="BY98" i="64" a="1"/>
  <c r="BY98" i="64" s="1"/>
  <c r="BU98" i="64" a="1"/>
  <c r="BU98" i="64" s="1"/>
  <c r="CJ98" i="64" a="1"/>
  <c r="CJ98" i="64" s="1"/>
  <c r="CF98" i="64" a="1"/>
  <c r="CF98" i="64" s="1"/>
  <c r="BY88" i="65" s="1"/>
  <c r="CB98" i="64" a="1"/>
  <c r="CB98" i="64" s="1"/>
  <c r="BX98" i="64" a="1"/>
  <c r="BX98" i="64" s="1"/>
  <c r="CI98" i="64" a="1"/>
  <c r="CI98" i="64" s="1"/>
  <c r="CE98" i="64" a="1"/>
  <c r="CE98" i="64" s="1"/>
  <c r="BX88" i="65" s="1"/>
  <c r="CA98" i="64" a="1"/>
  <c r="CA98" i="64" s="1"/>
  <c r="BW98" i="64" a="1"/>
  <c r="BW98" i="64" s="1"/>
  <c r="C46" i="65"/>
  <c r="AB56" i="64" a="1"/>
  <c r="AB56" i="64" s="1"/>
  <c r="U46" i="65" s="1"/>
  <c r="C48" i="65"/>
  <c r="CZ99" i="64" a="1"/>
  <c r="CZ99" i="64" s="1"/>
  <c r="CV99" i="64" a="1"/>
  <c r="CV99" i="64" s="1"/>
  <c r="CR99" i="64" a="1"/>
  <c r="CR99" i="64" s="1"/>
  <c r="CN99" i="64" a="1"/>
  <c r="CN99" i="64" s="1"/>
  <c r="CG89" i="65" s="1"/>
  <c r="CJ99" i="64" a="1"/>
  <c r="CJ99" i="64" s="1"/>
  <c r="CC89" i="65" s="1"/>
  <c r="CF99" i="64" a="1"/>
  <c r="CF99" i="64" s="1"/>
  <c r="BY89" i="65" s="1"/>
  <c r="CB99" i="64" a="1"/>
  <c r="CB99" i="64" s="1"/>
  <c r="BU89" i="65" s="1"/>
  <c r="BX99" i="64" a="1"/>
  <c r="BX99" i="64" s="1"/>
  <c r="BQ89" i="65" s="1"/>
  <c r="BT99" i="64" a="1"/>
  <c r="BT99" i="64" s="1"/>
  <c r="BM89" i="65" s="1"/>
  <c r="BP99" i="64" a="1"/>
  <c r="BP99" i="64" s="1"/>
  <c r="BI89" i="65" s="1"/>
  <c r="BL99" i="64" a="1"/>
  <c r="BL99" i="64" s="1"/>
  <c r="BE89" i="65" s="1"/>
  <c r="BH99" i="64" a="1"/>
  <c r="BH99" i="64" s="1"/>
  <c r="BA89" i="65" s="1"/>
  <c r="BD99" i="64" a="1"/>
  <c r="BD99" i="64" s="1"/>
  <c r="AW89" i="65" s="1"/>
  <c r="AZ99" i="64" a="1"/>
  <c r="AZ99" i="64" s="1"/>
  <c r="AS89" i="65" s="1"/>
  <c r="AV99" i="64" a="1"/>
  <c r="AV99" i="64" s="1"/>
  <c r="AO89" i="65" s="1"/>
  <c r="AR99" i="64" a="1"/>
  <c r="AR99" i="64" s="1"/>
  <c r="AK89" i="65" s="1"/>
  <c r="AN99" i="64" a="1"/>
  <c r="AN99" i="64" s="1"/>
  <c r="AG89" i="65" s="1"/>
  <c r="AJ99" i="64" a="1"/>
  <c r="AJ99" i="64" s="1"/>
  <c r="AC89" i="65" s="1"/>
  <c r="AF99" i="64" a="1"/>
  <c r="AF99" i="64" s="1"/>
  <c r="Y89" i="65" s="1"/>
  <c r="AB99" i="64" a="1"/>
  <c r="AB99" i="64" s="1"/>
  <c r="U89" i="65" s="1"/>
  <c r="X99" i="64" a="1"/>
  <c r="X99" i="64" s="1"/>
  <c r="Q89" i="65" s="1"/>
  <c r="T99" i="64" a="1"/>
  <c r="T99" i="64" s="1"/>
  <c r="M89" i="65" s="1"/>
  <c r="P99" i="64" a="1"/>
  <c r="P99" i="64" s="1"/>
  <c r="I89" i="65" s="1"/>
  <c r="DC99" i="64" a="1"/>
  <c r="DC99" i="64" s="1"/>
  <c r="CY99" i="64" a="1"/>
  <c r="CY99" i="64" s="1"/>
  <c r="CU99" i="64" a="1"/>
  <c r="CU99" i="64" s="1"/>
  <c r="CQ99" i="64" a="1"/>
  <c r="CQ99" i="64" s="1"/>
  <c r="CM99" i="64" a="1"/>
  <c r="CM99" i="64" s="1"/>
  <c r="CF89" i="65" s="1"/>
  <c r="CI99" i="64" a="1"/>
  <c r="CI99" i="64" s="1"/>
  <c r="CB89" i="65" s="1"/>
  <c r="CE99" i="64" a="1"/>
  <c r="CE99" i="64" s="1"/>
  <c r="BX89" i="65" s="1"/>
  <c r="CA99" i="64" a="1"/>
  <c r="CA99" i="64" s="1"/>
  <c r="BT89" i="65" s="1"/>
  <c r="BW99" i="64" a="1"/>
  <c r="BW99" i="64" s="1"/>
  <c r="BP89" i="65" s="1"/>
  <c r="BS99" i="64" a="1"/>
  <c r="BS99" i="64" s="1"/>
  <c r="BL89" i="65" s="1"/>
  <c r="BO99" i="64" a="1"/>
  <c r="BO99" i="64" s="1"/>
  <c r="BH89" i="65" s="1"/>
  <c r="BK99" i="64" a="1"/>
  <c r="BK99" i="64" s="1"/>
  <c r="BD89" i="65" s="1"/>
  <c r="BG99" i="64" a="1"/>
  <c r="BG99" i="64" s="1"/>
  <c r="AZ89" i="65" s="1"/>
  <c r="BC99" i="64" a="1"/>
  <c r="BC99" i="64" s="1"/>
  <c r="AV89" i="65" s="1"/>
  <c r="AY99" i="64" a="1"/>
  <c r="AY99" i="64" s="1"/>
  <c r="AR89" i="65" s="1"/>
  <c r="AU99" i="64" a="1"/>
  <c r="AU99" i="64" s="1"/>
  <c r="AN89" i="65" s="1"/>
  <c r="AQ99" i="64" a="1"/>
  <c r="AQ99" i="64" s="1"/>
  <c r="AJ89" i="65" s="1"/>
  <c r="AM99" i="64" a="1"/>
  <c r="AM99" i="64" s="1"/>
  <c r="AF89" i="65" s="1"/>
  <c r="AI99" i="64" a="1"/>
  <c r="AI99" i="64" s="1"/>
  <c r="AB89" i="65" s="1"/>
  <c r="AE99" i="64" a="1"/>
  <c r="AE99" i="64" s="1"/>
  <c r="X89" i="65" s="1"/>
  <c r="AA99" i="64" a="1"/>
  <c r="AA99" i="64" s="1"/>
  <c r="T89" i="65" s="1"/>
  <c r="W99" i="64" a="1"/>
  <c r="W99" i="64" s="1"/>
  <c r="P89" i="65" s="1"/>
  <c r="S99" i="64" a="1"/>
  <c r="S99" i="64" s="1"/>
  <c r="L89" i="65" s="1"/>
  <c r="O99" i="64" a="1"/>
  <c r="O99" i="64" s="1"/>
  <c r="H89" i="65" s="1"/>
  <c r="CX99" i="64" a="1"/>
  <c r="CX99" i="64" s="1"/>
  <c r="CP99" i="64" a="1"/>
  <c r="CP99" i="64" s="1"/>
  <c r="CI89" i="65" s="1"/>
  <c r="CH99" i="64" a="1"/>
  <c r="CH99" i="64" s="1"/>
  <c r="CA89" i="65" s="1"/>
  <c r="BZ99" i="64" a="1"/>
  <c r="BZ99" i="64" s="1"/>
  <c r="BS89" i="65" s="1"/>
  <c r="BR99" i="64" a="1"/>
  <c r="BR99" i="64" s="1"/>
  <c r="BK89" i="65" s="1"/>
  <c r="BJ99" i="64" a="1"/>
  <c r="BJ99" i="64" s="1"/>
  <c r="BC89" i="65" s="1"/>
  <c r="BB99" i="64" a="1"/>
  <c r="BB99" i="64" s="1"/>
  <c r="AU89" i="65" s="1"/>
  <c r="AT99" i="64" a="1"/>
  <c r="AT99" i="64" s="1"/>
  <c r="AM89" i="65" s="1"/>
  <c r="AL99" i="64" a="1"/>
  <c r="AL99" i="64" s="1"/>
  <c r="AE89" i="65" s="1"/>
  <c r="AD99" i="64" a="1"/>
  <c r="AD99" i="64" s="1"/>
  <c r="W89" i="65" s="1"/>
  <c r="V99" i="64" a="1"/>
  <c r="V99" i="64" s="1"/>
  <c r="O89" i="65" s="1"/>
  <c r="M99" i="64" a="1"/>
  <c r="M99" i="64" s="1"/>
  <c r="F89" i="65" s="1"/>
  <c r="CW99" i="64" a="1"/>
  <c r="CW99" i="64" s="1"/>
  <c r="CO99" i="64" a="1"/>
  <c r="CO99" i="64" s="1"/>
  <c r="CH89" i="65" s="1"/>
  <c r="CG99" i="64" a="1"/>
  <c r="CG99" i="64" s="1"/>
  <c r="BZ89" i="65" s="1"/>
  <c r="BY99" i="64" a="1"/>
  <c r="BY99" i="64" s="1"/>
  <c r="BR89" i="65" s="1"/>
  <c r="DB99" i="64" a="1"/>
  <c r="DB99" i="64" s="1"/>
  <c r="CT99" i="64" a="1"/>
  <c r="CT99" i="64" s="1"/>
  <c r="CL99" i="64" a="1"/>
  <c r="CL99" i="64" s="1"/>
  <c r="CE89" i="65" s="1"/>
  <c r="CD99" i="64" a="1"/>
  <c r="CD99" i="64" s="1"/>
  <c r="BW89" i="65" s="1"/>
  <c r="BV99" i="64" a="1"/>
  <c r="BV99" i="64" s="1"/>
  <c r="BO89" i="65" s="1"/>
  <c r="BN99" i="64" a="1"/>
  <c r="BN99" i="64" s="1"/>
  <c r="BG89" i="65" s="1"/>
  <c r="BF99" i="64" a="1"/>
  <c r="BF99" i="64" s="1"/>
  <c r="AY89" i="65" s="1"/>
  <c r="AX99" i="64" a="1"/>
  <c r="AX99" i="64" s="1"/>
  <c r="AQ89" i="65" s="1"/>
  <c r="AP99" i="64" a="1"/>
  <c r="AP99" i="64" s="1"/>
  <c r="AI89" i="65" s="1"/>
  <c r="AH99" i="64" a="1"/>
  <c r="AH99" i="64" s="1"/>
  <c r="AA89" i="65" s="1"/>
  <c r="Z99" i="64" a="1"/>
  <c r="Z99" i="64" s="1"/>
  <c r="S89" i="65" s="1"/>
  <c r="R99" i="64" a="1"/>
  <c r="R99" i="64" s="1"/>
  <c r="K89" i="65" s="1"/>
  <c r="DA99" i="64" a="1"/>
  <c r="DA99" i="64" s="1"/>
  <c r="BU99" i="64" a="1"/>
  <c r="BU99" i="64" s="1"/>
  <c r="BN89" i="65" s="1"/>
  <c r="BE99" i="64" a="1"/>
  <c r="BE99" i="64" s="1"/>
  <c r="AX89" i="65" s="1"/>
  <c r="AO99" i="64" a="1"/>
  <c r="AO99" i="64" s="1"/>
  <c r="AH89" i="65" s="1"/>
  <c r="Y99" i="64" a="1"/>
  <c r="Y99" i="64" s="1"/>
  <c r="R89" i="65" s="1"/>
  <c r="U99" i="64" a="1"/>
  <c r="U99" i="64" s="1"/>
  <c r="N89" i="65" s="1"/>
  <c r="CS99" i="64" a="1"/>
  <c r="CS99" i="64" s="1"/>
  <c r="BQ99" i="64" a="1"/>
  <c r="BQ99" i="64" s="1"/>
  <c r="BJ89" i="65" s="1"/>
  <c r="BA99" i="64" a="1"/>
  <c r="BA99" i="64" s="1"/>
  <c r="AT89" i="65" s="1"/>
  <c r="AK99" i="64" a="1"/>
  <c r="AK99" i="64" s="1"/>
  <c r="AD89" i="65" s="1"/>
  <c r="CK99" i="64" a="1"/>
  <c r="CK99" i="64" s="1"/>
  <c r="CD89" i="65" s="1"/>
  <c r="BM99" i="64" a="1"/>
  <c r="BM99" i="64" s="1"/>
  <c r="BF89" i="65" s="1"/>
  <c r="AW99" i="64" a="1"/>
  <c r="AW99" i="64" s="1"/>
  <c r="AP89" i="65" s="1"/>
  <c r="AG99" i="64" a="1"/>
  <c r="AG99" i="64" s="1"/>
  <c r="Z89" i="65" s="1"/>
  <c r="Q99" i="64" a="1"/>
  <c r="Q99" i="64" s="1"/>
  <c r="J89" i="65" s="1"/>
  <c r="CC99" i="64" a="1"/>
  <c r="CC99" i="64" s="1"/>
  <c r="BV89" i="65" s="1"/>
  <c r="BI99" i="64" a="1"/>
  <c r="BI99" i="64" s="1"/>
  <c r="BB89" i="65" s="1"/>
  <c r="AS99" i="64" a="1"/>
  <c r="AS99" i="64" s="1"/>
  <c r="AL89" i="65" s="1"/>
  <c r="AC99" i="64" a="1"/>
  <c r="AC99" i="64" s="1"/>
  <c r="V89" i="65" s="1"/>
  <c r="N99" i="64" a="1"/>
  <c r="N99" i="64" s="1"/>
  <c r="G89" i="65" s="1"/>
  <c r="P57" i="64" a="1"/>
  <c r="P57" i="64" s="1"/>
  <c r="I47" i="65" s="1"/>
  <c r="R57" i="64" a="1"/>
  <c r="R57" i="64" s="1"/>
  <c r="K47" i="65" s="1"/>
  <c r="T57" i="64" a="1"/>
  <c r="T57" i="64" s="1"/>
  <c r="M47" i="65" s="1"/>
  <c r="V57" i="64" a="1"/>
  <c r="V57" i="64" s="1"/>
  <c r="O47" i="65" s="1"/>
  <c r="M57" i="64" a="1"/>
  <c r="M57" i="64" s="1"/>
  <c r="F47" i="65" s="1"/>
  <c r="AK57" i="64" a="1"/>
  <c r="AK57" i="64" s="1"/>
  <c r="AD47" i="65" s="1"/>
  <c r="AM57" i="64" a="1"/>
  <c r="AM57" i="64" s="1"/>
  <c r="AF47" i="65" s="1"/>
  <c r="AO57" i="64" a="1"/>
  <c r="AO57" i="64" s="1"/>
  <c r="AH47" i="65" s="1"/>
  <c r="Q57" i="64" a="1"/>
  <c r="Q57" i="64" s="1"/>
  <c r="J47" i="65" s="1"/>
  <c r="U57" i="64" a="1"/>
  <c r="U57" i="64" s="1"/>
  <c r="N47" i="65" s="1"/>
  <c r="X57" i="64" a="1"/>
  <c r="X57" i="64" s="1"/>
  <c r="Q47" i="65" s="1"/>
  <c r="AA57" i="64" a="1"/>
  <c r="AA57" i="64" s="1"/>
  <c r="T47" i="65" s="1"/>
  <c r="AF57" i="64" a="1"/>
  <c r="AF57" i="64" s="1"/>
  <c r="Y47" i="65" s="1"/>
  <c r="AI57" i="64" a="1"/>
  <c r="AI57" i="64" s="1"/>
  <c r="AB47" i="65" s="1"/>
  <c r="AL57" i="64" a="1"/>
  <c r="AL57" i="64" s="1"/>
  <c r="AE47" i="65" s="1"/>
  <c r="AR57" i="64" a="1"/>
  <c r="AR57" i="64" s="1"/>
  <c r="AK47" i="65" s="1"/>
  <c r="AW57" i="64" a="1"/>
  <c r="AW57" i="64" s="1"/>
  <c r="AP47" i="65" s="1"/>
  <c r="AZ57" i="64" a="1"/>
  <c r="AZ57" i="64" s="1"/>
  <c r="AS47" i="65" s="1"/>
  <c r="BE57" i="64" a="1"/>
  <c r="BE57" i="64" s="1"/>
  <c r="AX47" i="65" s="1"/>
  <c r="BH57" i="64" a="1"/>
  <c r="BH57" i="64" s="1"/>
  <c r="BA47" i="65" s="1"/>
  <c r="BM57" i="64" a="1"/>
  <c r="BM57" i="64" s="1"/>
  <c r="BF47" i="65" s="1"/>
  <c r="BP57" i="64" a="1"/>
  <c r="BP57" i="64" s="1"/>
  <c r="BI47" i="65" s="1"/>
  <c r="BU57" i="64" a="1"/>
  <c r="BU57" i="64" s="1"/>
  <c r="BN47" i="65" s="1"/>
  <c r="BX57" i="64" a="1"/>
  <c r="BX57" i="64" s="1"/>
  <c r="BQ47" i="65" s="1"/>
  <c r="CC57" i="64" a="1"/>
  <c r="CC57" i="64" s="1"/>
  <c r="BV47" i="65" s="1"/>
  <c r="O57" i="64" a="1"/>
  <c r="O57" i="64" s="1"/>
  <c r="H47" i="65" s="1"/>
  <c r="S57" i="64" a="1"/>
  <c r="S57" i="64" s="1"/>
  <c r="L47" i="65" s="1"/>
  <c r="W57" i="64" a="1"/>
  <c r="W57" i="64" s="1"/>
  <c r="P47" i="65" s="1"/>
  <c r="AB57" i="64" a="1"/>
  <c r="AB57" i="64" s="1"/>
  <c r="U47" i="65" s="1"/>
  <c r="AE57" i="64" a="1"/>
  <c r="AE57" i="64" s="1"/>
  <c r="X47" i="65" s="1"/>
  <c r="AJ57" i="64" a="1"/>
  <c r="AJ57" i="64" s="1"/>
  <c r="AC47" i="65" s="1"/>
  <c r="AP57" i="64" a="1"/>
  <c r="AP57" i="64" s="1"/>
  <c r="AI47" i="65" s="1"/>
  <c r="AS57" i="64" a="1"/>
  <c r="AS57" i="64" s="1"/>
  <c r="AL47" i="65" s="1"/>
  <c r="AV57" i="64" a="1"/>
  <c r="AV57" i="64" s="1"/>
  <c r="AO47" i="65" s="1"/>
  <c r="BA57" i="64" a="1"/>
  <c r="BA57" i="64" s="1"/>
  <c r="AT47" i="65" s="1"/>
  <c r="BD57" i="64" a="1"/>
  <c r="BD57" i="64" s="1"/>
  <c r="AW47" i="65" s="1"/>
  <c r="BI57" i="64" a="1"/>
  <c r="BI57" i="64" s="1"/>
  <c r="BB47" i="65" s="1"/>
  <c r="BL57" i="64" a="1"/>
  <c r="BL57" i="64" s="1"/>
  <c r="BE47" i="65" s="1"/>
  <c r="BQ57" i="64" a="1"/>
  <c r="BQ57" i="64" s="1"/>
  <c r="BJ47" i="65" s="1"/>
  <c r="BT57" i="64" a="1"/>
  <c r="BT57" i="64" s="1"/>
  <c r="BM47" i="65" s="1"/>
  <c r="BY57" i="64" a="1"/>
  <c r="BY57" i="64" s="1"/>
  <c r="BR47" i="65" s="1"/>
  <c r="CB57" i="64" a="1"/>
  <c r="CB57" i="64" s="1"/>
  <c r="BU47" i="65" s="1"/>
  <c r="N57" i="64" a="1"/>
  <c r="N57" i="64" s="1"/>
  <c r="G47" i="65" s="1"/>
  <c r="Z57" i="64" a="1"/>
  <c r="Z57" i="64" s="1"/>
  <c r="S47" i="65" s="1"/>
  <c r="AQ57" i="64" a="1"/>
  <c r="AQ57" i="64" s="1"/>
  <c r="AJ47" i="65" s="1"/>
  <c r="BB57" i="64" a="1"/>
  <c r="BB57" i="64" s="1"/>
  <c r="AU47" i="65" s="1"/>
  <c r="BG57" i="64" a="1"/>
  <c r="BG57" i="64" s="1"/>
  <c r="AZ47" i="65" s="1"/>
  <c r="BR57" i="64" a="1"/>
  <c r="BR57" i="64" s="1"/>
  <c r="BK47" i="65" s="1"/>
  <c r="BW57" i="64" a="1"/>
  <c r="BW57" i="64" s="1"/>
  <c r="BP47" i="65" s="1"/>
  <c r="CG57" i="64" a="1"/>
  <c r="CG57" i="64" s="1"/>
  <c r="BZ47" i="65" s="1"/>
  <c r="CK57" i="64" a="1"/>
  <c r="CK57" i="64" s="1"/>
  <c r="CD47" i="65" s="1"/>
  <c r="CO57" i="64" a="1"/>
  <c r="CO57" i="64" s="1"/>
  <c r="CH47" i="65" s="1"/>
  <c r="CS57" i="64" a="1"/>
  <c r="CS57" i="64" s="1"/>
  <c r="CW57" i="64" a="1"/>
  <c r="CW57" i="64" s="1"/>
  <c r="DA57" i="64" a="1"/>
  <c r="DA57" i="64" s="1"/>
  <c r="AC57" i="64" a="1"/>
  <c r="AC57" i="64" s="1"/>
  <c r="V47" i="65" s="1"/>
  <c r="AH57" i="64" a="1"/>
  <c r="AH57" i="64" s="1"/>
  <c r="AA47" i="65" s="1"/>
  <c r="AN57" i="64" a="1"/>
  <c r="AN57" i="64" s="1"/>
  <c r="AG47" i="65" s="1"/>
  <c r="AT57" i="64" a="1"/>
  <c r="AT57" i="64" s="1"/>
  <c r="AM47" i="65" s="1"/>
  <c r="AY57" i="64" a="1"/>
  <c r="AY57" i="64" s="1"/>
  <c r="AR47" i="65" s="1"/>
  <c r="BJ57" i="64" a="1"/>
  <c r="BJ57" i="64" s="1"/>
  <c r="BC47" i="65" s="1"/>
  <c r="BO57" i="64" a="1"/>
  <c r="BO57" i="64" s="1"/>
  <c r="BH47" i="65" s="1"/>
  <c r="BZ57" i="64" a="1"/>
  <c r="BZ57" i="64" s="1"/>
  <c r="BS47" i="65" s="1"/>
  <c r="CE57" i="64" a="1"/>
  <c r="CE57" i="64" s="1"/>
  <c r="BX47" i="65" s="1"/>
  <c r="CI57" i="64" a="1"/>
  <c r="CI57" i="64" s="1"/>
  <c r="CB47" i="65" s="1"/>
  <c r="CM57" i="64" a="1"/>
  <c r="CM57" i="64" s="1"/>
  <c r="CF47" i="65" s="1"/>
  <c r="CQ57" i="64" a="1"/>
  <c r="CQ57" i="64" s="1"/>
  <c r="CU57" i="64" a="1"/>
  <c r="CU57" i="64" s="1"/>
  <c r="CY57" i="64" a="1"/>
  <c r="CY57" i="64" s="1"/>
  <c r="DC57" i="64" a="1"/>
  <c r="DC57" i="64" s="1"/>
  <c r="Y57" i="64" a="1"/>
  <c r="Y57" i="64" s="1"/>
  <c r="R47" i="65" s="1"/>
  <c r="AU57" i="64" a="1"/>
  <c r="AU57" i="64" s="1"/>
  <c r="AN47" i="65" s="1"/>
  <c r="BF57" i="64" a="1"/>
  <c r="BF57" i="64" s="1"/>
  <c r="AY47" i="65" s="1"/>
  <c r="CA57" i="64" a="1"/>
  <c r="CA57" i="64" s="1"/>
  <c r="BT47" i="65" s="1"/>
  <c r="CJ57" i="64" a="1"/>
  <c r="CJ57" i="64" s="1"/>
  <c r="CC47" i="65" s="1"/>
  <c r="CR57" i="64" a="1"/>
  <c r="CR57" i="64" s="1"/>
  <c r="CZ57" i="64" a="1"/>
  <c r="CZ57" i="64" s="1"/>
  <c r="F46" i="65"/>
  <c r="AX57" i="64" a="1"/>
  <c r="AX57" i="64" s="1"/>
  <c r="AQ47" i="65" s="1"/>
  <c r="BS57" i="64" a="1"/>
  <c r="BS57" i="64" s="1"/>
  <c r="BL47" i="65" s="1"/>
  <c r="CD57" i="64" a="1"/>
  <c r="CD57" i="64" s="1"/>
  <c r="BW47" i="65" s="1"/>
  <c r="CL57" i="64" a="1"/>
  <c r="CL57" i="64" s="1"/>
  <c r="CE47" i="65" s="1"/>
  <c r="CT57" i="64" a="1"/>
  <c r="CT57" i="64" s="1"/>
  <c r="DB57" i="64" a="1"/>
  <c r="DB57" i="64" s="1"/>
  <c r="AD57" i="64" a="1"/>
  <c r="AD57" i="64" s="1"/>
  <c r="W47" i="65" s="1"/>
  <c r="BK57" i="64" a="1"/>
  <c r="BK57" i="64" s="1"/>
  <c r="BD47" i="65" s="1"/>
  <c r="BV57" i="64" a="1"/>
  <c r="BV57" i="64" s="1"/>
  <c r="BO47" i="65" s="1"/>
  <c r="CF57" i="64" a="1"/>
  <c r="CF57" i="64" s="1"/>
  <c r="BY47" i="65" s="1"/>
  <c r="CN57" i="64" a="1"/>
  <c r="CN57" i="64" s="1"/>
  <c r="CG47" i="65" s="1"/>
  <c r="CV57" i="64" a="1"/>
  <c r="CV57" i="64" s="1"/>
  <c r="AG57" i="64" a="1"/>
  <c r="AG57" i="64" s="1"/>
  <c r="Z47" i="65" s="1"/>
  <c r="BC57" i="64" a="1"/>
  <c r="BC57" i="64" s="1"/>
  <c r="AV47" i="65" s="1"/>
  <c r="BN57" i="64" a="1"/>
  <c r="BN57" i="64" s="1"/>
  <c r="BG47" i="65" s="1"/>
  <c r="CH57" i="64" a="1"/>
  <c r="CH57" i="64" s="1"/>
  <c r="CA47" i="65" s="1"/>
  <c r="CP57" i="64" a="1"/>
  <c r="CP57" i="64" s="1"/>
  <c r="CI47" i="65" s="1"/>
  <c r="CX57" i="64" a="1"/>
  <c r="CX57" i="64" s="1"/>
  <c r="M16" i="64" a="1"/>
  <c r="M16" i="64" s="1"/>
  <c r="F6" i="65" s="1"/>
  <c r="AN17" i="64"/>
  <c r="AG7" i="65" s="1"/>
  <c r="AR17" i="64"/>
  <c r="AK7" i="65" s="1"/>
  <c r="AV17" i="64"/>
  <c r="AO7" i="65" s="1"/>
  <c r="AZ17" i="64"/>
  <c r="AS7" i="65" s="1"/>
  <c r="BD17" i="64"/>
  <c r="AW7" i="65" s="1"/>
  <c r="BH17" i="64"/>
  <c r="BA7" i="65" s="1"/>
  <c r="BL17" i="64"/>
  <c r="BE7" i="65" s="1"/>
  <c r="BP17" i="64"/>
  <c r="BI7" i="65" s="1"/>
  <c r="BT17" i="64"/>
  <c r="BM7" i="65" s="1"/>
  <c r="BX17" i="64"/>
  <c r="BQ7" i="65" s="1"/>
  <c r="CB17" i="64"/>
  <c r="BU7" i="65" s="1"/>
  <c r="CF17" i="64"/>
  <c r="BY7" i="65" s="1"/>
  <c r="CJ17" i="64"/>
  <c r="CC7" i="65" s="1"/>
  <c r="CN17" i="64"/>
  <c r="CG7" i="65" s="1"/>
  <c r="CR17" i="64"/>
  <c r="CV17" i="64"/>
  <c r="CZ17" i="64"/>
  <c r="U16" i="64" a="1"/>
  <c r="U16" i="64" s="1"/>
  <c r="N6" i="65" s="1"/>
  <c r="AP17" i="64"/>
  <c r="AI7" i="65" s="1"/>
  <c r="AT17" i="64"/>
  <c r="AM7" i="65" s="1"/>
  <c r="AX17" i="64"/>
  <c r="AQ7" i="65" s="1"/>
  <c r="BB17" i="64"/>
  <c r="AU7" i="65" s="1"/>
  <c r="BF17" i="64"/>
  <c r="AY7" i="65" s="1"/>
  <c r="BJ17" i="64"/>
  <c r="BC7" i="65" s="1"/>
  <c r="BN17" i="64"/>
  <c r="BG7" i="65" s="1"/>
  <c r="BR17" i="64"/>
  <c r="BK7" i="65" s="1"/>
  <c r="BV17" i="64"/>
  <c r="BO7" i="65" s="1"/>
  <c r="BZ17" i="64"/>
  <c r="BS7" i="65" s="1"/>
  <c r="CD17" i="64"/>
  <c r="BW7" i="65" s="1"/>
  <c r="CH17" i="64"/>
  <c r="CA7" i="65" s="1"/>
  <c r="CL17" i="64"/>
  <c r="CE7" i="65" s="1"/>
  <c r="CP17" i="64"/>
  <c r="CI7" i="65" s="1"/>
  <c r="CT17" i="64"/>
  <c r="CX17" i="64"/>
  <c r="DB17" i="64"/>
  <c r="AQ17" i="64"/>
  <c r="AJ7" i="65" s="1"/>
  <c r="AY17" i="64"/>
  <c r="AR7" i="65" s="1"/>
  <c r="BG17" i="64"/>
  <c r="AZ7" i="65" s="1"/>
  <c r="BO17" i="64"/>
  <c r="BH7" i="65" s="1"/>
  <c r="BW17" i="64"/>
  <c r="BP7" i="65" s="1"/>
  <c r="CE17" i="64"/>
  <c r="BX7" i="65" s="1"/>
  <c r="CM17" i="64"/>
  <c r="CF7" i="65" s="1"/>
  <c r="CU17" i="64"/>
  <c r="DC17" i="64"/>
  <c r="AS17" i="64"/>
  <c r="AL7" i="65" s="1"/>
  <c r="BA17" i="64"/>
  <c r="AT7" i="65" s="1"/>
  <c r="BI17" i="64"/>
  <c r="BB7" i="65" s="1"/>
  <c r="BQ17" i="64"/>
  <c r="BJ7" i="65" s="1"/>
  <c r="BY17" i="64"/>
  <c r="BR7" i="65" s="1"/>
  <c r="CG17" i="64"/>
  <c r="BZ7" i="65" s="1"/>
  <c r="CO17" i="64"/>
  <c r="CH7" i="65" s="1"/>
  <c r="CW17" i="64"/>
  <c r="AM17" i="64"/>
  <c r="AF7" i="65" s="1"/>
  <c r="AU17" i="64"/>
  <c r="AN7" i="65" s="1"/>
  <c r="BC17" i="64"/>
  <c r="AV7" i="65" s="1"/>
  <c r="BK17" i="64"/>
  <c r="BD7" i="65" s="1"/>
  <c r="BS17" i="64"/>
  <c r="BL7" i="65" s="1"/>
  <c r="CA17" i="64"/>
  <c r="BT7" i="65" s="1"/>
  <c r="CI17" i="64"/>
  <c r="CB7" i="65" s="1"/>
  <c r="CQ17" i="64"/>
  <c r="CY17" i="64"/>
  <c r="AO17" i="64"/>
  <c r="AH7" i="65" s="1"/>
  <c r="AW17" i="64"/>
  <c r="AP7" i="65" s="1"/>
  <c r="BE17" i="64"/>
  <c r="AX7" i="65" s="1"/>
  <c r="BM17" i="64"/>
  <c r="BF7" i="65" s="1"/>
  <c r="BU17" i="64"/>
  <c r="BN7" i="65" s="1"/>
  <c r="CC17" i="64"/>
  <c r="BV7" i="65" s="1"/>
  <c r="CK17" i="64"/>
  <c r="CD7" i="65" s="1"/>
  <c r="CS17" i="64"/>
  <c r="DA17" i="64"/>
  <c r="O93" i="64"/>
  <c r="H83" i="65" s="1"/>
  <c r="S93" i="64"/>
  <c r="L83" i="65" s="1"/>
  <c r="W93" i="64"/>
  <c r="P83" i="65" s="1"/>
  <c r="AA93" i="64"/>
  <c r="T83" i="65" s="1"/>
  <c r="AE93" i="64"/>
  <c r="X83" i="65" s="1"/>
  <c r="AI93" i="64"/>
  <c r="AB83" i="65" s="1"/>
  <c r="AM93" i="64"/>
  <c r="AF83" i="65" s="1"/>
  <c r="AQ93" i="64"/>
  <c r="AJ83" i="65" s="1"/>
  <c r="AU93" i="64"/>
  <c r="AN83" i="65" s="1"/>
  <c r="AY93" i="64"/>
  <c r="AR83" i="65" s="1"/>
  <c r="BC93" i="64"/>
  <c r="AV83" i="65" s="1"/>
  <c r="BG93" i="64"/>
  <c r="AZ83" i="65" s="1"/>
  <c r="BK93" i="64"/>
  <c r="BD83" i="65" s="1"/>
  <c r="BO93" i="64"/>
  <c r="BH83" i="65" s="1"/>
  <c r="BS93" i="64"/>
  <c r="BL83" i="65" s="1"/>
  <c r="BW93" i="64"/>
  <c r="BP83" i="65" s="1"/>
  <c r="CA93" i="64"/>
  <c r="BT83" i="65" s="1"/>
  <c r="CE93" i="64"/>
  <c r="BX83" i="65" s="1"/>
  <c r="CI93" i="64"/>
  <c r="CB83" i="65" s="1"/>
  <c r="CM93" i="64"/>
  <c r="CF83" i="65" s="1"/>
  <c r="CQ93" i="64"/>
  <c r="CU93" i="64"/>
  <c r="CY93" i="64"/>
  <c r="DC93" i="64"/>
  <c r="P93" i="64"/>
  <c r="I83" i="65" s="1"/>
  <c r="T93" i="64"/>
  <c r="M83" i="65" s="1"/>
  <c r="X93" i="64"/>
  <c r="Q83" i="65" s="1"/>
  <c r="AB93" i="64"/>
  <c r="U83" i="65" s="1"/>
  <c r="AF93" i="64"/>
  <c r="Y83" i="65" s="1"/>
  <c r="AJ93" i="64"/>
  <c r="AC83" i="65" s="1"/>
  <c r="AN93" i="64"/>
  <c r="AG83" i="65" s="1"/>
  <c r="AR93" i="64"/>
  <c r="AK83" i="65" s="1"/>
  <c r="AV93" i="64"/>
  <c r="AO83" i="65" s="1"/>
  <c r="AZ93" i="64"/>
  <c r="AS83" i="65" s="1"/>
  <c r="BD93" i="64"/>
  <c r="AW83" i="65" s="1"/>
  <c r="BH93" i="64"/>
  <c r="BA83" i="65" s="1"/>
  <c r="BL93" i="64"/>
  <c r="BE83" i="65" s="1"/>
  <c r="BP93" i="64"/>
  <c r="BI83" i="65" s="1"/>
  <c r="BT93" i="64"/>
  <c r="BM83" i="65" s="1"/>
  <c r="BX93" i="64"/>
  <c r="BQ83" i="65" s="1"/>
  <c r="CB93" i="64"/>
  <c r="BU83" i="65" s="1"/>
  <c r="CF93" i="64"/>
  <c r="BY83" i="65" s="1"/>
  <c r="CJ93" i="64"/>
  <c r="CC83" i="65" s="1"/>
  <c r="CN93" i="64"/>
  <c r="CG83" i="65" s="1"/>
  <c r="CR93" i="64"/>
  <c r="CV93" i="64"/>
  <c r="CZ93" i="64"/>
  <c r="DD93" i="64"/>
  <c r="U93" i="64"/>
  <c r="N83" i="65" s="1"/>
  <c r="AC93" i="64"/>
  <c r="V83" i="65" s="1"/>
  <c r="AK93" i="64"/>
  <c r="AD83" i="65" s="1"/>
  <c r="AS93" i="64"/>
  <c r="AL83" i="65" s="1"/>
  <c r="BA93" i="64"/>
  <c r="AT83" i="65" s="1"/>
  <c r="BI93" i="64"/>
  <c r="BB83" i="65" s="1"/>
  <c r="BQ93" i="64"/>
  <c r="BJ83" i="65" s="1"/>
  <c r="BY93" i="64"/>
  <c r="BR83" i="65" s="1"/>
  <c r="CG93" i="64"/>
  <c r="BZ83" i="65" s="1"/>
  <c r="CO93" i="64"/>
  <c r="CH83" i="65" s="1"/>
  <c r="CW93" i="64"/>
  <c r="M93" i="64"/>
  <c r="F83" i="65" s="1"/>
  <c r="Q93" i="64"/>
  <c r="J83" i="65" s="1"/>
  <c r="Y93" i="64"/>
  <c r="R83" i="65" s="1"/>
  <c r="AG93" i="64"/>
  <c r="Z83" i="65" s="1"/>
  <c r="AO93" i="64"/>
  <c r="AH83" i="65" s="1"/>
  <c r="AW93" i="64"/>
  <c r="AP83" i="65" s="1"/>
  <c r="BE93" i="64"/>
  <c r="AX83" i="65" s="1"/>
  <c r="BM93" i="64"/>
  <c r="BF83" i="65" s="1"/>
  <c r="BU93" i="64"/>
  <c r="BN83" i="65" s="1"/>
  <c r="CC93" i="64"/>
  <c r="BV83" i="65" s="1"/>
  <c r="CK93" i="64"/>
  <c r="CD83" i="65" s="1"/>
  <c r="CS93" i="64"/>
  <c r="DA93" i="64"/>
  <c r="R93" i="64"/>
  <c r="K83" i="65" s="1"/>
  <c r="AH93" i="64"/>
  <c r="AA83" i="65" s="1"/>
  <c r="AX93" i="64"/>
  <c r="AQ83" i="65" s="1"/>
  <c r="BN93" i="64"/>
  <c r="BG83" i="65" s="1"/>
  <c r="CD93" i="64"/>
  <c r="BW83" i="65" s="1"/>
  <c r="CT93" i="64"/>
  <c r="V93" i="64"/>
  <c r="O83" i="65" s="1"/>
  <c r="AL93" i="64"/>
  <c r="AE83" i="65" s="1"/>
  <c r="BB93" i="64"/>
  <c r="AU83" i="65" s="1"/>
  <c r="BR93" i="64"/>
  <c r="BK83" i="65" s="1"/>
  <c r="CH93" i="64"/>
  <c r="CA83" i="65" s="1"/>
  <c r="Z93" i="64"/>
  <c r="S83" i="65" s="1"/>
  <c r="AP93" i="64"/>
  <c r="AI83" i="65" s="1"/>
  <c r="BF93" i="64"/>
  <c r="AY83" i="65" s="1"/>
  <c r="BV93" i="64"/>
  <c r="BO83" i="65" s="1"/>
  <c r="CL93" i="64"/>
  <c r="CE83" i="65" s="1"/>
  <c r="DB93" i="64"/>
  <c r="BJ93" i="64"/>
  <c r="BC83" i="65" s="1"/>
  <c r="M92" i="64" a="1"/>
  <c r="M92" i="64" s="1"/>
  <c r="F82" i="65" s="1"/>
  <c r="BZ93" i="64"/>
  <c r="BS83" i="65" s="1"/>
  <c r="AD93" i="64"/>
  <c r="W83" i="65" s="1"/>
  <c r="CP93" i="64"/>
  <c r="CI83" i="65" s="1"/>
  <c r="AT93" i="64"/>
  <c r="AM83" i="65" s="1"/>
  <c r="CX93" i="64"/>
  <c r="T16" i="64"/>
  <c r="M6" i="65" s="1"/>
  <c r="P16" i="64"/>
  <c r="I6" i="65" s="1"/>
  <c r="CP16" i="64"/>
  <c r="CI6" i="65" s="1"/>
  <c r="CL16" i="64"/>
  <c r="CE6" i="65" s="1"/>
  <c r="CH16" i="64"/>
  <c r="CA6" i="65" s="1"/>
  <c r="CD16" i="64"/>
  <c r="BW6" i="65" s="1"/>
  <c r="BZ16" i="64"/>
  <c r="BS6" i="65" s="1"/>
  <c r="BV16" i="64"/>
  <c r="BO6" i="65" s="1"/>
  <c r="BR16" i="64"/>
  <c r="BK6" i="65" s="1"/>
  <c r="BN16" i="64"/>
  <c r="BG6" i="65" s="1"/>
  <c r="BJ16" i="64"/>
  <c r="BC6" i="65" s="1"/>
  <c r="S16" i="64"/>
  <c r="L6" i="65" s="1"/>
  <c r="O16" i="64"/>
  <c r="H6" i="65" s="1"/>
  <c r="CO16" i="64"/>
  <c r="CH6" i="65" s="1"/>
  <c r="CK16" i="64"/>
  <c r="CD6" i="65" s="1"/>
  <c r="CG16" i="64"/>
  <c r="BZ6" i="65" s="1"/>
  <c r="CC16" i="64"/>
  <c r="BV6" i="65" s="1"/>
  <c r="BY16" i="64"/>
  <c r="BR6" i="65" s="1"/>
  <c r="BU16" i="64"/>
  <c r="BN6" i="65" s="1"/>
  <c r="BQ16" i="64"/>
  <c r="BJ6" i="65" s="1"/>
  <c r="BM16" i="64"/>
  <c r="BF6" i="65" s="1"/>
  <c r="BI16" i="64"/>
  <c r="BB6" i="65" s="1"/>
  <c r="BE16" i="64"/>
  <c r="AX6" i="65" s="1"/>
  <c r="BA16" i="64"/>
  <c r="AT6" i="65" s="1"/>
  <c r="AW16" i="64"/>
  <c r="AP6" i="65" s="1"/>
  <c r="AS16" i="64"/>
  <c r="AL6" i="65" s="1"/>
  <c r="AO16" i="64"/>
  <c r="AH6" i="65" s="1"/>
  <c r="AK16" i="64"/>
  <c r="AD6" i="65" s="1"/>
  <c r="AG16" i="64"/>
  <c r="Z6" i="65" s="1"/>
  <c r="AC16" i="64"/>
  <c r="V6" i="65" s="1"/>
  <c r="Y16" i="64"/>
  <c r="R6" i="65" s="1"/>
  <c r="AL17" i="64"/>
  <c r="AE7" i="65" s="1"/>
  <c r="N16" i="64"/>
  <c r="G6" i="65" s="1"/>
  <c r="CJ16" i="64"/>
  <c r="CC6" i="65" s="1"/>
  <c r="CB16" i="64"/>
  <c r="BU6" i="65" s="1"/>
  <c r="BT16" i="64"/>
  <c r="BM6" i="65" s="1"/>
  <c r="BL16" i="64"/>
  <c r="BE6" i="65" s="1"/>
  <c r="BF16" i="64"/>
  <c r="AY6" i="65" s="1"/>
  <c r="AZ16" i="64"/>
  <c r="AS6" i="65" s="1"/>
  <c r="AU16" i="64"/>
  <c r="AN6" i="65" s="1"/>
  <c r="AP16" i="64"/>
  <c r="AI6" i="65" s="1"/>
  <c r="AJ16" i="64"/>
  <c r="AC6" i="65" s="1"/>
  <c r="AE16" i="64"/>
  <c r="X6" i="65" s="1"/>
  <c r="Z16" i="64"/>
  <c r="S6" i="65" s="1"/>
  <c r="AD16" i="64"/>
  <c r="W6" i="65" s="1"/>
  <c r="X16" i="64"/>
  <c r="Q6" i="65" s="1"/>
  <c r="CM16" i="64"/>
  <c r="CF6" i="65" s="1"/>
  <c r="BO16" i="64"/>
  <c r="BH6" i="65" s="1"/>
  <c r="AV16" i="64"/>
  <c r="AO6" i="65" s="1"/>
  <c r="AF16" i="64"/>
  <c r="Y6" i="65" s="1"/>
  <c r="V16" i="64"/>
  <c r="O6" i="65" s="1"/>
  <c r="CI16" i="64"/>
  <c r="CB6" i="65" s="1"/>
  <c r="CA16" i="64"/>
  <c r="BT6" i="65" s="1"/>
  <c r="BS16" i="64"/>
  <c r="BL6" i="65" s="1"/>
  <c r="BK16" i="64"/>
  <c r="BD6" i="65" s="1"/>
  <c r="BD16" i="64"/>
  <c r="AW6" i="65" s="1"/>
  <c r="AY16" i="64"/>
  <c r="AR6" i="65" s="1"/>
  <c r="AT16" i="64"/>
  <c r="AM6" i="65" s="1"/>
  <c r="AN16" i="64"/>
  <c r="AG6" i="65" s="1"/>
  <c r="AI16" i="64"/>
  <c r="AB6" i="65" s="1"/>
  <c r="AB16" i="64"/>
  <c r="U6" i="65" s="1"/>
  <c r="Q16" i="64"/>
  <c r="J6" i="65" s="1"/>
  <c r="BW16" i="64"/>
  <c r="BP6" i="65" s="1"/>
  <c r="BB16" i="64"/>
  <c r="AU6" i="65" s="1"/>
  <c r="AL16" i="64"/>
  <c r="AE6" i="65" s="1"/>
  <c r="R16" i="64"/>
  <c r="K6" i="65" s="1"/>
  <c r="CN16" i="64"/>
  <c r="CG6" i="65" s="1"/>
  <c r="CF16" i="64"/>
  <c r="BY6" i="65" s="1"/>
  <c r="BX16" i="64"/>
  <c r="BQ6" i="65" s="1"/>
  <c r="BP16" i="64"/>
  <c r="BI6" i="65" s="1"/>
  <c r="BH16" i="64"/>
  <c r="BA6" i="65" s="1"/>
  <c r="BC16" i="64"/>
  <c r="AV6" i="65" s="1"/>
  <c r="AX16" i="64"/>
  <c r="AQ6" i="65" s="1"/>
  <c r="AR16" i="64"/>
  <c r="AK6" i="65" s="1"/>
  <c r="AM16" i="64"/>
  <c r="AF6" i="65" s="1"/>
  <c r="AH16" i="64"/>
  <c r="AA6" i="65" s="1"/>
  <c r="W16" i="64"/>
  <c r="P6" i="65" s="1"/>
  <c r="CE16" i="64"/>
  <c r="BX6" i="65" s="1"/>
  <c r="BG16" i="64"/>
  <c r="AZ6" i="65" s="1"/>
  <c r="AQ16" i="64"/>
  <c r="AJ6" i="65" s="1"/>
  <c r="AA16" i="64"/>
  <c r="T6" i="65" s="1"/>
  <c r="DA98" i="64"/>
  <c r="CW98" i="64"/>
  <c r="CS98" i="64"/>
  <c r="CO98" i="64"/>
  <c r="CH88" i="65" s="1"/>
  <c r="CD88" i="65"/>
  <c r="BZ88" i="65"/>
  <c r="BR88" i="65"/>
  <c r="BN88" i="65"/>
  <c r="BQ98" i="64"/>
  <c r="BJ88" i="65" s="1"/>
  <c r="BM98" i="64"/>
  <c r="BF88" i="65" s="1"/>
  <c r="BI98" i="64"/>
  <c r="BB88" i="65" s="1"/>
  <c r="BE98" i="64"/>
  <c r="AX88" i="65" s="1"/>
  <c r="BA98" i="64"/>
  <c r="AT88" i="65" s="1"/>
  <c r="AW98" i="64"/>
  <c r="AP88" i="65" s="1"/>
  <c r="AS98" i="64"/>
  <c r="AL88" i="65" s="1"/>
  <c r="AO98" i="64"/>
  <c r="AH88" i="65" s="1"/>
  <c r="AK98" i="64"/>
  <c r="AD88" i="65" s="1"/>
  <c r="AG98" i="64"/>
  <c r="Z88" i="65" s="1"/>
  <c r="AC98" i="64"/>
  <c r="V88" i="65" s="1"/>
  <c r="Y98" i="64"/>
  <c r="R88" i="65" s="1"/>
  <c r="U98" i="64"/>
  <c r="N88" i="65" s="1"/>
  <c r="Q98" i="64"/>
  <c r="J88" i="65" s="1"/>
  <c r="CZ98" i="64"/>
  <c r="CV98" i="64"/>
  <c r="CR98" i="64"/>
  <c r="CN98" i="64"/>
  <c r="CG88" i="65" s="1"/>
  <c r="CC88" i="65"/>
  <c r="BU88" i="65"/>
  <c r="BQ88" i="65"/>
  <c r="BT98" i="64"/>
  <c r="BM88" i="65" s="1"/>
  <c r="BP98" i="64"/>
  <c r="BI88" i="65" s="1"/>
  <c r="BL98" i="64"/>
  <c r="BE88" i="65" s="1"/>
  <c r="BH98" i="64"/>
  <c r="BA88" i="65" s="1"/>
  <c r="BD98" i="64"/>
  <c r="AW88" i="65" s="1"/>
  <c r="AZ98" i="64"/>
  <c r="AS88" i="65" s="1"/>
  <c r="AV98" i="64"/>
  <c r="AO88" i="65" s="1"/>
  <c r="AR98" i="64"/>
  <c r="AK88" i="65" s="1"/>
  <c r="AN98" i="64"/>
  <c r="AG88" i="65" s="1"/>
  <c r="AJ98" i="64"/>
  <c r="AC88" i="65" s="1"/>
  <c r="AF98" i="64"/>
  <c r="Y88" i="65" s="1"/>
  <c r="AB98" i="64"/>
  <c r="U88" i="65" s="1"/>
  <c r="X98" i="64"/>
  <c r="Q88" i="65" s="1"/>
  <c r="T98" i="64"/>
  <c r="M88" i="65" s="1"/>
  <c r="P98" i="64"/>
  <c r="I88" i="65" s="1"/>
  <c r="M98" i="64"/>
  <c r="F88" i="65" s="1"/>
  <c r="CY98" i="64"/>
  <c r="CU98" i="64"/>
  <c r="CQ98" i="64"/>
  <c r="CM98" i="64"/>
  <c r="CF88" i="65" s="1"/>
  <c r="CB88" i="65"/>
  <c r="BT88" i="65"/>
  <c r="BP88" i="65"/>
  <c r="BS98" i="64"/>
  <c r="BL88" i="65" s="1"/>
  <c r="BO98" i="64"/>
  <c r="BH88" i="65" s="1"/>
  <c r="BK98" i="64"/>
  <c r="BD88" i="65" s="1"/>
  <c r="BG98" i="64"/>
  <c r="AZ88" i="65" s="1"/>
  <c r="BC98" i="64"/>
  <c r="AV88" i="65" s="1"/>
  <c r="AY98" i="64"/>
  <c r="AR88" i="65" s="1"/>
  <c r="AU98" i="64"/>
  <c r="AN88" i="65" s="1"/>
  <c r="AQ98" i="64"/>
  <c r="AJ88" i="65" s="1"/>
  <c r="AM98" i="64"/>
  <c r="AF88" i="65" s="1"/>
  <c r="AI98" i="64"/>
  <c r="AB88" i="65" s="1"/>
  <c r="AE98" i="64"/>
  <c r="X88" i="65" s="1"/>
  <c r="AA98" i="64"/>
  <c r="T88" i="65" s="1"/>
  <c r="W98" i="64"/>
  <c r="P88" i="65" s="1"/>
  <c r="S98" i="64"/>
  <c r="L88" i="65" s="1"/>
  <c r="O98" i="64"/>
  <c r="H88" i="65" s="1"/>
  <c r="DB98" i="64"/>
  <c r="CX98" i="64"/>
  <c r="CT98" i="64"/>
  <c r="CP98" i="64"/>
  <c r="CI88" i="65" s="1"/>
  <c r="CE88" i="65"/>
  <c r="CA88" i="65"/>
  <c r="BW88" i="65"/>
  <c r="BO88" i="65"/>
  <c r="BR98" i="64"/>
  <c r="BK88" i="65" s="1"/>
  <c r="BN98" i="64"/>
  <c r="BG88" i="65" s="1"/>
  <c r="BJ98" i="64"/>
  <c r="BC88" i="65" s="1"/>
  <c r="BF98" i="64"/>
  <c r="AY88" i="65" s="1"/>
  <c r="BB98" i="64"/>
  <c r="AU88" i="65" s="1"/>
  <c r="AX98" i="64"/>
  <c r="AQ88" i="65" s="1"/>
  <c r="AT98" i="64"/>
  <c r="AM88" i="65" s="1"/>
  <c r="AP98" i="64"/>
  <c r="AI88" i="65" s="1"/>
  <c r="AL98" i="64"/>
  <c r="AE88" i="65" s="1"/>
  <c r="AH98" i="64"/>
  <c r="AA88" i="65" s="1"/>
  <c r="AD98" i="64"/>
  <c r="W88" i="65" s="1"/>
  <c r="Z98" i="64"/>
  <c r="S88" i="65" s="1"/>
  <c r="V98" i="64"/>
  <c r="O88" i="65" s="1"/>
  <c r="R98" i="64"/>
  <c r="K88" i="65" s="1"/>
  <c r="N98" i="64"/>
  <c r="G88" i="65" s="1"/>
  <c r="CY56" i="64"/>
  <c r="CU56" i="64"/>
  <c r="CQ56" i="64"/>
  <c r="CM56" i="64"/>
  <c r="CF46" i="65" s="1"/>
  <c r="CI56" i="64"/>
  <c r="CB46" i="65" s="1"/>
  <c r="CE56" i="64"/>
  <c r="BX46" i="65" s="1"/>
  <c r="CA56" i="64"/>
  <c r="BT46" i="65" s="1"/>
  <c r="BW56" i="64"/>
  <c r="BP46" i="65" s="1"/>
  <c r="BS56" i="64"/>
  <c r="BL46" i="65" s="1"/>
  <c r="BO56" i="64"/>
  <c r="BH46" i="65" s="1"/>
  <c r="BK56" i="64"/>
  <c r="BD46" i="65" s="1"/>
  <c r="BG56" i="64"/>
  <c r="AZ46" i="65" s="1"/>
  <c r="BC56" i="64"/>
  <c r="AV46" i="65" s="1"/>
  <c r="AY56" i="64"/>
  <c r="AR46" i="65" s="1"/>
  <c r="AU56" i="64"/>
  <c r="AN46" i="65" s="1"/>
  <c r="AQ56" i="64"/>
  <c r="AJ46" i="65" s="1"/>
  <c r="AM56" i="64"/>
  <c r="AF46" i="65" s="1"/>
  <c r="AI56" i="64"/>
  <c r="AB46" i="65" s="1"/>
  <c r="AE56" i="64"/>
  <c r="X46" i="65" s="1"/>
  <c r="AA56" i="64"/>
  <c r="T46" i="65" s="1"/>
  <c r="W56" i="64"/>
  <c r="P46" i="65" s="1"/>
  <c r="S56" i="64"/>
  <c r="L46" i="65" s="1"/>
  <c r="O56" i="64"/>
  <c r="H46" i="65" s="1"/>
  <c r="DB56" i="64"/>
  <c r="CX56" i="64"/>
  <c r="CT56" i="64"/>
  <c r="CP56" i="64"/>
  <c r="CI46" i="65" s="1"/>
  <c r="CL56" i="64"/>
  <c r="CE46" i="65" s="1"/>
  <c r="CH56" i="64"/>
  <c r="CA46" i="65" s="1"/>
  <c r="CD56" i="64"/>
  <c r="BW46" i="65" s="1"/>
  <c r="BZ56" i="64"/>
  <c r="BS46" i="65" s="1"/>
  <c r="BV56" i="64"/>
  <c r="BO46" i="65" s="1"/>
  <c r="BR56" i="64"/>
  <c r="BK46" i="65" s="1"/>
  <c r="BN56" i="64"/>
  <c r="BG46" i="65" s="1"/>
  <c r="BJ56" i="64"/>
  <c r="BC46" i="65" s="1"/>
  <c r="BF56" i="64"/>
  <c r="AY46" i="65" s="1"/>
  <c r="BB56" i="64"/>
  <c r="AU46" i="65" s="1"/>
  <c r="AX56" i="64"/>
  <c r="AQ46" i="65" s="1"/>
  <c r="AT56" i="64"/>
  <c r="AM46" i="65" s="1"/>
  <c r="AP56" i="64"/>
  <c r="AI46" i="65" s="1"/>
  <c r="AL56" i="64"/>
  <c r="AE46" i="65" s="1"/>
  <c r="AH56" i="64"/>
  <c r="AA46" i="65" s="1"/>
  <c r="AD56" i="64"/>
  <c r="W46" i="65" s="1"/>
  <c r="Z56" i="64"/>
  <c r="S46" i="65" s="1"/>
  <c r="V56" i="64"/>
  <c r="O46" i="65" s="1"/>
  <c r="R56" i="64"/>
  <c r="K46" i="65" s="1"/>
  <c r="N56" i="64"/>
  <c r="G46" i="65" s="1"/>
  <c r="DA56" i="64"/>
  <c r="CW56" i="64"/>
  <c r="CS56" i="64"/>
  <c r="CO56" i="64"/>
  <c r="CH46" i="65" s="1"/>
  <c r="CK56" i="64"/>
  <c r="CD46" i="65" s="1"/>
  <c r="CG56" i="64"/>
  <c r="BZ46" i="65" s="1"/>
  <c r="CC56" i="64"/>
  <c r="BV46" i="65" s="1"/>
  <c r="BY56" i="64"/>
  <c r="BR46" i="65" s="1"/>
  <c r="BU56" i="64"/>
  <c r="BN46" i="65" s="1"/>
  <c r="BQ56" i="64"/>
  <c r="BJ46" i="65" s="1"/>
  <c r="BM56" i="64"/>
  <c r="BF46" i="65" s="1"/>
  <c r="BI56" i="64"/>
  <c r="BB46" i="65" s="1"/>
  <c r="BE56" i="64"/>
  <c r="AX46" i="65" s="1"/>
  <c r="BA56" i="64"/>
  <c r="AT46" i="65" s="1"/>
  <c r="AW56" i="64"/>
  <c r="AP46" i="65" s="1"/>
  <c r="AS56" i="64"/>
  <c r="AL46" i="65" s="1"/>
  <c r="AO56" i="64"/>
  <c r="AH46" i="65" s="1"/>
  <c r="AK56" i="64"/>
  <c r="AD46" i="65" s="1"/>
  <c r="AG56" i="64"/>
  <c r="Z46" i="65" s="1"/>
  <c r="AC56" i="64"/>
  <c r="V46" i="65" s="1"/>
  <c r="Y56" i="64"/>
  <c r="R46" i="65" s="1"/>
  <c r="U56" i="64"/>
  <c r="N46" i="65" s="1"/>
  <c r="Q56" i="64"/>
  <c r="J46" i="65" s="1"/>
  <c r="CZ56" i="64"/>
  <c r="CV56" i="64"/>
  <c r="CR56" i="64"/>
  <c r="CN56" i="64"/>
  <c r="CG46" i="65" s="1"/>
  <c r="CJ56" i="64"/>
  <c r="CC46" i="65" s="1"/>
  <c r="CF56" i="64"/>
  <c r="BY46" i="65" s="1"/>
  <c r="CB56" i="64"/>
  <c r="BU46" i="65" s="1"/>
  <c r="BX56" i="64"/>
  <c r="BQ46" i="65" s="1"/>
  <c r="BT56" i="64"/>
  <c r="BM46" i="65" s="1"/>
  <c r="BP56" i="64"/>
  <c r="BI46" i="65" s="1"/>
  <c r="BL56" i="64"/>
  <c r="BE46" i="65" s="1"/>
  <c r="BH56" i="64"/>
  <c r="BA46" i="65" s="1"/>
  <c r="BD56" i="64"/>
  <c r="AW46" i="65" s="1"/>
  <c r="AZ56" i="64"/>
  <c r="AS46" i="65" s="1"/>
  <c r="AV56" i="64"/>
  <c r="AO46" i="65" s="1"/>
  <c r="AR56" i="64"/>
  <c r="AK46" i="65" s="1"/>
  <c r="AN56" i="64"/>
  <c r="AG46" i="65" s="1"/>
  <c r="AJ56" i="64"/>
  <c r="AC46" i="65" s="1"/>
  <c r="AF56" i="64"/>
  <c r="Y46" i="65" s="1"/>
  <c r="X56" i="64"/>
  <c r="Q46" i="65" s="1"/>
  <c r="T56" i="64"/>
  <c r="M46" i="65" s="1"/>
  <c r="P56" i="64"/>
  <c r="I46" i="65" s="1"/>
  <c r="F17" i="64"/>
  <c r="C7" i="65" s="1"/>
  <c r="DA92" i="64"/>
  <c r="CW92" i="64"/>
  <c r="CS92" i="64"/>
  <c r="CO92" i="64"/>
  <c r="CH82" i="65" s="1"/>
  <c r="CK92" i="64"/>
  <c r="CD82" i="65" s="1"/>
  <c r="CG92" i="64"/>
  <c r="BZ82" i="65" s="1"/>
  <c r="CC92" i="64"/>
  <c r="BV82" i="65" s="1"/>
  <c r="BY92" i="64"/>
  <c r="BR82" i="65" s="1"/>
  <c r="BU92" i="64"/>
  <c r="BN82" i="65" s="1"/>
  <c r="BQ92" i="64"/>
  <c r="BJ82" i="65" s="1"/>
  <c r="BM92" i="64"/>
  <c r="BF82" i="65" s="1"/>
  <c r="BI92" i="64"/>
  <c r="BB82" i="65" s="1"/>
  <c r="BE92" i="64"/>
  <c r="AX82" i="65" s="1"/>
  <c r="BA92" i="64"/>
  <c r="AT82" i="65" s="1"/>
  <c r="CZ92" i="64"/>
  <c r="CV92" i="64"/>
  <c r="CR92" i="64"/>
  <c r="CN92" i="64"/>
  <c r="CG82" i="65" s="1"/>
  <c r="CJ92" i="64"/>
  <c r="CC82" i="65" s="1"/>
  <c r="CF92" i="64"/>
  <c r="BY82" i="65" s="1"/>
  <c r="CB92" i="64"/>
  <c r="BU82" i="65" s="1"/>
  <c r="BX92" i="64"/>
  <c r="BQ82" i="65" s="1"/>
  <c r="BT92" i="64"/>
  <c r="BM82" i="65" s="1"/>
  <c r="BP92" i="64"/>
  <c r="BI82" i="65" s="1"/>
  <c r="BL92" i="64"/>
  <c r="BE82" i="65" s="1"/>
  <c r="BH92" i="64"/>
  <c r="BA82" i="65" s="1"/>
  <c r="BD92" i="64"/>
  <c r="AW82" i="65" s="1"/>
  <c r="AZ92" i="64"/>
  <c r="AS82" i="65" s="1"/>
  <c r="AV92" i="64"/>
  <c r="AO82" i="65" s="1"/>
  <c r="N93" i="64"/>
  <c r="G83" i="65" s="1"/>
  <c r="CY92" i="64"/>
  <c r="CU92" i="64"/>
  <c r="CQ92" i="64"/>
  <c r="CM92" i="64"/>
  <c r="CF82" i="65" s="1"/>
  <c r="CI92" i="64"/>
  <c r="CB82" i="65" s="1"/>
  <c r="CE92" i="64"/>
  <c r="BX82" i="65" s="1"/>
  <c r="CA92" i="64"/>
  <c r="BT82" i="65" s="1"/>
  <c r="BW92" i="64"/>
  <c r="BP82" i="65" s="1"/>
  <c r="BS92" i="64"/>
  <c r="BL82" i="65" s="1"/>
  <c r="BO92" i="64"/>
  <c r="BH82" i="65" s="1"/>
  <c r="BK92" i="64"/>
  <c r="BD82" i="65" s="1"/>
  <c r="BG92" i="64"/>
  <c r="AZ82" i="65" s="1"/>
  <c r="BC92" i="64"/>
  <c r="AV82" i="65" s="1"/>
  <c r="AY92" i="64"/>
  <c r="AR82" i="65" s="1"/>
  <c r="DB92" i="64"/>
  <c r="CX92" i="64"/>
  <c r="CT92" i="64"/>
  <c r="CP92" i="64"/>
  <c r="CI82" i="65" s="1"/>
  <c r="CL92" i="64"/>
  <c r="CE82" i="65" s="1"/>
  <c r="CH92" i="64"/>
  <c r="CA82" i="65" s="1"/>
  <c r="CD92" i="64"/>
  <c r="BW82" i="65" s="1"/>
  <c r="BZ92" i="64"/>
  <c r="BS82" i="65" s="1"/>
  <c r="BV92" i="64"/>
  <c r="BO82" i="65" s="1"/>
  <c r="BR92" i="64"/>
  <c r="BK82" i="65" s="1"/>
  <c r="BN92" i="64"/>
  <c r="BG82" i="65" s="1"/>
  <c r="BJ92" i="64"/>
  <c r="BC82" i="65" s="1"/>
  <c r="BF92" i="64"/>
  <c r="AY82" i="65" s="1"/>
  <c r="BB92" i="64"/>
  <c r="AU82" i="65" s="1"/>
  <c r="AX92" i="64"/>
  <c r="AQ82" i="65" s="1"/>
  <c r="AS92" i="64"/>
  <c r="AL82" i="65" s="1"/>
  <c r="AO92" i="64"/>
  <c r="AH82" i="65" s="1"/>
  <c r="AK92" i="64"/>
  <c r="AD82" i="65" s="1"/>
  <c r="AG92" i="64"/>
  <c r="Z82" i="65" s="1"/>
  <c r="AC92" i="64"/>
  <c r="V82" i="65" s="1"/>
  <c r="Y92" i="64"/>
  <c r="R82" i="65" s="1"/>
  <c r="U92" i="64"/>
  <c r="N82" i="65" s="1"/>
  <c r="Q92" i="64"/>
  <c r="J82" i="65" s="1"/>
  <c r="AW92" i="64"/>
  <c r="AP82" i="65" s="1"/>
  <c r="AR92" i="64"/>
  <c r="AK82" i="65" s="1"/>
  <c r="AN92" i="64"/>
  <c r="AG82" i="65" s="1"/>
  <c r="AJ92" i="64"/>
  <c r="AC82" i="65" s="1"/>
  <c r="AF92" i="64"/>
  <c r="Y82" i="65" s="1"/>
  <c r="AB92" i="64"/>
  <c r="U82" i="65" s="1"/>
  <c r="X92" i="64"/>
  <c r="Q82" i="65" s="1"/>
  <c r="T92" i="64"/>
  <c r="M82" i="65" s="1"/>
  <c r="P92" i="64"/>
  <c r="I82" i="65" s="1"/>
  <c r="AU92" i="64"/>
  <c r="AN82" i="65" s="1"/>
  <c r="AQ92" i="64"/>
  <c r="AJ82" i="65" s="1"/>
  <c r="AM92" i="64"/>
  <c r="AF82" i="65" s="1"/>
  <c r="AI92" i="64"/>
  <c r="AB82" i="65" s="1"/>
  <c r="AE92" i="64"/>
  <c r="X82" i="65" s="1"/>
  <c r="AA92" i="64"/>
  <c r="T82" i="65" s="1"/>
  <c r="W92" i="64"/>
  <c r="P82" i="65" s="1"/>
  <c r="S92" i="64"/>
  <c r="L82" i="65" s="1"/>
  <c r="O92" i="64"/>
  <c r="H82" i="65" s="1"/>
  <c r="AT92" i="64"/>
  <c r="AM82" i="65" s="1"/>
  <c r="AP92" i="64"/>
  <c r="AI82" i="65" s="1"/>
  <c r="AL92" i="64"/>
  <c r="AE82" i="65" s="1"/>
  <c r="AH92" i="64"/>
  <c r="AA82" i="65" s="1"/>
  <c r="AD92" i="64"/>
  <c r="W82" i="65" s="1"/>
  <c r="Z92" i="64"/>
  <c r="S82" i="65" s="1"/>
  <c r="V92" i="64"/>
  <c r="O82" i="65" s="1"/>
  <c r="R92" i="64"/>
  <c r="K82" i="65" s="1"/>
  <c r="N92" i="64"/>
  <c r="G82" i="65" s="1"/>
  <c r="F77" i="64"/>
  <c r="C67" i="65" s="1"/>
  <c r="L14" i="64"/>
  <c r="L20" i="64"/>
  <c r="L24" i="64"/>
  <c r="L26" i="64"/>
  <c r="L21" i="64"/>
  <c r="L27" i="64"/>
  <c r="L23" i="64"/>
  <c r="L22" i="64"/>
  <c r="L25" i="64"/>
  <c r="L28" i="64"/>
  <c r="L19" i="64"/>
  <c r="L15" i="64"/>
  <c r="L18" i="64"/>
  <c r="K29" i="64"/>
  <c r="E19" i="65" s="1"/>
  <c r="O11" i="64"/>
  <c r="G1" i="65"/>
  <c r="F76" i="64"/>
  <c r="F44" i="64"/>
  <c r="C34" i="65" s="1"/>
  <c r="K100" i="64"/>
  <c r="E90" i="65" s="1"/>
  <c r="K106" i="64"/>
  <c r="E96" i="65" s="1"/>
  <c r="K80" i="64"/>
  <c r="E70" i="65" s="1"/>
  <c r="K65" i="64"/>
  <c r="E55" i="65" s="1"/>
  <c r="K78" i="64"/>
  <c r="E68" i="65" s="1"/>
  <c r="K53" i="64"/>
  <c r="E43" i="65" s="1"/>
  <c r="K58" i="64"/>
  <c r="E48" i="65" s="1"/>
  <c r="K59" i="64"/>
  <c r="E49" i="65" s="1"/>
  <c r="K102" i="64"/>
  <c r="E92" i="65" s="1"/>
  <c r="K104" i="64"/>
  <c r="E94" i="65" s="1"/>
  <c r="K46" i="64"/>
  <c r="E36" i="65" s="1"/>
  <c r="K47" i="64"/>
  <c r="E37" i="65" s="1"/>
  <c r="K35" i="64"/>
  <c r="E25" i="65" s="1"/>
  <c r="K94" i="64"/>
  <c r="E84" i="65" s="1"/>
  <c r="K96" i="64"/>
  <c r="E86" i="65" s="1"/>
  <c r="K51" i="64"/>
  <c r="E41" i="65" s="1"/>
  <c r="K62" i="64"/>
  <c r="E52" i="65" s="1"/>
  <c r="K90" i="64"/>
  <c r="E80" i="65" s="1"/>
  <c r="K31" i="64"/>
  <c r="E21" i="65" s="1"/>
  <c r="K33" i="64"/>
  <c r="E23" i="65" s="1"/>
  <c r="K37" i="64"/>
  <c r="E27" i="65" s="1"/>
  <c r="K52" i="64"/>
  <c r="E42" i="65" s="1"/>
  <c r="K74" i="64"/>
  <c r="E64" i="65" s="1"/>
  <c r="K82" i="64"/>
  <c r="E72" i="65" s="1"/>
  <c r="K87" i="64"/>
  <c r="E77" i="65" s="1"/>
  <c r="K95" i="64"/>
  <c r="E85" i="65" s="1"/>
  <c r="K38" i="64"/>
  <c r="E28" i="65" s="1"/>
  <c r="K42" i="64"/>
  <c r="E32" i="65" s="1"/>
  <c r="K69" i="64"/>
  <c r="E59" i="65" s="1"/>
  <c r="K101" i="64"/>
  <c r="E91" i="65" s="1"/>
  <c r="K61" i="64"/>
  <c r="E51" i="65" s="1"/>
  <c r="K72" i="64"/>
  <c r="E62" i="65" s="1"/>
  <c r="K30" i="64"/>
  <c r="E20" i="65" s="1"/>
  <c r="K34" i="64"/>
  <c r="E24" i="65" s="1"/>
  <c r="K40" i="64"/>
  <c r="E30" i="65" s="1"/>
  <c r="K89" i="64"/>
  <c r="E79" i="65" s="1"/>
  <c r="K103" i="64"/>
  <c r="E93" i="65" s="1"/>
  <c r="K105" i="64"/>
  <c r="E95" i="65" s="1"/>
  <c r="K36" i="64"/>
  <c r="E26" i="65" s="1"/>
  <c r="K39" i="64"/>
  <c r="E29" i="65" s="1"/>
  <c r="K50" i="64"/>
  <c r="E40" i="65" s="1"/>
  <c r="K60" i="64"/>
  <c r="E50" i="65" s="1"/>
  <c r="K70" i="64"/>
  <c r="E60" i="65" s="1"/>
  <c r="K73" i="64"/>
  <c r="E63" i="65" s="1"/>
  <c r="K84" i="64"/>
  <c r="E74" i="65" s="1"/>
  <c r="K41" i="64"/>
  <c r="E31" i="65" s="1"/>
  <c r="K43" i="64"/>
  <c r="E33" i="65" s="1"/>
  <c r="K64" i="64"/>
  <c r="E54" i="65" s="1"/>
  <c r="K32" i="64"/>
  <c r="E22" i="65" s="1"/>
  <c r="K63" i="64"/>
  <c r="E53" i="65" s="1"/>
  <c r="K66" i="64"/>
  <c r="E56" i="65" s="1"/>
  <c r="K71" i="64"/>
  <c r="E61" i="65" s="1"/>
  <c r="K75" i="64"/>
  <c r="E65" i="65" s="1"/>
  <c r="K83" i="64"/>
  <c r="E73" i="65" s="1"/>
  <c r="K91" i="64"/>
  <c r="E81" i="65" s="1"/>
  <c r="F57" i="64"/>
  <c r="C47" i="65" s="1"/>
  <c r="K67" i="64"/>
  <c r="E57" i="65" s="1"/>
  <c r="F92" i="64"/>
  <c r="C82" i="65" s="1"/>
  <c r="F93" i="64"/>
  <c r="C83" i="65" s="1"/>
  <c r="K107" i="64"/>
  <c r="E97" i="65" s="1"/>
  <c r="K81" i="64"/>
  <c r="E71" i="65" s="1"/>
  <c r="K88" i="64"/>
  <c r="E78" i="65" s="1"/>
  <c r="K85" i="64"/>
  <c r="E75" i="65" s="1"/>
  <c r="K68" i="64"/>
  <c r="E58" i="65" s="1"/>
  <c r="K79" i="64"/>
  <c r="E69" i="65" s="1"/>
  <c r="K86" i="64"/>
  <c r="E76" i="65" s="1"/>
  <c r="K97" i="64"/>
  <c r="E87" i="65" s="1"/>
  <c r="F99" i="64"/>
  <c r="C89" i="65" s="1"/>
  <c r="M77" i="64" l="1"/>
  <c r="F67" i="65" s="1"/>
  <c r="C66" i="65"/>
  <c r="Q17" i="64" a="1"/>
  <c r="Q17" i="64" s="1"/>
  <c r="J7" i="65" s="1"/>
  <c r="Z17" i="64" a="1"/>
  <c r="Z17" i="64" s="1"/>
  <c r="S7" i="65" s="1"/>
  <c r="P17" i="64" a="1"/>
  <c r="P17" i="64" s="1"/>
  <c r="I7" i="65" s="1"/>
  <c r="AK17" i="64" a="1"/>
  <c r="AK17" i="64" s="1"/>
  <c r="AD7" i="65" s="1"/>
  <c r="AE17" i="64" a="1"/>
  <c r="AE17" i="64" s="1"/>
  <c r="X7" i="65" s="1"/>
  <c r="R17" i="64" a="1"/>
  <c r="R17" i="64" s="1"/>
  <c r="K7" i="65" s="1"/>
  <c r="AG17" i="64" a="1"/>
  <c r="AG17" i="64" s="1"/>
  <c r="Z7" i="65" s="1"/>
  <c r="CQ45" i="64"/>
  <c r="CY45" i="64"/>
  <c r="CS45" i="64"/>
  <c r="DA45" i="64"/>
  <c r="CU45" i="64"/>
  <c r="CW45" i="64"/>
  <c r="CJ45" i="64" a="1"/>
  <c r="CJ45" i="64" s="1"/>
  <c r="CC35" i="65" s="1"/>
  <c r="CI45" i="64" a="1"/>
  <c r="CI45" i="64" s="1"/>
  <c r="CB35" i="65" s="1"/>
  <c r="CB45" i="64" a="1"/>
  <c r="CB45" i="64" s="1"/>
  <c r="BU35" i="65" s="1"/>
  <c r="BO45" i="64" a="1"/>
  <c r="BO45" i="64" s="1"/>
  <c r="BH35" i="65" s="1"/>
  <c r="CH45" i="64" a="1"/>
  <c r="CH45" i="64" s="1"/>
  <c r="CA35" i="65" s="1"/>
  <c r="AW45" i="64" a="1"/>
  <c r="AW45" i="64" s="1"/>
  <c r="AP35" i="65" s="1"/>
  <c r="CO45" i="64" a="1"/>
  <c r="CO45" i="64" s="1"/>
  <c r="CH35" i="65" s="1"/>
  <c r="BE45" i="64" a="1"/>
  <c r="BE45" i="64" s="1"/>
  <c r="AX35" i="65" s="1"/>
  <c r="AY45" i="64" a="1"/>
  <c r="AY45" i="64" s="1"/>
  <c r="AR35" i="65" s="1"/>
  <c r="R45" i="64" a="1"/>
  <c r="R45" i="64" s="1"/>
  <c r="K35" i="65" s="1"/>
  <c r="AR45" i="64" a="1"/>
  <c r="AR45" i="64" s="1"/>
  <c r="AK35" i="65" s="1"/>
  <c r="AC17" i="64" a="1"/>
  <c r="AC17" i="64" s="1"/>
  <c r="V7" i="65" s="1"/>
  <c r="AF17" i="64" a="1"/>
  <c r="AF17" i="64" s="1"/>
  <c r="Y7" i="65" s="1"/>
  <c r="AA17" i="64" a="1"/>
  <c r="AA17" i="64" s="1"/>
  <c r="T7" i="65" s="1"/>
  <c r="U17" i="64" a="1"/>
  <c r="U17" i="64" s="1"/>
  <c r="N7" i="65" s="1"/>
  <c r="M17" i="64" a="1"/>
  <c r="M17" i="64" s="1"/>
  <c r="F7" i="65" s="1"/>
  <c r="T17" i="64" a="1"/>
  <c r="T17" i="64" s="1"/>
  <c r="M7" i="65" s="1"/>
  <c r="N76" i="64" a="1"/>
  <c r="N76" i="64" s="1"/>
  <c r="G66" i="65" s="1"/>
  <c r="CE45" i="64" a="1"/>
  <c r="CE45" i="64" s="1"/>
  <c r="BX35" i="65" s="1"/>
  <c r="AK45" i="64" a="1"/>
  <c r="AK45" i="64" s="1"/>
  <c r="AD35" i="65" s="1"/>
  <c r="BX45" i="64" a="1"/>
  <c r="BX45" i="64" s="1"/>
  <c r="BQ35" i="65" s="1"/>
  <c r="W45" i="64" a="1"/>
  <c r="W45" i="64" s="1"/>
  <c r="P35" i="65" s="1"/>
  <c r="BW45" i="64" a="1"/>
  <c r="BW45" i="64" s="1"/>
  <c r="BP35" i="65" s="1"/>
  <c r="T45" i="64" a="1"/>
  <c r="T45" i="64" s="1"/>
  <c r="M35" i="65" s="1"/>
  <c r="AX45" i="64" a="1"/>
  <c r="AX45" i="64" s="1"/>
  <c r="AQ35" i="65" s="1"/>
  <c r="CT45" i="64"/>
  <c r="CC45" i="64" a="1"/>
  <c r="CC45" i="64" s="1"/>
  <c r="BV35" i="65" s="1"/>
  <c r="BJ45" i="64" a="1"/>
  <c r="BJ45" i="64" s="1"/>
  <c r="BC35" i="65" s="1"/>
  <c r="AL45" i="64" a="1"/>
  <c r="AL45" i="64" s="1"/>
  <c r="AE35" i="65" s="1"/>
  <c r="CZ45" i="64"/>
  <c r="CL45" i="64" a="1"/>
  <c r="CL45" i="64" s="1"/>
  <c r="CE35" i="65" s="1"/>
  <c r="BV45" i="64" a="1"/>
  <c r="BV45" i="64" s="1"/>
  <c r="BO35" i="65" s="1"/>
  <c r="AT45" i="64" a="1"/>
  <c r="AT45" i="64" s="1"/>
  <c r="AM35" i="65" s="1"/>
  <c r="S45" i="64" a="1"/>
  <c r="S45" i="64" s="1"/>
  <c r="L35" i="65" s="1"/>
  <c r="AV45" i="64" a="1"/>
  <c r="AV45" i="64" s="1"/>
  <c r="AO35" i="65" s="1"/>
  <c r="AF45" i="64" a="1"/>
  <c r="AF45" i="64" s="1"/>
  <c r="Y35" i="65" s="1"/>
  <c r="BS45" i="64" a="1"/>
  <c r="BS45" i="64" s="1"/>
  <c r="BL35" i="65" s="1"/>
  <c r="BC45" i="64" a="1"/>
  <c r="BC45" i="64" s="1"/>
  <c r="AV35" i="65" s="1"/>
  <c r="AM45" i="64" a="1"/>
  <c r="AM45" i="64" s="1"/>
  <c r="AF35" i="65" s="1"/>
  <c r="Y45" i="64" a="1"/>
  <c r="Y45" i="64" s="1"/>
  <c r="R35" i="65" s="1"/>
  <c r="BF45" i="64" a="1"/>
  <c r="BF45" i="64" s="1"/>
  <c r="AY35" i="65" s="1"/>
  <c r="AH45" i="64" a="1"/>
  <c r="AH45" i="64" s="1"/>
  <c r="AA35" i="65" s="1"/>
  <c r="AP45" i="64" a="1"/>
  <c r="AP45" i="64" s="1"/>
  <c r="AI35" i="65" s="1"/>
  <c r="CX45" i="64"/>
  <c r="BN45" i="64" a="1"/>
  <c r="BN45" i="64" s="1"/>
  <c r="BG35" i="65" s="1"/>
  <c r="P45" i="64" a="1"/>
  <c r="P45" i="64" s="1"/>
  <c r="I35" i="65" s="1"/>
  <c r="BY45" i="64" a="1"/>
  <c r="BY45" i="64" s="1"/>
  <c r="BR35" i="65" s="1"/>
  <c r="X45" i="64" a="1"/>
  <c r="X45" i="64" s="1"/>
  <c r="Q35" i="65" s="1"/>
  <c r="AI45" i="64" a="1"/>
  <c r="AI45" i="64" s="1"/>
  <c r="AB35" i="65" s="1"/>
  <c r="BH45" i="64" a="1"/>
  <c r="BH45" i="64" s="1"/>
  <c r="BA35" i="65" s="1"/>
  <c r="AB45" i="64" a="1"/>
  <c r="AB45" i="64" s="1"/>
  <c r="U35" i="65" s="1"/>
  <c r="N45" i="64" a="1"/>
  <c r="N45" i="64" s="1"/>
  <c r="G35" i="65" s="1"/>
  <c r="Y17" i="64" a="1"/>
  <c r="Y17" i="64" s="1"/>
  <c r="R7" i="65" s="1"/>
  <c r="AB17" i="64" a="1"/>
  <c r="AB17" i="64" s="1"/>
  <c r="U7" i="65" s="1"/>
  <c r="AJ17" i="64" a="1"/>
  <c r="AJ17" i="64" s="1"/>
  <c r="AC7" i="65" s="1"/>
  <c r="W17" i="64" a="1"/>
  <c r="W17" i="64" s="1"/>
  <c r="P7" i="65" s="1"/>
  <c r="AH17" i="64" a="1"/>
  <c r="AH17" i="64" s="1"/>
  <c r="AA7" i="65" s="1"/>
  <c r="BT45" i="64" a="1"/>
  <c r="BT45" i="64" s="1"/>
  <c r="BM35" i="65" s="1"/>
  <c r="O45" i="64" a="1"/>
  <c r="O45" i="64" s="1"/>
  <c r="H35" i="65" s="1"/>
  <c r="BR45" i="64" a="1"/>
  <c r="BR45" i="64" s="1"/>
  <c r="BK35" i="65" s="1"/>
  <c r="M45" i="64" a="1"/>
  <c r="M45" i="64" s="1"/>
  <c r="F35" i="65" s="1"/>
  <c r="BQ45" i="64" a="1"/>
  <c r="BQ45" i="64" s="1"/>
  <c r="BJ35" i="65" s="1"/>
  <c r="CF45" i="64" a="1"/>
  <c r="CF45" i="64" s="1"/>
  <c r="BY35" i="65" s="1"/>
  <c r="AC45" i="64" a="1"/>
  <c r="AC45" i="64" s="1"/>
  <c r="V35" i="65" s="1"/>
  <c r="CP45" i="64" a="1"/>
  <c r="CP45" i="64" s="1"/>
  <c r="CI35" i="65" s="1"/>
  <c r="BZ45" i="64" a="1"/>
  <c r="BZ45" i="64" s="1"/>
  <c r="BS35" i="65" s="1"/>
  <c r="BG45" i="64" a="1"/>
  <c r="BG45" i="64" s="1"/>
  <c r="AZ35" i="65" s="1"/>
  <c r="AG45" i="64" a="1"/>
  <c r="AG45" i="64" s="1"/>
  <c r="Z35" i="65" s="1"/>
  <c r="CV45" i="64"/>
  <c r="CG45" i="64" a="1"/>
  <c r="CG45" i="64" s="1"/>
  <c r="BZ35" i="65" s="1"/>
  <c r="BL45" i="64" a="1"/>
  <c r="BL45" i="64" s="1"/>
  <c r="BE35" i="65" s="1"/>
  <c r="AO45" i="64" a="1"/>
  <c r="AO45" i="64" s="1"/>
  <c r="AH35" i="65" s="1"/>
  <c r="M44" i="64" a="1"/>
  <c r="M44" i="64" s="1"/>
  <c r="F34" i="65" s="1"/>
  <c r="AQ45" i="64" a="1"/>
  <c r="AQ45" i="64" s="1"/>
  <c r="AJ35" i="65" s="1"/>
  <c r="Z45" i="64" a="1"/>
  <c r="Z45" i="64" s="1"/>
  <c r="S35" i="65" s="1"/>
  <c r="BP45" i="64" a="1"/>
  <c r="BP45" i="64" s="1"/>
  <c r="BI35" i="65" s="1"/>
  <c r="AZ45" i="64" a="1"/>
  <c r="AZ45" i="64" s="1"/>
  <c r="AS35" i="65" s="1"/>
  <c r="AJ45" i="64" a="1"/>
  <c r="AJ45" i="64" s="1"/>
  <c r="AC35" i="65" s="1"/>
  <c r="V45" i="64" a="1"/>
  <c r="V45" i="64" s="1"/>
  <c r="O35" i="65" s="1"/>
  <c r="O17" i="64" a="1"/>
  <c r="O17" i="64" s="1"/>
  <c r="H7" i="65" s="1"/>
  <c r="X17" i="64" a="1"/>
  <c r="X17" i="64" s="1"/>
  <c r="Q7" i="65" s="1"/>
  <c r="AI17" i="64" a="1"/>
  <c r="AI17" i="64" s="1"/>
  <c r="AB7" i="65" s="1"/>
  <c r="S17" i="64" a="1"/>
  <c r="S17" i="64" s="1"/>
  <c r="L7" i="65" s="1"/>
  <c r="AD17" i="64" a="1"/>
  <c r="AD17" i="64" s="1"/>
  <c r="W7" i="65" s="1"/>
  <c r="N17" i="64" a="1"/>
  <c r="N17" i="64" s="1"/>
  <c r="G7" i="65" s="1"/>
  <c r="V17" i="64" a="1"/>
  <c r="V17" i="64" s="1"/>
  <c r="O7" i="65" s="1"/>
  <c r="BM45" i="64" a="1"/>
  <c r="BM45" i="64" s="1"/>
  <c r="BF35" i="65" s="1"/>
  <c r="CN45" i="64" a="1"/>
  <c r="CN45" i="64" s="1"/>
  <c r="CG35" i="65" s="1"/>
  <c r="AS45" i="64" a="1"/>
  <c r="AS45" i="64" s="1"/>
  <c r="AL35" i="65" s="1"/>
  <c r="CM45" i="64" a="1"/>
  <c r="CM45" i="64" s="1"/>
  <c r="CF35" i="65" s="1"/>
  <c r="BA45" i="64" a="1"/>
  <c r="BA45" i="64" s="1"/>
  <c r="AT35" i="65" s="1"/>
  <c r="CA45" i="64" a="1"/>
  <c r="CA45" i="64" s="1"/>
  <c r="BT35" i="65" s="1"/>
  <c r="DB45" i="64"/>
  <c r="CK45" i="64" a="1"/>
  <c r="CK45" i="64" s="1"/>
  <c r="CD35" i="65" s="1"/>
  <c r="BU45" i="64" a="1"/>
  <c r="BU45" i="64" s="1"/>
  <c r="BN35" i="65" s="1"/>
  <c r="BB45" i="64" a="1"/>
  <c r="BB45" i="64" s="1"/>
  <c r="AU35" i="65" s="1"/>
  <c r="AA45" i="64" a="1"/>
  <c r="AA45" i="64" s="1"/>
  <c r="T35" i="65" s="1"/>
  <c r="CR45" i="64"/>
  <c r="CD45" i="64" a="1"/>
  <c r="CD45" i="64" s="1"/>
  <c r="BW35" i="65" s="1"/>
  <c r="BI45" i="64" a="1"/>
  <c r="BI45" i="64" s="1"/>
  <c r="BB35" i="65" s="1"/>
  <c r="AD45" i="64" a="1"/>
  <c r="AD45" i="64" s="1"/>
  <c r="W35" i="65" s="1"/>
  <c r="BD45" i="64" a="1"/>
  <c r="BD45" i="64" s="1"/>
  <c r="AW35" i="65" s="1"/>
  <c r="AN45" i="64" a="1"/>
  <c r="AN45" i="64" s="1"/>
  <c r="AG35" i="65" s="1"/>
  <c r="U45" i="64" a="1"/>
  <c r="U45" i="64" s="1"/>
  <c r="N35" i="65" s="1"/>
  <c r="BK45" i="64" a="1"/>
  <c r="BK45" i="64" s="1"/>
  <c r="BD35" i="65" s="1"/>
  <c r="AU45" i="64" a="1"/>
  <c r="AU45" i="64" s="1"/>
  <c r="AN35" i="65" s="1"/>
  <c r="AE45" i="64" a="1"/>
  <c r="AE45" i="64" s="1"/>
  <c r="X35" i="65" s="1"/>
  <c r="Q45" i="64" a="1"/>
  <c r="Q45" i="64" s="1"/>
  <c r="J35" i="65" s="1"/>
  <c r="AB44" i="64" a="1"/>
  <c r="AB44" i="64" s="1"/>
  <c r="U34" i="65" s="1"/>
  <c r="K93" i="64"/>
  <c r="E83" i="65" s="1"/>
  <c r="K56" i="64"/>
  <c r="E46" i="65" s="1"/>
  <c r="Y44" i="64"/>
  <c r="R34" i="65" s="1"/>
  <c r="BI44" i="64"/>
  <c r="BB34" i="65" s="1"/>
  <c r="CO44" i="64"/>
  <c r="CH34" i="65" s="1"/>
  <c r="AK44" i="64"/>
  <c r="AD34" i="65" s="1"/>
  <c r="BM44" i="64"/>
  <c r="BF34" i="65" s="1"/>
  <c r="CS44" i="64"/>
  <c r="V44" i="64"/>
  <c r="O34" i="65" s="1"/>
  <c r="AL44" i="64"/>
  <c r="AE34" i="65" s="1"/>
  <c r="BB44" i="64"/>
  <c r="AU34" i="65" s="1"/>
  <c r="BR44" i="64"/>
  <c r="BK34" i="65" s="1"/>
  <c r="CH44" i="64"/>
  <c r="CA34" i="65" s="1"/>
  <c r="CX44" i="64"/>
  <c r="AA44" i="64"/>
  <c r="T34" i="65" s="1"/>
  <c r="AQ44" i="64"/>
  <c r="AJ34" i="65" s="1"/>
  <c r="BG44" i="64"/>
  <c r="AZ34" i="65" s="1"/>
  <c r="BW44" i="64"/>
  <c r="BP34" i="65" s="1"/>
  <c r="CM44" i="64"/>
  <c r="CF34" i="65" s="1"/>
  <c r="P44" i="64"/>
  <c r="I34" i="65" s="1"/>
  <c r="AF44" i="64"/>
  <c r="Y34" i="65" s="1"/>
  <c r="AV44" i="64"/>
  <c r="AO34" i="65" s="1"/>
  <c r="BL44" i="64"/>
  <c r="BE34" i="65" s="1"/>
  <c r="CB44" i="64"/>
  <c r="BU34" i="65" s="1"/>
  <c r="CR44" i="64"/>
  <c r="K16" i="64"/>
  <c r="E6" i="65" s="1"/>
  <c r="AG44" i="64"/>
  <c r="Z34" i="65" s="1"/>
  <c r="BQ44" i="64"/>
  <c r="BJ34" i="65" s="1"/>
  <c r="CW44" i="64"/>
  <c r="AO44" i="64"/>
  <c r="AH34" i="65" s="1"/>
  <c r="BU44" i="64"/>
  <c r="BN34" i="65" s="1"/>
  <c r="DA44" i="64"/>
  <c r="Z44" i="64"/>
  <c r="S34" i="65" s="1"/>
  <c r="AP44" i="64"/>
  <c r="AI34" i="65" s="1"/>
  <c r="BF44" i="64"/>
  <c r="AY34" i="65" s="1"/>
  <c r="BV44" i="64"/>
  <c r="BO34" i="65" s="1"/>
  <c r="CL44" i="64"/>
  <c r="CE34" i="65" s="1"/>
  <c r="DB44" i="64"/>
  <c r="O44" i="64"/>
  <c r="H34" i="65" s="1"/>
  <c r="AE44" i="64"/>
  <c r="X34" i="65" s="1"/>
  <c r="AU44" i="64"/>
  <c r="AN34" i="65" s="1"/>
  <c r="BK44" i="64"/>
  <c r="BD34" i="65" s="1"/>
  <c r="CA44" i="64"/>
  <c r="BT34" i="65" s="1"/>
  <c r="CQ44" i="64"/>
  <c r="T44" i="64"/>
  <c r="M34" i="65" s="1"/>
  <c r="AJ44" i="64"/>
  <c r="AC34" i="65" s="1"/>
  <c r="AZ44" i="64"/>
  <c r="AS34" i="65" s="1"/>
  <c r="BP44" i="64"/>
  <c r="BI34" i="65" s="1"/>
  <c r="CF44" i="64"/>
  <c r="BY34" i="65" s="1"/>
  <c r="CV44" i="64"/>
  <c r="K92" i="64"/>
  <c r="E82" i="65" s="1"/>
  <c r="AS44" i="64"/>
  <c r="AL34" i="65" s="1"/>
  <c r="AW44" i="64"/>
  <c r="AP34" i="65" s="1"/>
  <c r="AD44" i="64"/>
  <c r="W34" i="65" s="1"/>
  <c r="BJ44" i="64"/>
  <c r="BC34" i="65" s="1"/>
  <c r="S44" i="64"/>
  <c r="L34" i="65" s="1"/>
  <c r="AY44" i="64"/>
  <c r="AR34" i="65" s="1"/>
  <c r="CE44" i="64"/>
  <c r="BX34" i="65" s="1"/>
  <c r="X44" i="64"/>
  <c r="Q34" i="65" s="1"/>
  <c r="AN44" i="64"/>
  <c r="AG34" i="65" s="1"/>
  <c r="BD44" i="64"/>
  <c r="AW34" i="65" s="1"/>
  <c r="BT44" i="64"/>
  <c r="BM34" i="65" s="1"/>
  <c r="CJ44" i="64"/>
  <c r="CC34" i="65" s="1"/>
  <c r="CZ44" i="64"/>
  <c r="BY44" i="64"/>
  <c r="BR34" i="65" s="1"/>
  <c r="U44" i="64"/>
  <c r="N34" i="65" s="1"/>
  <c r="CC44" i="64"/>
  <c r="BV34" i="65" s="1"/>
  <c r="N44" i="64"/>
  <c r="G34" i="65" s="1"/>
  <c r="AT44" i="64"/>
  <c r="AM34" i="65" s="1"/>
  <c r="BZ44" i="64"/>
  <c r="BS34" i="65" s="1"/>
  <c r="CP44" i="64"/>
  <c r="CI34" i="65" s="1"/>
  <c r="AI44" i="64"/>
  <c r="AB34" i="65" s="1"/>
  <c r="BO44" i="64"/>
  <c r="BH34" i="65" s="1"/>
  <c r="CU44" i="64"/>
  <c r="K57" i="64"/>
  <c r="E47" i="65" s="1"/>
  <c r="Q44" i="64"/>
  <c r="J34" i="65" s="1"/>
  <c r="BA44" i="64"/>
  <c r="AT34" i="65" s="1"/>
  <c r="CG44" i="64"/>
  <c r="BZ34" i="65" s="1"/>
  <c r="AC44" i="64"/>
  <c r="V34" i="65" s="1"/>
  <c r="BE44" i="64"/>
  <c r="AX34" i="65" s="1"/>
  <c r="CK44" i="64"/>
  <c r="CD34" i="65" s="1"/>
  <c r="R44" i="64"/>
  <c r="K34" i="65" s="1"/>
  <c r="AH44" i="64"/>
  <c r="AA34" i="65" s="1"/>
  <c r="AX44" i="64"/>
  <c r="AQ34" i="65" s="1"/>
  <c r="BN44" i="64"/>
  <c r="BG34" i="65" s="1"/>
  <c r="CD44" i="64"/>
  <c r="BW34" i="65" s="1"/>
  <c r="CT44" i="64"/>
  <c r="W44" i="64"/>
  <c r="P34" i="65" s="1"/>
  <c r="AM44" i="64"/>
  <c r="AF34" i="65" s="1"/>
  <c r="BC44" i="64"/>
  <c r="AV34" i="65" s="1"/>
  <c r="BS44" i="64"/>
  <c r="BL34" i="65" s="1"/>
  <c r="CI44" i="64"/>
  <c r="CB34" i="65" s="1"/>
  <c r="CY44" i="64"/>
  <c r="AR44" i="64"/>
  <c r="AK34" i="65" s="1"/>
  <c r="BH44" i="64"/>
  <c r="BA34" i="65" s="1"/>
  <c r="BX44" i="64"/>
  <c r="BQ34" i="65" s="1"/>
  <c r="CN44" i="64"/>
  <c r="CG34" i="65" s="1"/>
  <c r="CY77" i="64"/>
  <c r="CS77" i="64"/>
  <c r="CM77" i="64"/>
  <c r="CF67" i="65" s="1"/>
  <c r="CG77" i="64"/>
  <c r="BZ67" i="65" s="1"/>
  <c r="CA77" i="64"/>
  <c r="BT67" i="65" s="1"/>
  <c r="BU77" i="64"/>
  <c r="BN67" i="65" s="1"/>
  <c r="BO77" i="64"/>
  <c r="BH67" i="65" s="1"/>
  <c r="BI77" i="64"/>
  <c r="BB67" i="65" s="1"/>
  <c r="BC77" i="64"/>
  <c r="AV67" i="65" s="1"/>
  <c r="AW77" i="64"/>
  <c r="AP67" i="65" s="1"/>
  <c r="AQ77" i="64"/>
  <c r="AJ67" i="65" s="1"/>
  <c r="AK77" i="64"/>
  <c r="AD67" i="65" s="1"/>
  <c r="AE77" i="64"/>
  <c r="X67" i="65" s="1"/>
  <c r="Y77" i="64"/>
  <c r="R67" i="65" s="1"/>
  <c r="S77" i="64"/>
  <c r="L67" i="65" s="1"/>
  <c r="DB76" i="64"/>
  <c r="CV76" i="64"/>
  <c r="CP76" i="64"/>
  <c r="CI66" i="65" s="1"/>
  <c r="CJ76" i="64"/>
  <c r="CC66" i="65" s="1"/>
  <c r="CD76" i="64"/>
  <c r="BW66" i="65" s="1"/>
  <c r="BX76" i="64"/>
  <c r="BQ66" i="65" s="1"/>
  <c r="BR76" i="64"/>
  <c r="BK66" i="65" s="1"/>
  <c r="BL76" i="64"/>
  <c r="BE66" i="65" s="1"/>
  <c r="BF76" i="64"/>
  <c r="AY66" i="65" s="1"/>
  <c r="AZ76" i="64"/>
  <c r="AS66" i="65" s="1"/>
  <c r="AT76" i="64"/>
  <c r="AM66" i="65" s="1"/>
  <c r="AN76" i="64"/>
  <c r="AG66" i="65" s="1"/>
  <c r="AH76" i="64"/>
  <c r="AA66" i="65" s="1"/>
  <c r="AB76" i="64"/>
  <c r="U66" i="65" s="1"/>
  <c r="V76" i="64"/>
  <c r="O66" i="65" s="1"/>
  <c r="P76" i="64"/>
  <c r="I66" i="65" s="1"/>
  <c r="BQ77" i="64"/>
  <c r="BJ67" i="65" s="1"/>
  <c r="AS77" i="64"/>
  <c r="AL67" i="65" s="1"/>
  <c r="U77" i="64"/>
  <c r="N67" i="65" s="1"/>
  <c r="CL76" i="64"/>
  <c r="CE66" i="65" s="1"/>
  <c r="BN76" i="64"/>
  <c r="BG66" i="65" s="1"/>
  <c r="AP76" i="64"/>
  <c r="AI66" i="65" s="1"/>
  <c r="R76" i="64"/>
  <c r="K66" i="65" s="1"/>
  <c r="CT77" i="64"/>
  <c r="BV77" i="64"/>
  <c r="BO67" i="65" s="1"/>
  <c r="AR77" i="64"/>
  <c r="AK67" i="65" s="1"/>
  <c r="Z77" i="64"/>
  <c r="S67" i="65" s="1"/>
  <c r="CK76" i="64"/>
  <c r="CD66" i="65" s="1"/>
  <c r="BS76" i="64"/>
  <c r="BL66" i="65" s="1"/>
  <c r="AU76" i="64"/>
  <c r="AN66" i="65" s="1"/>
  <c r="W76" i="64"/>
  <c r="P66" i="65" s="1"/>
  <c r="CX77" i="64"/>
  <c r="CR77" i="64"/>
  <c r="CL77" i="64"/>
  <c r="CE67" i="65" s="1"/>
  <c r="CF77" i="64"/>
  <c r="BY67" i="65" s="1"/>
  <c r="BZ77" i="64"/>
  <c r="BS67" i="65" s="1"/>
  <c r="BT77" i="64"/>
  <c r="BM67" i="65" s="1"/>
  <c r="BN77" i="64"/>
  <c r="BG67" i="65" s="1"/>
  <c r="BH77" i="64"/>
  <c r="BA67" i="65" s="1"/>
  <c r="BB77" i="64"/>
  <c r="AU67" i="65" s="1"/>
  <c r="AV77" i="64"/>
  <c r="AO67" i="65" s="1"/>
  <c r="AP77" i="64"/>
  <c r="AI67" i="65" s="1"/>
  <c r="AJ77" i="64"/>
  <c r="AC67" i="65" s="1"/>
  <c r="AD77" i="64"/>
  <c r="W67" i="65" s="1"/>
  <c r="X77" i="64"/>
  <c r="Q67" i="65" s="1"/>
  <c r="R77" i="64"/>
  <c r="K67" i="65" s="1"/>
  <c r="DA76" i="64"/>
  <c r="CU76" i="64"/>
  <c r="CO76" i="64"/>
  <c r="CH66" i="65" s="1"/>
  <c r="CI76" i="64"/>
  <c r="CB66" i="65" s="1"/>
  <c r="CC76" i="64"/>
  <c r="BV66" i="65" s="1"/>
  <c r="BW76" i="64"/>
  <c r="BP66" i="65" s="1"/>
  <c r="BQ76" i="64"/>
  <c r="BJ66" i="65" s="1"/>
  <c r="BK76" i="64"/>
  <c r="BD66" i="65" s="1"/>
  <c r="BE76" i="64"/>
  <c r="AX66" i="65" s="1"/>
  <c r="AY76" i="64"/>
  <c r="AR66" i="65" s="1"/>
  <c r="AS76" i="64"/>
  <c r="AL66" i="65" s="1"/>
  <c r="AM76" i="64"/>
  <c r="AF66" i="65" s="1"/>
  <c r="AG76" i="64"/>
  <c r="Z66" i="65" s="1"/>
  <c r="AA76" i="64"/>
  <c r="T66" i="65" s="1"/>
  <c r="U76" i="64"/>
  <c r="N66" i="65" s="1"/>
  <c r="O76" i="64"/>
  <c r="H66" i="65" s="1"/>
  <c r="BU76" i="64"/>
  <c r="BN66" i="65" s="1"/>
  <c r="AQ76" i="64"/>
  <c r="AJ66" i="65" s="1"/>
  <c r="Y76" i="64"/>
  <c r="R66" i="65" s="1"/>
  <c r="DA77" i="64"/>
  <c r="CI77" i="64"/>
  <c r="CB67" i="65" s="1"/>
  <c r="BK77" i="64"/>
  <c r="BD67" i="65" s="1"/>
  <c r="AA77" i="64"/>
  <c r="T67" i="65" s="1"/>
  <c r="CR76" i="64"/>
  <c r="BT76" i="64"/>
  <c r="BM66" i="65" s="1"/>
  <c r="BB76" i="64"/>
  <c r="AU66" i="65" s="1"/>
  <c r="AD76" i="64"/>
  <c r="W66" i="65" s="1"/>
  <c r="CN77" i="64"/>
  <c r="CG67" i="65" s="1"/>
  <c r="BP77" i="64"/>
  <c r="BI67" i="65" s="1"/>
  <c r="AX77" i="64"/>
  <c r="AQ67" i="65" s="1"/>
  <c r="N77" i="64"/>
  <c r="G67" i="65" s="1"/>
  <c r="CE76" i="64"/>
  <c r="BX66" i="65" s="1"/>
  <c r="BG76" i="64"/>
  <c r="AZ66" i="65" s="1"/>
  <c r="AI76" i="64"/>
  <c r="AB66" i="65" s="1"/>
  <c r="CW77" i="64"/>
  <c r="CQ77" i="64"/>
  <c r="CK77" i="64"/>
  <c r="CD67" i="65" s="1"/>
  <c r="CE77" i="64"/>
  <c r="BX67" i="65" s="1"/>
  <c r="BY77" i="64"/>
  <c r="BR67" i="65" s="1"/>
  <c r="BS77" i="64"/>
  <c r="BL67" i="65" s="1"/>
  <c r="BM77" i="64"/>
  <c r="BF67" i="65" s="1"/>
  <c r="BG77" i="64"/>
  <c r="AZ67" i="65" s="1"/>
  <c r="BA77" i="64"/>
  <c r="AT67" i="65" s="1"/>
  <c r="AU77" i="64"/>
  <c r="AN67" i="65" s="1"/>
  <c r="AO77" i="64"/>
  <c r="AH67" i="65" s="1"/>
  <c r="AI77" i="64"/>
  <c r="AB67" i="65" s="1"/>
  <c r="AC77" i="64"/>
  <c r="V67" i="65" s="1"/>
  <c r="W77" i="64"/>
  <c r="P67" i="65" s="1"/>
  <c r="Q77" i="64"/>
  <c r="J67" i="65" s="1"/>
  <c r="CZ76" i="64"/>
  <c r="CT76" i="64"/>
  <c r="CN76" i="64"/>
  <c r="CG66" i="65" s="1"/>
  <c r="CH76" i="64"/>
  <c r="CA66" i="65" s="1"/>
  <c r="CB76" i="64"/>
  <c r="BU66" i="65" s="1"/>
  <c r="BV76" i="64"/>
  <c r="BO66" i="65" s="1"/>
  <c r="BP76" i="64"/>
  <c r="BI66" i="65" s="1"/>
  <c r="BJ76" i="64"/>
  <c r="BC66" i="65" s="1"/>
  <c r="BD76" i="64"/>
  <c r="AW66" i="65" s="1"/>
  <c r="AX76" i="64"/>
  <c r="AQ66" i="65" s="1"/>
  <c r="AR76" i="64"/>
  <c r="AK66" i="65" s="1"/>
  <c r="AL76" i="64"/>
  <c r="AE66" i="65" s="1"/>
  <c r="AF76" i="64"/>
  <c r="Y66" i="65" s="1"/>
  <c r="Z76" i="64"/>
  <c r="S66" i="65" s="1"/>
  <c r="T76" i="64"/>
  <c r="M66" i="65" s="1"/>
  <c r="BO76" i="64"/>
  <c r="BH66" i="65" s="1"/>
  <c r="AK76" i="64"/>
  <c r="AD66" i="65" s="1"/>
  <c r="S76" i="64"/>
  <c r="L66" i="65" s="1"/>
  <c r="CO77" i="64"/>
  <c r="CH67" i="65" s="1"/>
  <c r="BW77" i="64"/>
  <c r="BP67" i="65" s="1"/>
  <c r="AY77" i="64"/>
  <c r="AR67" i="65" s="1"/>
  <c r="AG77" i="64"/>
  <c r="Z67" i="65" s="1"/>
  <c r="CX76" i="64"/>
  <c r="BZ76" i="64"/>
  <c r="BS66" i="65" s="1"/>
  <c r="AV76" i="64"/>
  <c r="AO66" i="65" s="1"/>
  <c r="X76" i="64"/>
  <c r="Q66" i="65" s="1"/>
  <c r="CZ77" i="64"/>
  <c r="CB77" i="64"/>
  <c r="BU67" i="65" s="1"/>
  <c r="BD77" i="64"/>
  <c r="AW67" i="65" s="1"/>
  <c r="AF77" i="64"/>
  <c r="Y67" i="65" s="1"/>
  <c r="CW76" i="64"/>
  <c r="BM76" i="64"/>
  <c r="BF66" i="65" s="1"/>
  <c r="AO76" i="64"/>
  <c r="AH66" i="65" s="1"/>
  <c r="Q76" i="64"/>
  <c r="J66" i="65" s="1"/>
  <c r="DB77" i="64"/>
  <c r="CV77" i="64"/>
  <c r="CP77" i="64"/>
  <c r="CI67" i="65" s="1"/>
  <c r="CJ77" i="64"/>
  <c r="CC67" i="65" s="1"/>
  <c r="CD77" i="64"/>
  <c r="BW67" i="65" s="1"/>
  <c r="BX77" i="64"/>
  <c r="BQ67" i="65" s="1"/>
  <c r="BR77" i="64"/>
  <c r="BK67" i="65" s="1"/>
  <c r="BL77" i="64"/>
  <c r="BE67" i="65" s="1"/>
  <c r="BF77" i="64"/>
  <c r="AY67" i="65" s="1"/>
  <c r="AZ77" i="64"/>
  <c r="AS67" i="65" s="1"/>
  <c r="AT77" i="64"/>
  <c r="AM67" i="65" s="1"/>
  <c r="AN77" i="64"/>
  <c r="AG67" i="65" s="1"/>
  <c r="AH77" i="64"/>
  <c r="AA67" i="65" s="1"/>
  <c r="AB77" i="64"/>
  <c r="U67" i="65" s="1"/>
  <c r="V77" i="64"/>
  <c r="O67" i="65" s="1"/>
  <c r="P77" i="64"/>
  <c r="I67" i="65" s="1"/>
  <c r="CY76" i="64"/>
  <c r="CS76" i="64"/>
  <c r="CM76" i="64"/>
  <c r="CF66" i="65" s="1"/>
  <c r="CG76" i="64"/>
  <c r="BZ66" i="65" s="1"/>
  <c r="CA76" i="64"/>
  <c r="BT66" i="65" s="1"/>
  <c r="BI76" i="64"/>
  <c r="BB66" i="65" s="1"/>
  <c r="BC76" i="64"/>
  <c r="AV66" i="65" s="1"/>
  <c r="AW76" i="64"/>
  <c r="AP66" i="65" s="1"/>
  <c r="AE76" i="64"/>
  <c r="X66" i="65" s="1"/>
  <c r="CU77" i="64"/>
  <c r="CC77" i="64"/>
  <c r="BV67" i="65" s="1"/>
  <c r="BE77" i="64"/>
  <c r="AX67" i="65" s="1"/>
  <c r="AM77" i="64"/>
  <c r="AF67" i="65" s="1"/>
  <c r="O77" i="64"/>
  <c r="H67" i="65" s="1"/>
  <c r="CF76" i="64"/>
  <c r="BY66" i="65" s="1"/>
  <c r="BH76" i="64"/>
  <c r="BA66" i="65" s="1"/>
  <c r="AJ76" i="64"/>
  <c r="AC66" i="65" s="1"/>
  <c r="CH77" i="64"/>
  <c r="CA67" i="65" s="1"/>
  <c r="BJ77" i="64"/>
  <c r="BC67" i="65" s="1"/>
  <c r="AL77" i="64"/>
  <c r="AE67" i="65" s="1"/>
  <c r="T77" i="64"/>
  <c r="M67" i="65" s="1"/>
  <c r="CQ76" i="64"/>
  <c r="BY76" i="64"/>
  <c r="BR66" i="65" s="1"/>
  <c r="BA76" i="64"/>
  <c r="AT66" i="65" s="1"/>
  <c r="AC76" i="64"/>
  <c r="V66" i="65" s="1"/>
  <c r="L107" i="64"/>
  <c r="L100" i="64"/>
  <c r="L105" i="64"/>
  <c r="L104" i="64"/>
  <c r="L103" i="64"/>
  <c r="L102" i="64"/>
  <c r="L101" i="64"/>
  <c r="L106" i="64"/>
  <c r="L96" i="64"/>
  <c r="L97" i="64"/>
  <c r="L90" i="64"/>
  <c r="L86" i="64"/>
  <c r="L89" i="64"/>
  <c r="L83" i="64"/>
  <c r="L88" i="64"/>
  <c r="L80" i="64"/>
  <c r="L81" i="64"/>
  <c r="L84" i="64"/>
  <c r="L82" i="64"/>
  <c r="L85" i="64"/>
  <c r="L87" i="64"/>
  <c r="L66" i="64"/>
  <c r="L73" i="64"/>
  <c r="L70" i="64"/>
  <c r="L64" i="64"/>
  <c r="L61" i="64"/>
  <c r="L74" i="64"/>
  <c r="L75" i="64"/>
  <c r="L60" i="64"/>
  <c r="L65" i="64"/>
  <c r="L63" i="64"/>
  <c r="L72" i="64"/>
  <c r="L71" i="64"/>
  <c r="L62" i="64"/>
  <c r="L58" i="64"/>
  <c r="L59" i="64"/>
  <c r="L47" i="64"/>
  <c r="L50" i="64"/>
  <c r="L52" i="64"/>
  <c r="L51" i="64"/>
  <c r="L53" i="64"/>
  <c r="L41" i="64"/>
  <c r="L36" i="64"/>
  <c r="L30" i="64"/>
  <c r="L33" i="64"/>
  <c r="L29" i="64"/>
  <c r="L35" i="64"/>
  <c r="L32" i="64"/>
  <c r="L42" i="64"/>
  <c r="L31" i="64"/>
  <c r="L43" i="64"/>
  <c r="L40" i="64"/>
  <c r="L38" i="64"/>
  <c r="L39" i="64"/>
  <c r="L34" i="64"/>
  <c r="L37" i="64"/>
  <c r="L94" i="64"/>
  <c r="L95" i="64"/>
  <c r="L91" i="64"/>
  <c r="L79" i="64"/>
  <c r="L78" i="64"/>
  <c r="L46" i="64"/>
  <c r="L69" i="64"/>
  <c r="L68" i="64"/>
  <c r="L67" i="64"/>
  <c r="P11" i="64"/>
  <c r="H1" i="65"/>
  <c r="F54" i="64"/>
  <c r="F55" i="64"/>
  <c r="C45" i="65" s="1"/>
  <c r="CJ55" i="64" l="1" a="1"/>
  <c r="CJ55" i="64" s="1"/>
  <c r="CC45" i="65" s="1"/>
  <c r="V54" i="64" a="1"/>
  <c r="V54" i="64" s="1"/>
  <c r="M54" i="64" a="1"/>
  <c r="M54" i="64" s="1"/>
  <c r="F44" i="65" s="1"/>
  <c r="CC54" i="64" a="1"/>
  <c r="CC54" i="64" s="1"/>
  <c r="BV44" i="65" s="1"/>
  <c r="BH54" i="64" a="1"/>
  <c r="BH54" i="64" s="1"/>
  <c r="BA44" i="65" s="1"/>
  <c r="AV54" i="64" a="1"/>
  <c r="AV54" i="64" s="1"/>
  <c r="AO44" i="65" s="1"/>
  <c r="BP55" i="64" a="1"/>
  <c r="BP55" i="64" s="1"/>
  <c r="BI45" i="65" s="1"/>
  <c r="AB55" i="64" a="1"/>
  <c r="AB55" i="64" s="1"/>
  <c r="U45" i="65" s="1"/>
  <c r="CB55" i="64" a="1"/>
  <c r="CB55" i="64" s="1"/>
  <c r="BU45" i="65" s="1"/>
  <c r="Y55" i="64" a="1"/>
  <c r="Y55" i="64" s="1"/>
  <c r="R45" i="65" s="1"/>
  <c r="BE55" i="64" a="1"/>
  <c r="BE55" i="64" s="1"/>
  <c r="AX45" i="65" s="1"/>
  <c r="CB54" i="64" a="1"/>
  <c r="CB54" i="64" s="1"/>
  <c r="BU44" i="65" s="1"/>
  <c r="CH54" i="64" a="1"/>
  <c r="CH54" i="64" s="1"/>
  <c r="CA44" i="65" s="1"/>
  <c r="CT54" i="64" a="1"/>
  <c r="CT54" i="64" s="1"/>
  <c r="AE55" i="64" a="1"/>
  <c r="AE55" i="64" s="1"/>
  <c r="X45" i="65" s="1"/>
  <c r="AQ55" i="64" a="1"/>
  <c r="AQ55" i="64" s="1"/>
  <c r="AJ45" i="65" s="1"/>
  <c r="X55" i="64" a="1"/>
  <c r="X55" i="64" s="1"/>
  <c r="Q45" i="65" s="1"/>
  <c r="AQ54" i="64" a="1"/>
  <c r="AQ54" i="64" s="1"/>
  <c r="AJ44" i="65" s="1"/>
  <c r="O54" i="64" a="1"/>
  <c r="O54" i="64" s="1"/>
  <c r="H44" i="65" s="1"/>
  <c r="AX55" i="64" a="1"/>
  <c r="AX55" i="64" s="1"/>
  <c r="AQ45" i="65" s="1"/>
  <c r="BR55" i="64" a="1"/>
  <c r="BR55" i="64" s="1"/>
  <c r="BK45" i="65" s="1"/>
  <c r="AS55" i="64" a="1"/>
  <c r="AS55" i="64" s="1"/>
  <c r="AL45" i="65" s="1"/>
  <c r="BI54" i="64" a="1"/>
  <c r="BI54" i="64" s="1"/>
  <c r="BB44" i="65" s="1"/>
  <c r="CE54" i="64" a="1"/>
  <c r="CE54" i="64" s="1"/>
  <c r="BX44" i="65" s="1"/>
  <c r="AV55" i="64" a="1"/>
  <c r="AV55" i="64" s="1"/>
  <c r="AO45" i="65" s="1"/>
  <c r="BF55" i="64" a="1"/>
  <c r="BF55" i="64" s="1"/>
  <c r="AY45" i="65" s="1"/>
  <c r="U55" i="64" a="1"/>
  <c r="U55" i="64" s="1"/>
  <c r="N45" i="65" s="1"/>
  <c r="CN55" i="64" a="1"/>
  <c r="CN55" i="64" s="1"/>
  <c r="CG45" i="65" s="1"/>
  <c r="AW55" i="64" a="1"/>
  <c r="AW55" i="64" s="1"/>
  <c r="AP45" i="65" s="1"/>
  <c r="AZ55" i="64" a="1"/>
  <c r="AZ55" i="64" s="1"/>
  <c r="AS45" i="65" s="1"/>
  <c r="AH55" i="64" a="1"/>
  <c r="AH55" i="64" s="1"/>
  <c r="AA45" i="65" s="1"/>
  <c r="CO55" i="64" a="1"/>
  <c r="CO55" i="64" s="1"/>
  <c r="CH45" i="65" s="1"/>
  <c r="AA55" i="64" a="1"/>
  <c r="AA55" i="64" s="1"/>
  <c r="T45" i="65" s="1"/>
  <c r="AN55" i="64" a="1"/>
  <c r="AN55" i="64" s="1"/>
  <c r="AG45" i="65" s="1"/>
  <c r="BX55" i="64" a="1"/>
  <c r="BX55" i="64" s="1"/>
  <c r="BQ45" i="65" s="1"/>
  <c r="AM55" i="64" a="1"/>
  <c r="AM55" i="64" s="1"/>
  <c r="AF45" i="65" s="1"/>
  <c r="CD55" i="64" a="1"/>
  <c r="CD55" i="64" s="1"/>
  <c r="BW45" i="65" s="1"/>
  <c r="Q55" i="64" a="1"/>
  <c r="Q55" i="64" s="1"/>
  <c r="J45" i="65" s="1"/>
  <c r="P54" i="64" a="1"/>
  <c r="P54" i="64" s="1"/>
  <c r="I44" i="65" s="1"/>
  <c r="DC54" i="64" a="1"/>
  <c r="DC54" i="64" s="1"/>
  <c r="AD54" i="64" a="1"/>
  <c r="AD54" i="64" s="1"/>
  <c r="W44" i="65" s="1"/>
  <c r="X54" i="64" a="1"/>
  <c r="X54" i="64" s="1"/>
  <c r="Q44" i="65" s="1"/>
  <c r="BS54" i="64" a="1"/>
  <c r="BS54" i="64" s="1"/>
  <c r="BL44" i="65" s="1"/>
  <c r="BE54" i="64" a="1"/>
  <c r="BE54" i="64" s="1"/>
  <c r="AX44" i="65" s="1"/>
  <c r="BT54" i="64" a="1"/>
  <c r="BT54" i="64" s="1"/>
  <c r="BM44" i="65" s="1"/>
  <c r="R54" i="64" a="1"/>
  <c r="R54" i="64" s="1"/>
  <c r="K44" i="65" s="1"/>
  <c r="CX54" i="64" a="1"/>
  <c r="CX54" i="64" s="1"/>
  <c r="M55" i="64" a="1"/>
  <c r="M55" i="64" s="1"/>
  <c r="F45" i="65" s="1"/>
  <c r="BM55" i="64" a="1"/>
  <c r="BM55" i="64" s="1"/>
  <c r="BF45" i="65" s="1"/>
  <c r="BS55" i="64" a="1"/>
  <c r="BS55" i="64" s="1"/>
  <c r="BL45" i="65" s="1"/>
  <c r="AR55" i="64" a="1"/>
  <c r="AR55" i="64" s="1"/>
  <c r="AK45" i="65" s="1"/>
  <c r="R55" i="64" a="1"/>
  <c r="R55" i="64" s="1"/>
  <c r="K45" i="65" s="1"/>
  <c r="BG55" i="64" a="1"/>
  <c r="BG55" i="64" s="1"/>
  <c r="AZ45" i="65" s="1"/>
  <c r="BY55" i="64" a="1"/>
  <c r="BY55" i="64" s="1"/>
  <c r="BR45" i="65" s="1"/>
  <c r="CM55" i="64" a="1"/>
  <c r="CM55" i="64" s="1"/>
  <c r="CF45" i="65" s="1"/>
  <c r="CL55" i="64" a="1"/>
  <c r="CL55" i="64" s="1"/>
  <c r="CE45" i="65" s="1"/>
  <c r="AD55" i="64" a="1"/>
  <c r="AD55" i="64" s="1"/>
  <c r="W45" i="65" s="1"/>
  <c r="CE55" i="64" a="1"/>
  <c r="CE55" i="64" s="1"/>
  <c r="BX45" i="65" s="1"/>
  <c r="BD55" i="64" a="1"/>
  <c r="BD55" i="64" s="1"/>
  <c r="AW45" i="65" s="1"/>
  <c r="CK55" i="64" a="1"/>
  <c r="CK55" i="64" s="1"/>
  <c r="CD45" i="65" s="1"/>
  <c r="BH55" i="64" a="1"/>
  <c r="BH55" i="64" s="1"/>
  <c r="BA45" i="65" s="1"/>
  <c r="W55" i="64" a="1"/>
  <c r="W55" i="64" s="1"/>
  <c r="P45" i="65" s="1"/>
  <c r="AP55" i="64" a="1"/>
  <c r="AP55" i="64" s="1"/>
  <c r="AI45" i="65" s="1"/>
  <c r="AF55" i="64" a="1"/>
  <c r="AF55" i="64" s="1"/>
  <c r="Y45" i="65" s="1"/>
  <c r="C44" i="65"/>
  <c r="BQ55" i="64" a="1"/>
  <c r="BQ55" i="64" s="1"/>
  <c r="BJ45" i="65" s="1"/>
  <c r="AY55" i="64" a="1"/>
  <c r="AY55" i="64" s="1"/>
  <c r="AR45" i="65" s="1"/>
  <c r="BA55" i="64" a="1"/>
  <c r="BA55" i="64" s="1"/>
  <c r="AT45" i="65" s="1"/>
  <c r="V55" i="64" a="1"/>
  <c r="V55" i="64" s="1"/>
  <c r="O45" i="65" s="1"/>
  <c r="BV55" i="64" a="1"/>
  <c r="BV55" i="64" s="1"/>
  <c r="BO45" i="65" s="1"/>
  <c r="CG55" i="64" a="1"/>
  <c r="CG55" i="64" s="1"/>
  <c r="BZ45" i="65" s="1"/>
  <c r="AI55" i="64" a="1"/>
  <c r="AI55" i="64" s="1"/>
  <c r="AB45" i="65" s="1"/>
  <c r="CH55" i="64" a="1"/>
  <c r="CH55" i="64" s="1"/>
  <c r="CA45" i="65" s="1"/>
  <c r="AL55" i="64" a="1"/>
  <c r="AL55" i="64" s="1"/>
  <c r="AE45" i="65" s="1"/>
  <c r="AO55" i="64" a="1"/>
  <c r="AO55" i="64" s="1"/>
  <c r="AH45" i="65" s="1"/>
  <c r="S55" i="64" a="1"/>
  <c r="S55" i="64" s="1"/>
  <c r="L45" i="65" s="1"/>
  <c r="BC55" i="64" a="1"/>
  <c r="BC55" i="64" s="1"/>
  <c r="AV45" i="65" s="1"/>
  <c r="AK55" i="64" a="1"/>
  <c r="AK55" i="64" s="1"/>
  <c r="AD45" i="65" s="1"/>
  <c r="BO55" i="64" a="1"/>
  <c r="BO55" i="64" s="1"/>
  <c r="BH45" i="65" s="1"/>
  <c r="BM54" i="64" a="1"/>
  <c r="BM54" i="64" s="1"/>
  <c r="BF44" i="65" s="1"/>
  <c r="BL54" i="64" a="1"/>
  <c r="BL54" i="64" s="1"/>
  <c r="BE44" i="65" s="1"/>
  <c r="AA54" i="64" a="1"/>
  <c r="AA54" i="64" s="1"/>
  <c r="T44" i="65" s="1"/>
  <c r="AS54" i="64" a="1"/>
  <c r="AS54" i="64" s="1"/>
  <c r="AL44" i="65" s="1"/>
  <c r="AB54" i="64" a="1"/>
  <c r="AB54" i="64" s="1"/>
  <c r="U44" i="65" s="1"/>
  <c r="AT54" i="64" a="1"/>
  <c r="AT54" i="64" s="1"/>
  <c r="AM44" i="65" s="1"/>
  <c r="AP54" i="64" a="1"/>
  <c r="AP54" i="64" s="1"/>
  <c r="AI44" i="65" s="1"/>
  <c r="BO54" i="64" a="1"/>
  <c r="BO54" i="64" s="1"/>
  <c r="BH44" i="65" s="1"/>
  <c r="N54" i="64" a="1"/>
  <c r="N54" i="64" s="1"/>
  <c r="G44" i="65" s="1"/>
  <c r="CC55" i="64" a="1"/>
  <c r="CC55" i="64" s="1"/>
  <c r="BV45" i="65" s="1"/>
  <c r="O55" i="64" a="1"/>
  <c r="O55" i="64" s="1"/>
  <c r="H45" i="65" s="1"/>
  <c r="CP55" i="64" a="1"/>
  <c r="CP55" i="64" s="1"/>
  <c r="CI45" i="65" s="1"/>
  <c r="BL55" i="64" a="1"/>
  <c r="BL55" i="64" s="1"/>
  <c r="BE45" i="65" s="1"/>
  <c r="AT55" i="64" a="1"/>
  <c r="AT55" i="64" s="1"/>
  <c r="AM45" i="65" s="1"/>
  <c r="P55" i="64" a="1"/>
  <c r="P55" i="64" s="1"/>
  <c r="I45" i="65" s="1"/>
  <c r="BJ55" i="64" a="1"/>
  <c r="BJ55" i="64" s="1"/>
  <c r="BC45" i="65" s="1"/>
  <c r="AF54" i="64" a="1"/>
  <c r="AF54" i="64" s="1"/>
  <c r="Y44" i="65" s="1"/>
  <c r="CM54" i="64" a="1"/>
  <c r="CM54" i="64" s="1"/>
  <c r="CF44" i="65" s="1"/>
  <c r="S54" i="64" a="1"/>
  <c r="S54" i="64" s="1"/>
  <c r="L44" i="65" s="1"/>
  <c r="BB54" i="64" a="1"/>
  <c r="BB54" i="64" s="1"/>
  <c r="AU44" i="65" s="1"/>
  <c r="BC54" i="64" a="1"/>
  <c r="BC54" i="64" s="1"/>
  <c r="AV44" i="65" s="1"/>
  <c r="AO54" i="64" a="1"/>
  <c r="AO54" i="64" s="1"/>
  <c r="AH44" i="65" s="1"/>
  <c r="BD54" i="64" a="1"/>
  <c r="BD54" i="64" s="1"/>
  <c r="AW44" i="65" s="1"/>
  <c r="CD54" i="64" a="1"/>
  <c r="CD54" i="64" s="1"/>
  <c r="BW44" i="65" s="1"/>
  <c r="CS54" i="64" a="1"/>
  <c r="CS54" i="64" s="1"/>
  <c r="CF55" i="64" a="1"/>
  <c r="CF55" i="64" s="1"/>
  <c r="BY45" i="65" s="1"/>
  <c r="AU55" i="64" a="1"/>
  <c r="AU55" i="64" s="1"/>
  <c r="AN45" i="65" s="1"/>
  <c r="BZ55" i="64" a="1"/>
  <c r="BZ55" i="64" s="1"/>
  <c r="BS45" i="65" s="1"/>
  <c r="AC55" i="64" a="1"/>
  <c r="AC55" i="64" s="1"/>
  <c r="V45" i="65" s="1"/>
  <c r="AG55" i="64" a="1"/>
  <c r="AG55" i="64" s="1"/>
  <c r="Z45" i="65" s="1"/>
  <c r="BT55" i="64" a="1"/>
  <c r="BT55" i="64" s="1"/>
  <c r="BM45" i="65" s="1"/>
  <c r="BI55" i="64" a="1"/>
  <c r="BI55" i="64" s="1"/>
  <c r="BB45" i="65" s="1"/>
  <c r="BK55" i="64" a="1"/>
  <c r="BK55" i="64" s="1"/>
  <c r="BD45" i="65" s="1"/>
  <c r="AJ55" i="64" a="1"/>
  <c r="AJ55" i="64" s="1"/>
  <c r="AC45" i="65" s="1"/>
  <c r="N55" i="64" a="1"/>
  <c r="N55" i="64" s="1"/>
  <c r="G45" i="65" s="1"/>
  <c r="BB55" i="64" a="1"/>
  <c r="BB55" i="64" s="1"/>
  <c r="AU45" i="65" s="1"/>
  <c r="T55" i="64" a="1"/>
  <c r="T55" i="64" s="1"/>
  <c r="M45" i="65" s="1"/>
  <c r="BU55" i="64" a="1"/>
  <c r="BU55" i="64" s="1"/>
  <c r="BN45" i="65" s="1"/>
  <c r="CI55" i="64" a="1"/>
  <c r="CI55" i="64" s="1"/>
  <c r="CB45" i="65" s="1"/>
  <c r="BN55" i="64" a="1"/>
  <c r="BN55" i="64" s="1"/>
  <c r="BG45" i="65" s="1"/>
  <c r="Z55" i="64" a="1"/>
  <c r="Z55" i="64" s="1"/>
  <c r="S45" i="65" s="1"/>
  <c r="BW55" i="64" a="1"/>
  <c r="BW55" i="64" s="1"/>
  <c r="BP45" i="65" s="1"/>
  <c r="CA55" i="64" a="1"/>
  <c r="CA55" i="64" s="1"/>
  <c r="BT45" i="65" s="1"/>
  <c r="CW54" i="64" a="1"/>
  <c r="CW54" i="64" s="1"/>
  <c r="BP54" i="64" a="1"/>
  <c r="BP54" i="64" s="1"/>
  <c r="BI44" i="65" s="1"/>
  <c r="BV54" i="64" a="1"/>
  <c r="BV54" i="64" s="1"/>
  <c r="BO44" i="65" s="1"/>
  <c r="CQ54" i="64" a="1"/>
  <c r="CQ54" i="64" s="1"/>
  <c r="BK54" i="64" a="1"/>
  <c r="BK54" i="64" s="1"/>
  <c r="BD44" i="65" s="1"/>
  <c r="AE54" i="64" a="1"/>
  <c r="AE54" i="64" s="1"/>
  <c r="X44" i="65" s="1"/>
  <c r="BR54" i="64" a="1"/>
  <c r="BR54" i="64" s="1"/>
  <c r="BK44" i="65" s="1"/>
  <c r="CG54" i="64" a="1"/>
  <c r="CG54" i="64" s="1"/>
  <c r="BZ44" i="65" s="1"/>
  <c r="BQ54" i="64" a="1"/>
  <c r="BQ54" i="64" s="1"/>
  <c r="BJ44" i="65" s="1"/>
  <c r="BA54" i="64" a="1"/>
  <c r="BA54" i="64" s="1"/>
  <c r="AT44" i="65" s="1"/>
  <c r="AK54" i="64" a="1"/>
  <c r="AK54" i="64" s="1"/>
  <c r="AD44" i="65" s="1"/>
  <c r="U54" i="64" a="1"/>
  <c r="U54" i="64" s="1"/>
  <c r="N44" i="65" s="1"/>
  <c r="AN54" i="64" a="1"/>
  <c r="AN54" i="64" s="1"/>
  <c r="AG44" i="65" s="1"/>
  <c r="CV54" i="64" a="1"/>
  <c r="CV54" i="64" s="1"/>
  <c r="CF54" i="64" a="1"/>
  <c r="CF54" i="64" s="1"/>
  <c r="BY44" i="65" s="1"/>
  <c r="Z54" i="64" a="1"/>
  <c r="Z54" i="64" s="1"/>
  <c r="S44" i="65" s="1"/>
  <c r="CA54" i="64" a="1"/>
  <c r="CA54" i="64" s="1"/>
  <c r="BT44" i="65" s="1"/>
  <c r="AU54" i="64" a="1"/>
  <c r="AU54" i="64" s="1"/>
  <c r="AN44" i="65" s="1"/>
  <c r="O44" i="65"/>
  <c r="AW54" i="64" a="1"/>
  <c r="AW54" i="64" s="1"/>
  <c r="AP44" i="65" s="1"/>
  <c r="BN54" i="64" a="1"/>
  <c r="BN54" i="64" s="1"/>
  <c r="BG44" i="65" s="1"/>
  <c r="AJ54" i="64" a="1"/>
  <c r="AJ54" i="64" s="1"/>
  <c r="AC44" i="65" s="1"/>
  <c r="BW54" i="64" a="1"/>
  <c r="BW54" i="64" s="1"/>
  <c r="BP44" i="65" s="1"/>
  <c r="CL54" i="64" a="1"/>
  <c r="CL54" i="64" s="1"/>
  <c r="CE44" i="65" s="1"/>
  <c r="CO54" i="64" a="1"/>
  <c r="CO54" i="64" s="1"/>
  <c r="CH44" i="65" s="1"/>
  <c r="AC54" i="64" a="1"/>
  <c r="AC54" i="64" s="1"/>
  <c r="V44" i="65" s="1"/>
  <c r="CN54" i="64" a="1"/>
  <c r="CN54" i="64" s="1"/>
  <c r="CG44" i="65" s="1"/>
  <c r="AX54" i="64" a="1"/>
  <c r="AX54" i="64" s="1"/>
  <c r="AQ44" i="65" s="1"/>
  <c r="AM54" i="64" a="1"/>
  <c r="AM54" i="64" s="1"/>
  <c r="AF44" i="65" s="1"/>
  <c r="CK54" i="64" a="1"/>
  <c r="CK54" i="64" s="1"/>
  <c r="CD44" i="65" s="1"/>
  <c r="Y54" i="64" a="1"/>
  <c r="Y54" i="64" s="1"/>
  <c r="R44" i="65" s="1"/>
  <c r="CZ54" i="64" a="1"/>
  <c r="CZ54" i="64" s="1"/>
  <c r="T54" i="64" a="1"/>
  <c r="T54" i="64" s="1"/>
  <c r="M44" i="65" s="1"/>
  <c r="AY54" i="64" a="1"/>
  <c r="AY54" i="64" s="1"/>
  <c r="AR44" i="65" s="1"/>
  <c r="AH54" i="64" a="1"/>
  <c r="AH54" i="64" s="1"/>
  <c r="AA44" i="65" s="1"/>
  <c r="CP54" i="64" a="1"/>
  <c r="CP54" i="64" s="1"/>
  <c r="CI44" i="65" s="1"/>
  <c r="CR54" i="64" a="1"/>
  <c r="CR54" i="64" s="1"/>
  <c r="DA54" i="64" a="1"/>
  <c r="DA54" i="64" s="1"/>
  <c r="AG54" i="64" a="1"/>
  <c r="AG54" i="64" s="1"/>
  <c r="Z44" i="65" s="1"/>
  <c r="Q54" i="64" a="1"/>
  <c r="Q54" i="64" s="1"/>
  <c r="J44" i="65" s="1"/>
  <c r="BJ54" i="64" a="1"/>
  <c r="BJ54" i="64" s="1"/>
  <c r="BC44" i="65" s="1"/>
  <c r="BG54" i="64" a="1"/>
  <c r="BG54" i="64" s="1"/>
  <c r="AZ44" i="65" s="1"/>
  <c r="BF54" i="64" a="1"/>
  <c r="BF54" i="64" s="1"/>
  <c r="AY44" i="65" s="1"/>
  <c r="BY54" i="64" a="1"/>
  <c r="BY54" i="64" s="1"/>
  <c r="BR44" i="65" s="1"/>
  <c r="AZ54" i="64" a="1"/>
  <c r="AZ54" i="64" s="1"/>
  <c r="AS44" i="65" s="1"/>
  <c r="BX54" i="64" a="1"/>
  <c r="BX54" i="64" s="1"/>
  <c r="BQ44" i="65" s="1"/>
  <c r="CI54" i="64" a="1"/>
  <c r="CI54" i="64" s="1"/>
  <c r="CB44" i="65" s="1"/>
  <c r="W54" i="64" a="1"/>
  <c r="W54" i="64" s="1"/>
  <c r="P44" i="65" s="1"/>
  <c r="BU54" i="64" a="1"/>
  <c r="BU54" i="64" s="1"/>
  <c r="BN44" i="65" s="1"/>
  <c r="AR54" i="64" a="1"/>
  <c r="AR54" i="64" s="1"/>
  <c r="AK44" i="65" s="1"/>
  <c r="CJ54" i="64" a="1"/>
  <c r="CJ54" i="64" s="1"/>
  <c r="CC44" i="65" s="1"/>
  <c r="AL54" i="64" a="1"/>
  <c r="AL54" i="64" s="1"/>
  <c r="AE44" i="65" s="1"/>
  <c r="AI54" i="64" a="1"/>
  <c r="AI54" i="64" s="1"/>
  <c r="AB44" i="65" s="1"/>
  <c r="BZ54" i="64" a="1"/>
  <c r="BZ54" i="64" s="1"/>
  <c r="BS44" i="65" s="1"/>
  <c r="CU54" i="64" a="1"/>
  <c r="CU54" i="64" s="1"/>
  <c r="CY54" i="64" a="1"/>
  <c r="CY54" i="64" s="1"/>
  <c r="DB54" i="64" a="1"/>
  <c r="DB54" i="64" s="1"/>
  <c r="K17" i="64"/>
  <c r="E7" i="65" s="1"/>
  <c r="K44" i="64"/>
  <c r="E34" i="65" s="1"/>
  <c r="K45" i="64"/>
  <c r="E35" i="65" s="1"/>
  <c r="K77" i="64"/>
  <c r="E67" i="65" s="1"/>
  <c r="K76" i="64"/>
  <c r="E66" i="65" s="1"/>
  <c r="L92" i="64"/>
  <c r="L44" i="64"/>
  <c r="L57" i="64"/>
  <c r="L55" i="64" s="1"/>
  <c r="L98" i="64"/>
  <c r="K98" i="64" s="1"/>
  <c r="E88" i="65" s="1"/>
  <c r="L99" i="64"/>
  <c r="K99" i="64" s="1"/>
  <c r="E89" i="65" s="1"/>
  <c r="L93" i="64"/>
  <c r="L77" i="64"/>
  <c r="L76" i="64"/>
  <c r="L56" i="64"/>
  <c r="L54" i="64" s="1"/>
  <c r="L45" i="64"/>
  <c r="L16" i="64"/>
  <c r="L17" i="64"/>
  <c r="L13" i="64" s="1"/>
  <c r="Q11" i="64"/>
  <c r="I1" i="65"/>
  <c r="F12" i="64"/>
  <c r="BS12" i="64" s="1" a="1"/>
  <c r="BS12" i="64" s="1"/>
  <c r="BL2" i="65" s="1"/>
  <c r="F13" i="64"/>
  <c r="AZ13" i="64" l="1" a="1"/>
  <c r="AZ13" i="64" s="1"/>
  <c r="AS3" i="65" s="1"/>
  <c r="K55" i="64"/>
  <c r="E45" i="65" s="1"/>
  <c r="C2" i="65"/>
  <c r="CE13" i="64" a="1"/>
  <c r="CE13" i="64" s="1"/>
  <c r="BX3" i="65" s="1"/>
  <c r="AY13" i="64" a="1"/>
  <c r="AY13" i="64" s="1"/>
  <c r="AR3" i="65" s="1"/>
  <c r="BR12" i="64" a="1"/>
  <c r="BR12" i="64" s="1"/>
  <c r="BK2" i="65" s="1"/>
  <c r="CB12" i="64" a="1"/>
  <c r="CB12" i="64" s="1"/>
  <c r="BU2" i="65" s="1"/>
  <c r="AJ12" i="64" a="1"/>
  <c r="AJ12" i="64" s="1"/>
  <c r="AC2" i="65" s="1"/>
  <c r="M12" i="64" a="1"/>
  <c r="M12" i="64" s="1"/>
  <c r="F2" i="65" s="1"/>
  <c r="M13" i="64" a="1"/>
  <c r="M13" i="64" s="1"/>
  <c r="F3" i="65" s="1"/>
  <c r="BD13" i="64" a="1"/>
  <c r="BD13" i="64" s="1"/>
  <c r="AW3" i="65" s="1"/>
  <c r="CM12" i="64" a="1"/>
  <c r="CM12" i="64" s="1"/>
  <c r="CF2" i="65" s="1"/>
  <c r="BW12" i="64" a="1"/>
  <c r="BW12" i="64" s="1"/>
  <c r="BP2" i="65" s="1"/>
  <c r="BG12" i="64" a="1"/>
  <c r="BG12" i="64" s="1"/>
  <c r="AZ2" i="65" s="1"/>
  <c r="AQ12" i="64" a="1"/>
  <c r="AQ12" i="64" s="1"/>
  <c r="AJ2" i="65" s="1"/>
  <c r="BO13" i="64" a="1"/>
  <c r="BO13" i="64" s="1"/>
  <c r="BH3" i="65" s="1"/>
  <c r="AI13" i="64" a="1"/>
  <c r="AI13" i="64" s="1"/>
  <c r="AB3" i="65" s="1"/>
  <c r="CH12" i="64" a="1"/>
  <c r="CH12" i="64" s="1"/>
  <c r="CA2" i="65" s="1"/>
  <c r="BB12" i="64" a="1"/>
  <c r="BB12" i="64" s="1"/>
  <c r="AU2" i="65" s="1"/>
  <c r="V12" i="64" a="1"/>
  <c r="V12" i="64" s="1"/>
  <c r="O2" i="65" s="1"/>
  <c r="AO13" i="64" a="1"/>
  <c r="AO13" i="64" s="1"/>
  <c r="AH3" i="65" s="1"/>
  <c r="AU13" i="64" a="1"/>
  <c r="AU13" i="64" s="1"/>
  <c r="AN3" i="65" s="1"/>
  <c r="Q12" i="64" a="1"/>
  <c r="Q12" i="64" s="1"/>
  <c r="J2" i="65" s="1"/>
  <c r="P13" i="64" a="1"/>
  <c r="P13" i="64" s="1"/>
  <c r="I3" i="65" s="1"/>
  <c r="BW13" i="64" a="1"/>
  <c r="BW13" i="64" s="1"/>
  <c r="BP3" i="65" s="1"/>
  <c r="CP12" i="64" a="1"/>
  <c r="CP12" i="64" s="1"/>
  <c r="CI2" i="65" s="1"/>
  <c r="AD12" i="64" a="1"/>
  <c r="AD12" i="64" s="1"/>
  <c r="W2" i="65" s="1"/>
  <c r="CL13" i="64" a="1"/>
  <c r="CL13" i="64" s="1"/>
  <c r="CE3" i="65" s="1"/>
  <c r="Z13" i="64" a="1"/>
  <c r="Z13" i="64" s="1"/>
  <c r="S3" i="65" s="1"/>
  <c r="AV12" i="64" a="1"/>
  <c r="AV12" i="64" s="1"/>
  <c r="AO2" i="65" s="1"/>
  <c r="AB12" i="64" a="1"/>
  <c r="AB12" i="64" s="1"/>
  <c r="U2" i="65" s="1"/>
  <c r="AA12" i="64" a="1"/>
  <c r="AA12" i="64" s="1"/>
  <c r="T2" i="65" s="1"/>
  <c r="Y12" i="64" a="1"/>
  <c r="Y12" i="64" s="1"/>
  <c r="R2" i="65" s="1"/>
  <c r="CN13" i="64" a="1"/>
  <c r="CN13" i="64" s="1"/>
  <c r="CG3" i="65" s="1"/>
  <c r="AB13" i="64" a="1"/>
  <c r="AB13" i="64" s="1"/>
  <c r="U3" i="65" s="1"/>
  <c r="AE12" i="64" a="1"/>
  <c r="AE12" i="64" s="1"/>
  <c r="X2" i="65" s="1"/>
  <c r="BS13" i="64" a="1"/>
  <c r="BS13" i="64" s="1"/>
  <c r="BL3" i="65" s="1"/>
  <c r="CL12" i="64" a="1"/>
  <c r="CL12" i="64" s="1"/>
  <c r="CE2" i="65" s="1"/>
  <c r="Z12" i="64" a="1"/>
  <c r="Z12" i="64" s="1"/>
  <c r="S2" i="65" s="1"/>
  <c r="CH13" i="64" a="1"/>
  <c r="CH13" i="64" s="1"/>
  <c r="CA3" i="65" s="1"/>
  <c r="R13" i="64" a="1"/>
  <c r="R13" i="64" s="1"/>
  <c r="K3" i="65" s="1"/>
  <c r="BP12" i="64" a="1"/>
  <c r="BP12" i="64" s="1"/>
  <c r="BI2" i="65" s="1"/>
  <c r="T12" i="64" a="1"/>
  <c r="T12" i="64" s="1"/>
  <c r="M2" i="65" s="1"/>
  <c r="BT13" i="64" a="1"/>
  <c r="BT13" i="64" s="1"/>
  <c r="BM3" i="65" s="1"/>
  <c r="AG12" i="64" a="1"/>
  <c r="AG12" i="64" s="1"/>
  <c r="Z2" i="65" s="1"/>
  <c r="CO12" i="64" a="1"/>
  <c r="CO12" i="64" s="1"/>
  <c r="CH2" i="65" s="1"/>
  <c r="AW13" i="64" a="1"/>
  <c r="AW13" i="64" s="1"/>
  <c r="AP3" i="65" s="1"/>
  <c r="CK12" i="64" a="1"/>
  <c r="CK12" i="64" s="1"/>
  <c r="CD2" i="65" s="1"/>
  <c r="BQ13" i="64" a="1"/>
  <c r="BQ13" i="64" s="1"/>
  <c r="BJ3" i="65" s="1"/>
  <c r="BC12" i="64" a="1"/>
  <c r="BC12" i="64" s="1"/>
  <c r="AV2" i="65" s="1"/>
  <c r="AX12" i="64" a="1"/>
  <c r="AX12" i="64" s="1"/>
  <c r="AQ2" i="65" s="1"/>
  <c r="AS13" i="64" a="1"/>
  <c r="AS13" i="64" s="1"/>
  <c r="AL3" i="65" s="1"/>
  <c r="BL13" i="64" a="1"/>
  <c r="BL13" i="64" s="1"/>
  <c r="BE3" i="65" s="1"/>
  <c r="S12" i="64" a="1"/>
  <c r="S12" i="64" s="1"/>
  <c r="L2" i="65" s="1"/>
  <c r="BG13" i="64" a="1"/>
  <c r="BG13" i="64" s="1"/>
  <c r="AZ3" i="65" s="1"/>
  <c r="BZ12" i="64" a="1"/>
  <c r="BZ12" i="64" s="1"/>
  <c r="BS2" i="65" s="1"/>
  <c r="N12" i="64" a="1"/>
  <c r="N12" i="64" s="1"/>
  <c r="G2" i="65" s="1"/>
  <c r="BV13" i="64" a="1"/>
  <c r="BV13" i="64" s="1"/>
  <c r="BO3" i="65" s="1"/>
  <c r="BE12" i="64" a="1"/>
  <c r="BE12" i="64" s="1"/>
  <c r="AX2" i="65" s="1"/>
  <c r="CF12" i="64" a="1"/>
  <c r="CF12" i="64" s="1"/>
  <c r="BY2" i="65" s="1"/>
  <c r="AZ12" i="64" a="1"/>
  <c r="AZ12" i="64" s="1"/>
  <c r="AS2" i="65" s="1"/>
  <c r="S13" i="64" a="1"/>
  <c r="S13" i="64" s="1"/>
  <c r="L3" i="65" s="1"/>
  <c r="BN13" i="64" a="1"/>
  <c r="BN13" i="64" s="1"/>
  <c r="BG3" i="65" s="1"/>
  <c r="BX13" i="64" a="1"/>
  <c r="BX13" i="64" s="1"/>
  <c r="BQ3" i="65" s="1"/>
  <c r="CA12" i="64" a="1"/>
  <c r="CA12" i="64" s="1"/>
  <c r="BT2" i="65" s="1"/>
  <c r="O12" i="64" a="1"/>
  <c r="O12" i="64" s="1"/>
  <c r="H2" i="65" s="1"/>
  <c r="BC13" i="64" a="1"/>
  <c r="BC13" i="64" s="1"/>
  <c r="AV3" i="65" s="1"/>
  <c r="BV12" i="64" a="1"/>
  <c r="BV12" i="64" s="1"/>
  <c r="BO2" i="65" s="1"/>
  <c r="V13" i="64" a="1"/>
  <c r="V13" i="64" s="1"/>
  <c r="O3" i="65" s="1"/>
  <c r="BR13" i="64" a="1"/>
  <c r="BR13" i="64" s="1"/>
  <c r="BK3" i="65" s="1"/>
  <c r="AS12" i="64" a="1"/>
  <c r="AS12" i="64" s="1"/>
  <c r="AL2" i="65" s="1"/>
  <c r="BE13" i="64" a="1"/>
  <c r="BE13" i="64" s="1"/>
  <c r="AX3" i="65" s="1"/>
  <c r="AK13" i="64" a="1"/>
  <c r="AK13" i="64" s="1"/>
  <c r="AD3" i="65" s="1"/>
  <c r="AN13" i="64" a="1"/>
  <c r="AN13" i="64" s="1"/>
  <c r="AG3" i="65" s="1"/>
  <c r="BU12" i="64" a="1"/>
  <c r="BU12" i="64" s="1"/>
  <c r="BN2" i="65" s="1"/>
  <c r="BI13" i="64" a="1"/>
  <c r="BI13" i="64" s="1"/>
  <c r="BB3" i="65" s="1"/>
  <c r="CG13" i="64" a="1"/>
  <c r="CG13" i="64" s="1"/>
  <c r="BZ3" i="65" s="1"/>
  <c r="BN12" i="64" a="1"/>
  <c r="BN12" i="64" s="1"/>
  <c r="BG2" i="65" s="1"/>
  <c r="CK13" i="64" a="1"/>
  <c r="CK13" i="64" s="1"/>
  <c r="CD3" i="65" s="1"/>
  <c r="AI12" i="64" a="1"/>
  <c r="AI12" i="64" s="1"/>
  <c r="AB2" i="65" s="1"/>
  <c r="U12" i="64" a="1"/>
  <c r="U12" i="64" s="1"/>
  <c r="N2" i="65" s="1"/>
  <c r="BI12" i="64" a="1"/>
  <c r="BI12" i="64" s="1"/>
  <c r="BB2" i="65" s="1"/>
  <c r="Y13" i="64" a="1"/>
  <c r="Y13" i="64" s="1"/>
  <c r="R3" i="65" s="1"/>
  <c r="CE12" i="64" a="1"/>
  <c r="CE12" i="64" s="1"/>
  <c r="BX2" i="65" s="1"/>
  <c r="CF13" i="64" a="1"/>
  <c r="CF13" i="64" s="1"/>
  <c r="BY3" i="65" s="1"/>
  <c r="T13" i="64" a="1"/>
  <c r="T13" i="64" s="1"/>
  <c r="M3" i="65" s="1"/>
  <c r="AM12" i="64" a="1"/>
  <c r="AM12" i="64" s="1"/>
  <c r="AF2" i="65" s="1"/>
  <c r="CA13" i="64" a="1"/>
  <c r="CA13" i="64" s="1"/>
  <c r="BT3" i="65" s="1"/>
  <c r="O13" i="64" a="1"/>
  <c r="O13" i="64" s="1"/>
  <c r="H3" i="65" s="1"/>
  <c r="AH12" i="64" a="1"/>
  <c r="AH12" i="64" s="1"/>
  <c r="AA2" i="65" s="1"/>
  <c r="CP13" i="64" a="1"/>
  <c r="CP13" i="64" s="1"/>
  <c r="CI3" i="65" s="1"/>
  <c r="AD13" i="64" a="1"/>
  <c r="AD13" i="64" s="1"/>
  <c r="W3" i="65" s="1"/>
  <c r="BL12" i="64" a="1"/>
  <c r="BL12" i="64" s="1"/>
  <c r="BE2" i="65" s="1"/>
  <c r="AR12" i="64" a="1"/>
  <c r="AR12" i="64" s="1"/>
  <c r="AK2" i="65" s="1"/>
  <c r="BM13" i="64" a="1"/>
  <c r="BM13" i="64" s="1"/>
  <c r="BF3" i="65" s="1"/>
  <c r="AV13" i="64" a="1"/>
  <c r="AV13" i="64" s="1"/>
  <c r="AO3" i="65" s="1"/>
  <c r="BO12" i="64" a="1"/>
  <c r="BO12" i="64" s="1"/>
  <c r="BH2" i="65" s="1"/>
  <c r="BA12" i="64" a="1"/>
  <c r="BA12" i="64" s="1"/>
  <c r="AT2" i="65" s="1"/>
  <c r="AQ13" i="64" a="1"/>
  <c r="AQ13" i="64" s="1"/>
  <c r="AJ3" i="65" s="1"/>
  <c r="BJ12" i="64" a="1"/>
  <c r="BJ12" i="64" s="1"/>
  <c r="BC2" i="65" s="1"/>
  <c r="CG12" i="64" a="1"/>
  <c r="CG12" i="64" s="1"/>
  <c r="BZ2" i="65" s="1"/>
  <c r="BF13" i="64" a="1"/>
  <c r="BF13" i="64" s="1"/>
  <c r="AY3" i="65" s="1"/>
  <c r="CO13" i="64" a="1"/>
  <c r="CO13" i="64" s="1"/>
  <c r="CH3" i="65" s="1"/>
  <c r="BU13" i="64" a="1"/>
  <c r="BU13" i="64" s="1"/>
  <c r="BN3" i="65" s="1"/>
  <c r="BA13" i="64" a="1"/>
  <c r="BA13" i="64" s="1"/>
  <c r="AT3" i="65" s="1"/>
  <c r="AL12" i="64" a="1"/>
  <c r="AL12" i="64" s="1"/>
  <c r="AE2" i="65" s="1"/>
  <c r="AH13" i="64" a="1"/>
  <c r="AH13" i="64" s="1"/>
  <c r="AA3" i="65" s="1"/>
  <c r="BH13" i="64" a="1"/>
  <c r="BH13" i="64" s="1"/>
  <c r="BA3" i="65" s="1"/>
  <c r="BK12" i="64" a="1"/>
  <c r="BK12" i="64" s="1"/>
  <c r="BD2" i="65" s="1"/>
  <c r="AO12" i="64" a="1"/>
  <c r="AO12" i="64" s="1"/>
  <c r="AH2" i="65" s="1"/>
  <c r="AM13" i="64" a="1"/>
  <c r="AM13" i="64" s="1"/>
  <c r="AF3" i="65" s="1"/>
  <c r="BF12" i="64" a="1"/>
  <c r="BF12" i="64" s="1"/>
  <c r="AY2" i="65" s="1"/>
  <c r="CC12" i="64" a="1"/>
  <c r="CC12" i="64" s="1"/>
  <c r="BV2" i="65" s="1"/>
  <c r="BB13" i="64" a="1"/>
  <c r="BB13" i="64" s="1"/>
  <c r="AU3" i="65" s="1"/>
  <c r="BY13" i="64" a="1"/>
  <c r="BY13" i="64" s="1"/>
  <c r="BR3" i="65" s="1"/>
  <c r="BX12" i="64" a="1"/>
  <c r="BX12" i="64" s="1"/>
  <c r="BQ2" i="65" s="1"/>
  <c r="BD12" i="64" a="1"/>
  <c r="BD12" i="64" s="1"/>
  <c r="AW2" i="65" s="1"/>
  <c r="X13" i="64" a="1"/>
  <c r="X13" i="64" s="1"/>
  <c r="Q3" i="65" s="1"/>
  <c r="CD13" i="64" a="1"/>
  <c r="CD13" i="64" s="1"/>
  <c r="BW3" i="65" s="1"/>
  <c r="P12" i="64" a="1"/>
  <c r="P12" i="64" s="1"/>
  <c r="I2" i="65" s="1"/>
  <c r="U13" i="64" a="1"/>
  <c r="U13" i="64" s="1"/>
  <c r="N3" i="65" s="1"/>
  <c r="BM12" i="64" a="1"/>
  <c r="BM12" i="64" s="1"/>
  <c r="BF2" i="65" s="1"/>
  <c r="BJ13" i="64" a="1"/>
  <c r="BJ13" i="64" s="1"/>
  <c r="BC3" i="65" s="1"/>
  <c r="CB13" i="64" a="1"/>
  <c r="CB13" i="64" s="1"/>
  <c r="BU3" i="65" s="1"/>
  <c r="AJ13" i="64" a="1"/>
  <c r="AJ13" i="64" s="1"/>
  <c r="AC3" i="65" s="1"/>
  <c r="AE13" i="64" a="1"/>
  <c r="AE13" i="64" s="1"/>
  <c r="X3" i="65" s="1"/>
  <c r="AT13" i="64" a="1"/>
  <c r="AT13" i="64" s="1"/>
  <c r="AM3" i="65" s="1"/>
  <c r="CJ12" i="64" a="1"/>
  <c r="CJ12" i="64" s="1"/>
  <c r="CC2" i="65" s="1"/>
  <c r="C3" i="65"/>
  <c r="BP13" i="64" a="1"/>
  <c r="BP13" i="64" s="1"/>
  <c r="BI3" i="65" s="1"/>
  <c r="CI12" i="64" a="1"/>
  <c r="CI12" i="64" s="1"/>
  <c r="CB2" i="65" s="1"/>
  <c r="W12" i="64" a="1"/>
  <c r="W12" i="64" s="1"/>
  <c r="P2" i="65" s="1"/>
  <c r="BK13" i="64" a="1"/>
  <c r="BK13" i="64" s="1"/>
  <c r="BD3" i="65" s="1"/>
  <c r="CD12" i="64" a="1"/>
  <c r="CD12" i="64" s="1"/>
  <c r="BW2" i="65" s="1"/>
  <c r="R12" i="64" a="1"/>
  <c r="R12" i="64" s="1"/>
  <c r="K2" i="65" s="1"/>
  <c r="BZ13" i="64" a="1"/>
  <c r="BZ13" i="64" s="1"/>
  <c r="BS3" i="65" s="1"/>
  <c r="BQ12" i="64" a="1"/>
  <c r="BQ12" i="64" s="1"/>
  <c r="BJ2" i="65" s="1"/>
  <c r="CC13" i="64" a="1"/>
  <c r="CC13" i="64" s="1"/>
  <c r="BV3" i="65" s="1"/>
  <c r="Q13" i="64" a="1"/>
  <c r="Q13" i="64" s="1"/>
  <c r="J3" i="65" s="1"/>
  <c r="AG13" i="64" a="1"/>
  <c r="AG13" i="64" s="1"/>
  <c r="Z3" i="65" s="1"/>
  <c r="AF13" i="64" a="1"/>
  <c r="AF13" i="64" s="1"/>
  <c r="Y3" i="65" s="1"/>
  <c r="AY12" i="64" a="1"/>
  <c r="AY12" i="64" s="1"/>
  <c r="AR2" i="65" s="1"/>
  <c r="CM13" i="64" a="1"/>
  <c r="CM13" i="64" s="1"/>
  <c r="CF3" i="65" s="1"/>
  <c r="AA13" i="64" a="1"/>
  <c r="AA13" i="64" s="1"/>
  <c r="T3" i="65" s="1"/>
  <c r="AT12" i="64" a="1"/>
  <c r="AT12" i="64" s="1"/>
  <c r="AM2" i="65" s="1"/>
  <c r="AW12" i="64" a="1"/>
  <c r="AW12" i="64" s="1"/>
  <c r="AP2" i="65" s="1"/>
  <c r="AP13" i="64" a="1"/>
  <c r="AP13" i="64" s="1"/>
  <c r="AI3" i="65" s="1"/>
  <c r="AC13" i="64" a="1"/>
  <c r="AC13" i="64" s="1"/>
  <c r="V3" i="65" s="1"/>
  <c r="CN12" i="64" a="1"/>
  <c r="CN12" i="64" s="1"/>
  <c r="CG2" i="65" s="1"/>
  <c r="BT12" i="64" a="1"/>
  <c r="BT12" i="64" s="1"/>
  <c r="BM2" i="65" s="1"/>
  <c r="N13" i="64" a="1"/>
  <c r="N13" i="64" s="1"/>
  <c r="G3" i="65" s="1"/>
  <c r="AC12" i="64" a="1"/>
  <c r="AC12" i="64" s="1"/>
  <c r="V2" i="65" s="1"/>
  <c r="AR13" i="64" a="1"/>
  <c r="AR13" i="64" s="1"/>
  <c r="AK3" i="65" s="1"/>
  <c r="AU12" i="64" a="1"/>
  <c r="AU12" i="64" s="1"/>
  <c r="AN2" i="65" s="1"/>
  <c r="CI13" i="64" a="1"/>
  <c r="CI13" i="64" s="1"/>
  <c r="CB3" i="65" s="1"/>
  <c r="W13" i="64" a="1"/>
  <c r="W13" i="64" s="1"/>
  <c r="P3" i="65" s="1"/>
  <c r="AP12" i="64" a="1"/>
  <c r="AP12" i="64" s="1"/>
  <c r="AI2" i="65" s="1"/>
  <c r="AK12" i="64" a="1"/>
  <c r="AK12" i="64" s="1"/>
  <c r="AD2" i="65" s="1"/>
  <c r="AL13" i="64" a="1"/>
  <c r="AL13" i="64" s="1"/>
  <c r="AE3" i="65" s="1"/>
  <c r="AF12" i="64" a="1"/>
  <c r="AF12" i="64" s="1"/>
  <c r="Y2" i="65" s="1"/>
  <c r="AN12" i="64" a="1"/>
  <c r="AN12" i="64" s="1"/>
  <c r="AG2" i="65" s="1"/>
  <c r="CJ13" i="64" a="1"/>
  <c r="CJ13" i="64" s="1"/>
  <c r="CC3" i="65" s="1"/>
  <c r="BY12" i="64" a="1"/>
  <c r="BY12" i="64" s="1"/>
  <c r="BR2" i="65" s="1"/>
  <c r="AX13" i="64" a="1"/>
  <c r="AX13" i="64" s="1"/>
  <c r="AQ3" i="65" s="1"/>
  <c r="BH12" i="64" a="1"/>
  <c r="BH12" i="64" s="1"/>
  <c r="BA2" i="65" s="1"/>
  <c r="X12" i="64" a="1"/>
  <c r="X12" i="64" s="1"/>
  <c r="Q2" i="65" s="1"/>
  <c r="CO108" i="64" a="1"/>
  <c r="CO108" i="64" s="1"/>
  <c r="P108" i="64" a="1"/>
  <c r="P108" i="64" s="1"/>
  <c r="K54" i="64"/>
  <c r="E44" i="65" s="1"/>
  <c r="T113" i="64" a="1"/>
  <c r="T113" i="64" s="1"/>
  <c r="CN108" i="64" a="1"/>
  <c r="CN108" i="64" s="1"/>
  <c r="CP108" i="64" a="1"/>
  <c r="CP108" i="64" s="1"/>
  <c r="R11" i="64"/>
  <c r="J1" i="65"/>
  <c r="S113" i="64" l="1" a="1"/>
  <c r="S113" i="64" s="1"/>
  <c r="S108" i="64" a="1"/>
  <c r="S108" i="64" s="1"/>
  <c r="Q113" i="64" a="1"/>
  <c r="Q113" i="64" s="1"/>
  <c r="T108" i="64" a="1"/>
  <c r="T108" i="64" s="1"/>
  <c r="Q108" i="64" a="1"/>
  <c r="Q108" i="64" s="1"/>
  <c r="CM108" i="64" a="1"/>
  <c r="CM108" i="64" s="1"/>
  <c r="P113" i="64" a="1"/>
  <c r="P113" i="64" s="1"/>
  <c r="N108" i="64" a="1"/>
  <c r="N108" i="64" s="1"/>
  <c r="CK108" i="64" a="1"/>
  <c r="CK108" i="64" s="1"/>
  <c r="CJ108" i="64" a="1"/>
  <c r="CJ108" i="64" s="1"/>
  <c r="CI108" i="64" a="1"/>
  <c r="CI108" i="64" s="1"/>
  <c r="CL108" i="64" a="1"/>
  <c r="CL108" i="64" s="1"/>
  <c r="CE108" i="64" a="1"/>
  <c r="CE108" i="64" s="1"/>
  <c r="CH108" i="64" a="1"/>
  <c r="CH108" i="64" s="1"/>
  <c r="CF108" i="64" a="1"/>
  <c r="CF108" i="64" s="1"/>
  <c r="CD108" i="64" a="1"/>
  <c r="CD108" i="64" s="1"/>
  <c r="CB108" i="64" a="1"/>
  <c r="CB108" i="64" s="1"/>
  <c r="BZ108" i="64" a="1"/>
  <c r="BZ108" i="64" s="1"/>
  <c r="BT108" i="64" a="1"/>
  <c r="BT108" i="64" s="1"/>
  <c r="BV108" i="64" a="1"/>
  <c r="BV108" i="64" s="1"/>
  <c r="BX108" i="64" a="1"/>
  <c r="BX108" i="64" s="1"/>
  <c r="BY108" i="64" a="1"/>
  <c r="BY108" i="64" s="1"/>
  <c r="BR108" i="64" a="1"/>
  <c r="BR108" i="64" s="1"/>
  <c r="BG108" i="64" a="1"/>
  <c r="BG108" i="64" s="1"/>
  <c r="AJ108" i="64" a="1"/>
  <c r="AJ108" i="64" s="1"/>
  <c r="BM108" i="64" a="1"/>
  <c r="BM108" i="64" s="1"/>
  <c r="BF108" i="64" a="1"/>
  <c r="BF108" i="64" s="1"/>
  <c r="BN108" i="64" a="1"/>
  <c r="BN108" i="64" s="1"/>
  <c r="BI108" i="64" a="1"/>
  <c r="BI108" i="64" s="1"/>
  <c r="BW108" i="64" a="1"/>
  <c r="BW108" i="64" s="1"/>
  <c r="BS108" i="64" a="1"/>
  <c r="BS108" i="64" s="1"/>
  <c r="BH108" i="64" a="1"/>
  <c r="BH108" i="64" s="1"/>
  <c r="BK108" i="64" a="1"/>
  <c r="BK108" i="64" s="1"/>
  <c r="BU108" i="64" a="1"/>
  <c r="BU108" i="64" s="1"/>
  <c r="BJ108" i="64" a="1"/>
  <c r="BJ108" i="64" s="1"/>
  <c r="BL108" i="64" a="1"/>
  <c r="BL108" i="64" s="1"/>
  <c r="BP108" i="64" a="1"/>
  <c r="BP108" i="64" s="1"/>
  <c r="BE108" i="64" a="1"/>
  <c r="BE108" i="64" s="1"/>
  <c r="AH113" i="64" a="1"/>
  <c r="AH113" i="64" s="1"/>
  <c r="BD108" i="64" a="1"/>
  <c r="BD108" i="64" s="1"/>
  <c r="AX108" i="64" a="1"/>
  <c r="AX108" i="64" s="1"/>
  <c r="BC108" i="64" a="1"/>
  <c r="BC108" i="64" s="1"/>
  <c r="BB108" i="64" a="1"/>
  <c r="BB108" i="64" s="1"/>
  <c r="AW108" i="64" a="1"/>
  <c r="AW108" i="64" s="1"/>
  <c r="AV108" i="64" a="1"/>
  <c r="AV108" i="64" s="1"/>
  <c r="AH108" i="64" a="1"/>
  <c r="AH108" i="64" s="1"/>
  <c r="AB108" i="64" a="1"/>
  <c r="AB108" i="64" s="1"/>
  <c r="X108" i="64" a="1"/>
  <c r="X108" i="64" s="1"/>
  <c r="R113" i="64" a="1"/>
  <c r="R113" i="64" s="1"/>
  <c r="AB113" i="64" a="1"/>
  <c r="AB113" i="64" s="1"/>
  <c r="AE113" i="64" a="1"/>
  <c r="AE113" i="64" s="1"/>
  <c r="Z113" i="64" a="1"/>
  <c r="Z113" i="64" s="1"/>
  <c r="Y113" i="64" a="1"/>
  <c r="Y113" i="64" s="1"/>
  <c r="AU108" i="64" a="1"/>
  <c r="AU108" i="64" s="1"/>
  <c r="AM108" i="64" a="1"/>
  <c r="AM108" i="64" s="1"/>
  <c r="W108" i="64" a="1"/>
  <c r="W108" i="64" s="1"/>
  <c r="AC113" i="64" a="1"/>
  <c r="AC113" i="64" s="1"/>
  <c r="AA108" i="64" a="1"/>
  <c r="AA108" i="64" s="1"/>
  <c r="AL108" i="64" a="1"/>
  <c r="AL108" i="64" s="1"/>
  <c r="AL113" i="64" a="1"/>
  <c r="AL113" i="64" s="1"/>
  <c r="AS108" i="64" a="1"/>
  <c r="AS108" i="64" s="1"/>
  <c r="AQ108" i="64" a="1"/>
  <c r="AQ108" i="64" s="1"/>
  <c r="AA113" i="64" a="1"/>
  <c r="AA113" i="64" s="1"/>
  <c r="AF108" i="64" a="1"/>
  <c r="AF108" i="64" s="1"/>
  <c r="AC108" i="64" a="1"/>
  <c r="AC108" i="64" s="1"/>
  <c r="AD108" i="64" a="1"/>
  <c r="AD108" i="64" s="1"/>
  <c r="AE108" i="64" a="1"/>
  <c r="AE108" i="64" s="1"/>
  <c r="W113" i="64" a="1"/>
  <c r="W113" i="64" s="1"/>
  <c r="AD113" i="64" a="1"/>
  <c r="AD113" i="64" s="1"/>
  <c r="K12" i="64"/>
  <c r="E2" i="65" s="1"/>
  <c r="AN108" i="64" a="1"/>
  <c r="AN108" i="64" s="1"/>
  <c r="Y108" i="64" a="1"/>
  <c r="Y108" i="64" s="1"/>
  <c r="R108" i="64" a="1"/>
  <c r="R108" i="64" s="1"/>
  <c r="CG108" i="64" a="1"/>
  <c r="CG108" i="64" s="1"/>
  <c r="AY108" i="64" a="1"/>
  <c r="AY108" i="64" s="1"/>
  <c r="U113" i="64" a="1"/>
  <c r="U113" i="64" s="1"/>
  <c r="O113" i="64" a="1"/>
  <c r="O113" i="64" s="1"/>
  <c r="AI113" i="64" a="1"/>
  <c r="AI113" i="64" s="1"/>
  <c r="BO108" i="64" a="1"/>
  <c r="BO108" i="64" s="1"/>
  <c r="AI108" i="64" a="1"/>
  <c r="AI108" i="64" s="1"/>
  <c r="BQ108" i="64" a="1"/>
  <c r="BQ108" i="64" s="1"/>
  <c r="CA108" i="64" a="1"/>
  <c r="CA108" i="64" s="1"/>
  <c r="AK113" i="64" a="1"/>
  <c r="AK113" i="64" s="1"/>
  <c r="AK108" i="64" a="1"/>
  <c r="AK108" i="64" s="1"/>
  <c r="U108" i="64" a="1"/>
  <c r="U108" i="64" s="1"/>
  <c r="V113" i="64" a="1"/>
  <c r="V113" i="64" s="1"/>
  <c r="AJ113" i="64" a="1"/>
  <c r="AJ113" i="64" s="1"/>
  <c r="Z108" i="64" a="1"/>
  <c r="Z108" i="64" s="1"/>
  <c r="AR108" i="64" a="1"/>
  <c r="AR108" i="64" s="1"/>
  <c r="BA108" i="64" a="1"/>
  <c r="BA108" i="64" s="1"/>
  <c r="AO108" i="64" a="1"/>
  <c r="AO108" i="64" s="1"/>
  <c r="X113" i="64" a="1"/>
  <c r="X113" i="64" s="1"/>
  <c r="V108" i="64" a="1"/>
  <c r="V108" i="64" s="1"/>
  <c r="AT108" i="64" a="1"/>
  <c r="AT108" i="64" s="1"/>
  <c r="AG113" i="64" a="1"/>
  <c r="AG113" i="64" s="1"/>
  <c r="O108" i="64" a="1"/>
  <c r="O108" i="64" s="1"/>
  <c r="AP108" i="64" a="1"/>
  <c r="AP108" i="64" s="1"/>
  <c r="AF113" i="64" a="1"/>
  <c r="AF113" i="64" s="1"/>
  <c r="AZ108" i="64" a="1"/>
  <c r="AZ108" i="64" s="1"/>
  <c r="AG108" i="64" a="1"/>
  <c r="AG108" i="64" s="1"/>
  <c r="N113" i="64" a="1"/>
  <c r="N113" i="64" s="1"/>
  <c r="CC108" i="64" a="1"/>
  <c r="CC108" i="64" s="1"/>
  <c r="S11" i="64"/>
  <c r="K1" i="65"/>
  <c r="DB108" i="64"/>
  <c r="CV108" i="64"/>
  <c r="DA108" i="64"/>
  <c r="CU108" i="64"/>
  <c r="CZ108" i="64"/>
  <c r="CT108" i="64"/>
  <c r="CY108" i="64"/>
  <c r="CS108" i="64"/>
  <c r="CX108" i="64"/>
  <c r="CR108" i="64"/>
  <c r="CW108" i="64"/>
  <c r="CQ108" i="64"/>
  <c r="CY110" i="64" l="1"/>
  <c r="T11" i="64"/>
  <c r="L1" i="65"/>
  <c r="CD110" i="64"/>
  <c r="CQ110" i="64"/>
  <c r="CM110" i="64"/>
  <c r="AU110" i="64"/>
  <c r="AH110" i="64"/>
  <c r="Y110" i="64"/>
  <c r="BD110" i="64"/>
  <c r="CH110" i="64"/>
  <c r="BZ110" i="64"/>
  <c r="AM110" i="64"/>
  <c r="BH110" i="64"/>
  <c r="CU110" i="64"/>
  <c r="Q110" i="64"/>
  <c r="AD110" i="64"/>
  <c r="BQ110" i="64"/>
  <c r="AZ110" i="64"/>
  <c r="BU110" i="64"/>
  <c r="AQ110" i="64"/>
  <c r="U110" i="64"/>
  <c r="BM110" i="64"/>
  <c r="U11" i="64" l="1"/>
  <c r="M1" i="65"/>
  <c r="V11" i="64" l="1"/>
  <c r="N1" i="65"/>
  <c r="W11" i="64" l="1"/>
  <c r="O1" i="65"/>
  <c r="X11" i="64" l="1"/>
  <c r="P1" i="65"/>
  <c r="Y11" i="64" l="1"/>
  <c r="Q1" i="65"/>
  <c r="Z11" i="64" l="1"/>
  <c r="R1" i="65"/>
  <c r="AA11" i="64" l="1"/>
  <c r="S1" i="65"/>
  <c r="AB11" i="64" l="1"/>
  <c r="T1" i="65"/>
  <c r="AC11" i="64" l="1"/>
  <c r="U1" i="65"/>
  <c r="AD11" i="64" l="1"/>
  <c r="V1" i="65"/>
  <c r="AE11" i="64" l="1"/>
  <c r="W1" i="65"/>
  <c r="AF11" i="64" l="1"/>
  <c r="X1" i="65"/>
  <c r="AG11" i="64" l="1"/>
  <c r="Y1" i="65"/>
  <c r="AH11" i="64" l="1"/>
  <c r="Z1" i="65"/>
  <c r="AI11" i="64" l="1"/>
  <c r="AA1" i="65"/>
  <c r="AJ11" i="64" l="1"/>
  <c r="AB1" i="65"/>
  <c r="AK11" i="64" l="1"/>
  <c r="AC1" i="65"/>
  <c r="AL11" i="64" l="1"/>
  <c r="AD1" i="65"/>
  <c r="AM11" i="64" l="1"/>
  <c r="AE1" i="65"/>
  <c r="AN11" i="64" l="1"/>
  <c r="AF1" i="65"/>
  <c r="AO11" i="64" l="1"/>
  <c r="AG1" i="65"/>
  <c r="AP11" i="64" l="1"/>
  <c r="AH1" i="65"/>
  <c r="AQ11" i="64" l="1"/>
  <c r="AI1" i="65"/>
  <c r="AR11" i="64" l="1"/>
  <c r="AJ1" i="65"/>
  <c r="AS11" i="64" l="1"/>
  <c r="AK1" i="65"/>
  <c r="AT11" i="64" l="1"/>
  <c r="AL1" i="65"/>
  <c r="AU11" i="64" l="1"/>
  <c r="AM1" i="65"/>
  <c r="AV11" i="64" l="1"/>
  <c r="AN1" i="65"/>
  <c r="AW11" i="64" l="1"/>
  <c r="AO1" i="65"/>
  <c r="AX11" i="64" l="1"/>
  <c r="AP1" i="65"/>
  <c r="AY11" i="64" l="1"/>
  <c r="AQ1" i="65"/>
  <c r="AZ11" i="64" l="1"/>
  <c r="AR1" i="65"/>
  <c r="BA11" i="64" l="1"/>
  <c r="AS1" i="65"/>
  <c r="BB11" i="64" l="1"/>
  <c r="AT1" i="65"/>
  <c r="BC11" i="64" l="1"/>
  <c r="AU1" i="65"/>
  <c r="BD11" i="64" l="1"/>
  <c r="AV1" i="65"/>
  <c r="BE11" i="64" l="1"/>
  <c r="AW1" i="65"/>
  <c r="BF11" i="64" l="1"/>
  <c r="AX1" i="65"/>
  <c r="BG11" i="64" l="1"/>
  <c r="AY1" i="65"/>
  <c r="BH11" i="64" l="1"/>
  <c r="AZ1" i="65"/>
  <c r="BI11" i="64" l="1"/>
  <c r="BA1" i="65"/>
  <c r="BJ11" i="64" l="1"/>
  <c r="BB1" i="65"/>
  <c r="BK11" i="64" l="1"/>
  <c r="BC1" i="65"/>
  <c r="BL11" i="64" l="1"/>
  <c r="BD1" i="65"/>
  <c r="BM11" i="64" l="1"/>
  <c r="BE1" i="65"/>
  <c r="BN11" i="64" l="1"/>
  <c r="BF1" i="65"/>
  <c r="BO11" i="64" l="1"/>
  <c r="BG1" i="65"/>
  <c r="BP11" i="64" l="1"/>
  <c r="BH1" i="65"/>
  <c r="BQ11" i="64" l="1"/>
  <c r="BI1" i="65"/>
  <c r="BR11" i="64" l="1"/>
  <c r="BJ1" i="65"/>
  <c r="BS11" i="64" l="1"/>
  <c r="BK1" i="65"/>
  <c r="BT11" i="64" l="1"/>
  <c r="BL1" i="65"/>
  <c r="BU11" i="64" l="1"/>
  <c r="BM1" i="65"/>
  <c r="BV11" i="64" l="1"/>
  <c r="BN1" i="65"/>
  <c r="BW11" i="64" l="1"/>
  <c r="BO1" i="65"/>
  <c r="BX11" i="64" l="1"/>
  <c r="BP1" i="65"/>
  <c r="BY11" i="64" l="1"/>
  <c r="BQ1" i="65"/>
  <c r="BZ11" i="64" l="1"/>
  <c r="BR1" i="65"/>
  <c r="CA11" i="64" l="1"/>
  <c r="BS1" i="65"/>
  <c r="CB11" i="64" l="1"/>
  <c r="BT1" i="65"/>
  <c r="CC11" i="64" l="1"/>
  <c r="BU1" i="65"/>
  <c r="CD11" i="64" l="1"/>
  <c r="BV1" i="65"/>
  <c r="CE11" i="64" l="1"/>
  <c r="BW1" i="65"/>
  <c r="CF11" i="64" l="1"/>
  <c r="BX1" i="65"/>
  <c r="CG11" i="64" l="1"/>
  <c r="BY1" i="65"/>
  <c r="CH11" i="64" l="1"/>
  <c r="BZ1" i="65"/>
  <c r="CI11" i="64" l="1"/>
  <c r="CA1" i="65"/>
  <c r="CJ11" i="64" l="1"/>
  <c r="CB1" i="65"/>
  <c r="CK11" i="64" l="1"/>
  <c r="CC1" i="65"/>
  <c r="CL11" i="64" l="1"/>
  <c r="CD1" i="65"/>
  <c r="CM11" i="64" l="1"/>
  <c r="CE1" i="65"/>
  <c r="CN11" i="64" l="1"/>
  <c r="CF1" i="65"/>
  <c r="CO11" i="64" l="1"/>
  <c r="CG1" i="65"/>
  <c r="CQ11" i="64" l="1"/>
  <c r="CR11" i="64" s="1"/>
  <c r="CS11" i="64" s="1"/>
  <c r="CT11" i="64" s="1"/>
  <c r="CU11" i="64" s="1"/>
  <c r="CV11" i="64" s="1"/>
  <c r="CW11" i="64" s="1"/>
  <c r="CX11" i="64" s="1"/>
  <c r="CY11" i="64" s="1"/>
  <c r="CZ11" i="64" s="1"/>
  <c r="DA11" i="64" s="1"/>
  <c r="DB11" i="64" s="1"/>
  <c r="DC11" i="64" s="1"/>
  <c r="CH1" i="65"/>
  <c r="CP11" i="64"/>
  <c r="CI1" i="65" s="1"/>
  <c r="M113" i="64" a="1"/>
  <c r="M113" i="64" s="1"/>
  <c r="M114" i="64" s="1"/>
  <c r="K13" i="64"/>
  <c r="E3" i="65" s="1"/>
  <c r="M108" i="64" a="1"/>
  <c r="M108" i="64" s="1"/>
  <c r="M109" i="64" l="1"/>
  <c r="D2" i="63" s="1"/>
  <c r="M110" i="64"/>
  <c r="M111" i="64" s="1"/>
  <c r="Q111" i="64" s="1"/>
  <c r="U111" i="64" s="1"/>
  <c r="Y111" i="64" s="1"/>
  <c r="AD111" i="64" s="1"/>
  <c r="AH111" i="64" s="1"/>
  <c r="AM111" i="64" s="1"/>
  <c r="AQ111" i="64" s="1"/>
  <c r="AU111" i="64" s="1"/>
  <c r="AZ111" i="64" s="1"/>
  <c r="BD111" i="64" s="1"/>
  <c r="BH111" i="64" s="1"/>
  <c r="BM111" i="64" s="1"/>
  <c r="BQ111" i="64" s="1"/>
  <c r="BU111" i="64" s="1"/>
  <c r="BZ111" i="64" s="1"/>
  <c r="CD111" i="64" s="1"/>
  <c r="CH111" i="64" s="1"/>
  <c r="CM111" i="64" s="1"/>
  <c r="CQ111" i="64" s="1"/>
  <c r="CU111" i="64" s="1"/>
  <c r="CY111" i="64" s="1"/>
  <c r="E2" i="63"/>
  <c r="N114" i="64"/>
  <c r="N109" i="64" l="1"/>
  <c r="O109" i="64" s="1"/>
  <c r="D3" i="63"/>
  <c r="E3" i="63"/>
  <c r="O114" i="64"/>
  <c r="E4" i="63" l="1"/>
  <c r="P114" i="64"/>
  <c r="P109" i="64"/>
  <c r="D4" i="63"/>
  <c r="E5" i="63" l="1"/>
  <c r="Q114" i="64"/>
  <c r="D5" i="63"/>
  <c r="Q109" i="64"/>
  <c r="E6" i="63" l="1"/>
  <c r="R114" i="64"/>
  <c r="D6" i="63"/>
  <c r="R109" i="64"/>
  <c r="E7" i="63" l="1"/>
  <c r="S114" i="64"/>
  <c r="S109" i="64"/>
  <c r="D7" i="63"/>
  <c r="E8" i="63" l="1"/>
  <c r="T114" i="64"/>
  <c r="D8" i="63"/>
  <c r="T109" i="64"/>
  <c r="E9" i="63" l="1"/>
  <c r="U114" i="64"/>
  <c r="D9" i="63"/>
  <c r="U109" i="64"/>
  <c r="V114" i="64" l="1"/>
  <c r="E10" i="63"/>
  <c r="D10" i="63"/>
  <c r="V109" i="64"/>
  <c r="E11" i="63" l="1"/>
  <c r="W114" i="64"/>
  <c r="W109" i="64"/>
  <c r="D11" i="63"/>
  <c r="E12" i="63" l="1"/>
  <c r="X114" i="64"/>
  <c r="D12" i="63"/>
  <c r="X109" i="64"/>
  <c r="E13" i="63" l="1"/>
  <c r="Y114" i="64"/>
  <c r="D13" i="63"/>
  <c r="Y109" i="64"/>
  <c r="E14" i="63" l="1"/>
  <c r="Z114" i="64"/>
  <c r="Z109" i="64"/>
  <c r="D14" i="63"/>
  <c r="E15" i="63" l="1"/>
  <c r="AA114" i="64"/>
  <c r="D15" i="63"/>
  <c r="AA109" i="64"/>
  <c r="E16" i="63" l="1"/>
  <c r="AB114" i="64"/>
  <c r="D16" i="63"/>
  <c r="AB109" i="64"/>
  <c r="E17" i="63" l="1"/>
  <c r="AC114" i="64"/>
  <c r="D17" i="63"/>
  <c r="AC109" i="64"/>
  <c r="E18" i="63" l="1"/>
  <c r="AD114" i="64"/>
  <c r="D18" i="63"/>
  <c r="AD109" i="64"/>
  <c r="E19" i="63" l="1"/>
  <c r="AE114" i="64"/>
  <c r="D19" i="63"/>
  <c r="AE109" i="64"/>
  <c r="E20" i="63" l="1"/>
  <c r="AF114" i="64"/>
  <c r="D20" i="63"/>
  <c r="AF109" i="64"/>
  <c r="E21" i="63" l="1"/>
  <c r="AG114" i="64"/>
  <c r="D21" i="63"/>
  <c r="AG109" i="64"/>
  <c r="E22" i="63" l="1"/>
  <c r="AH114" i="64"/>
  <c r="D22" i="63"/>
  <c r="AH109" i="64"/>
  <c r="AI114" i="64" l="1"/>
  <c r="E23" i="63"/>
  <c r="D23" i="63"/>
  <c r="AI109" i="64"/>
  <c r="E24" i="63" l="1"/>
  <c r="AJ114" i="64"/>
  <c r="AJ109" i="64"/>
  <c r="D24" i="63"/>
  <c r="E25" i="63" l="1"/>
  <c r="AK114" i="64"/>
  <c r="D25" i="63"/>
  <c r="AK109" i="64"/>
  <c r="E26" i="63" l="1"/>
  <c r="AL114" i="64"/>
  <c r="E27" i="63" s="1"/>
  <c r="AL109" i="64"/>
  <c r="D26" i="63"/>
  <c r="D27" i="63" l="1"/>
  <c r="AM109" i="64"/>
  <c r="AN109" i="64" l="1"/>
  <c r="D28" i="63"/>
  <c r="D29" i="63" l="1"/>
  <c r="AO109" i="64"/>
  <c r="AP109" i="64" l="1"/>
  <c r="D30" i="63"/>
  <c r="D31" i="63" l="1"/>
  <c r="AQ109" i="64"/>
  <c r="AR109" i="64" l="1"/>
  <c r="D32" i="63"/>
  <c r="D33" i="63" l="1"/>
  <c r="AS109" i="64"/>
  <c r="AT109" i="64" l="1"/>
  <c r="D34" i="63"/>
  <c r="D35" i="63" l="1"/>
  <c r="AU109" i="64"/>
  <c r="AV109" i="64" l="1"/>
  <c r="D36" i="63"/>
  <c r="D37" i="63" l="1"/>
  <c r="AW109" i="64"/>
  <c r="AX109" i="64" l="1"/>
  <c r="D38" i="63"/>
  <c r="D39" i="63" l="1"/>
  <c r="AY109" i="64"/>
  <c r="AZ109" i="64" l="1"/>
  <c r="D40" i="63"/>
  <c r="D41" i="63" l="1"/>
  <c r="BA109" i="64"/>
  <c r="BB109" i="64" l="1"/>
  <c r="D42" i="63"/>
  <c r="D43" i="63" l="1"/>
  <c r="BC109" i="64"/>
  <c r="BD109" i="64" l="1"/>
  <c r="D44" i="63"/>
  <c r="D45" i="63" l="1"/>
  <c r="BE109" i="64"/>
  <c r="BF109" i="64" l="1"/>
  <c r="D46" i="63"/>
  <c r="D47" i="63" l="1"/>
  <c r="BG109" i="64"/>
  <c r="BH109" i="64" l="1"/>
  <c r="D48" i="63"/>
  <c r="D49" i="63" l="1"/>
  <c r="BI109" i="64"/>
  <c r="BJ109" i="64" l="1"/>
  <c r="D50" i="63"/>
  <c r="D51" i="63" l="1"/>
  <c r="BK109" i="64"/>
  <c r="BL109" i="64" l="1"/>
  <c r="D52" i="63"/>
  <c r="D53" i="63" l="1"/>
  <c r="BM109" i="64"/>
  <c r="BN109" i="64" l="1"/>
  <c r="D54" i="63"/>
  <c r="D55" i="63" l="1"/>
  <c r="BO109" i="64"/>
  <c r="BP109" i="64" l="1"/>
  <c r="D56" i="63"/>
  <c r="D57" i="63" l="1"/>
  <c r="BQ109" i="64"/>
  <c r="BR109" i="64" l="1"/>
  <c r="D58" i="63"/>
  <c r="D59" i="63" l="1"/>
  <c r="BS109" i="64"/>
  <c r="BT109" i="64" l="1"/>
  <c r="D60" i="63"/>
  <c r="D61" i="63" l="1"/>
  <c r="BU109" i="64"/>
  <c r="BV109" i="64" l="1"/>
  <c r="D62" i="63"/>
  <c r="D63" i="63" l="1"/>
  <c r="BW109" i="64"/>
  <c r="BX109" i="64" l="1"/>
  <c r="D64" i="63"/>
  <c r="D65" i="63" l="1"/>
  <c r="BY109" i="64"/>
  <c r="BZ109" i="64" l="1"/>
  <c r="D66" i="63"/>
  <c r="D67" i="63" l="1"/>
  <c r="CA109" i="64"/>
  <c r="CB109" i="64" l="1"/>
  <c r="D68" i="63"/>
  <c r="D69" i="63" l="1"/>
  <c r="CC109" i="64"/>
  <c r="CD109" i="64" l="1"/>
  <c r="D70" i="63"/>
  <c r="D71" i="63" l="1"/>
  <c r="CE109" i="64"/>
  <c r="CF109" i="64" l="1"/>
  <c r="D72" i="63"/>
  <c r="D73" i="63" l="1"/>
  <c r="CG109" i="64"/>
  <c r="CH109" i="64" l="1"/>
  <c r="D74" i="63"/>
  <c r="D75" i="63" l="1"/>
  <c r="CI109" i="64"/>
  <c r="CJ109" i="64" l="1"/>
  <c r="D76" i="63"/>
  <c r="D77" i="63" l="1"/>
  <c r="CK109" i="64"/>
  <c r="CL109" i="64" l="1"/>
  <c r="D78" i="63"/>
  <c r="CM109" i="64" l="1"/>
  <c r="D79" i="63"/>
  <c r="CN109" i="64" l="1"/>
  <c r="CO109" i="64" s="1"/>
  <c r="CP109" i="64" s="1"/>
  <c r="CQ109" i="64" s="1"/>
  <c r="CR109" i="64" s="1"/>
  <c r="CS109" i="64" s="1"/>
  <c r="CT109" i="64" s="1"/>
  <c r="CU109" i="64" s="1"/>
  <c r="CV109" i="64" s="1"/>
  <c r="CW109" i="64" s="1"/>
  <c r="CX109" i="64" s="1"/>
  <c r="CY109" i="64" s="1"/>
  <c r="CZ109" i="64" s="1"/>
  <c r="DA109" i="64" s="1"/>
  <c r="DB109" i="64" s="1"/>
  <c r="D80" i="6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<sst xmlns="http://schemas.openxmlformats.org/spreadsheetml/2006/main" count="277" uniqueCount="147">
  <si>
    <t>%</t>
  </si>
  <si>
    <t xml:space="preserve">            1st Floor</t>
  </si>
  <si>
    <t xml:space="preserve">            2nd Floor</t>
  </si>
  <si>
    <t xml:space="preserve">            3rd Floor</t>
  </si>
  <si>
    <t xml:space="preserve">            Roof</t>
  </si>
  <si>
    <t xml:space="preserve">            1M Floor</t>
  </si>
  <si>
    <t>Project : ก่อสร้างอาคารศูนย์การเรียนรู้แห่งชาติ OKMD : OKMD National Knowledge Center</t>
  </si>
  <si>
    <t xml:space="preserve">Owner  : สำนักงานบริหารและพัฒนาองค์ความรู้ (องค์การมหาชน)   </t>
  </si>
  <si>
    <t>MB</t>
  </si>
  <si>
    <t xml:space="preserve">Contract Duration : 840 Days </t>
  </si>
  <si>
    <t xml:space="preserve">Consult  : บริษัท พี.พี.เอส.เอ็น จำกัด    </t>
  </si>
  <si>
    <t>Start Date   :</t>
  </si>
  <si>
    <t>Contractor  : บริษัท เพาเวอร์ไลน์ เอ็นจิเนียริ่ง จำกัด (มหาชน)</t>
  </si>
  <si>
    <t xml:space="preserve">Finish Date  : </t>
  </si>
  <si>
    <t>Item</t>
  </si>
  <si>
    <t>Description</t>
  </si>
  <si>
    <t xml:space="preserve">Contract Include Vat </t>
  </si>
  <si>
    <t>Plan/
Actual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</si>
  <si>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</si>
  <si>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</si>
  <si>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</si>
  <si>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</si>
  <si>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</si>
  <si>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</si>
  <si>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</si>
  <si>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</si>
  <si>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</si>
  <si>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</si>
  <si>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</si>
  <si>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</si>
  <si>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</si>
  <si>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</si>
  <si>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</si>
  <si>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</si>
  <si>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</si>
  <si>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</si>
  <si>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</si>
  <si>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</si>
  <si>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</si>
  <si>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</si>
  <si>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</si>
  <si>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P</t>
  </si>
  <si>
    <t>A</t>
  </si>
  <si>
    <t>Master Schedule อาคาร Ratchadamnoen Center 2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</si>
  <si>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</si>
  <si>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</si>
  <si>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</si>
  <si>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</si>
  <si>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</si>
  <si>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</si>
  <si>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</si>
  <si>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</si>
  <si>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</si>
  <si>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</si>
  <si>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</si>
  <si>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</si>
  <si>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1.2.14</t>
  </si>
  <si>
    <t>1.4.1</t>
  </si>
  <si>
    <t>1.4.1.1</t>
  </si>
  <si>
    <t>1.4.1.2</t>
  </si>
  <si>
    <t>1.4.1.3</t>
  </si>
  <si>
    <t>1.4.1.4</t>
  </si>
  <si>
    <t>1.4.1.5</t>
  </si>
  <si>
    <t>1.4.3</t>
  </si>
  <si>
    <t>1.4.4</t>
  </si>
  <si>
    <t>1.4.5</t>
  </si>
  <si>
    <t>1.6.1</t>
  </si>
  <si>
    <t>1.6.2</t>
  </si>
  <si>
    <t>1.6.3</t>
  </si>
  <si>
    <t>1.6.5</t>
  </si>
  <si>
    <t>1.6.6</t>
  </si>
  <si>
    <t>1.6.7</t>
  </si>
  <si>
    <t>1.6.8</t>
  </si>
  <si>
    <t>1.7.1</t>
  </si>
  <si>
    <t>1.7.3</t>
  </si>
  <si>
    <t>1.8.1</t>
  </si>
  <si>
    <t>1.8.2</t>
  </si>
  <si>
    <t>1.8.5</t>
  </si>
  <si>
    <t>1.8.6</t>
  </si>
  <si>
    <t>PLAN</t>
  </si>
  <si>
    <t>ACTUAL</t>
  </si>
  <si>
    <t>Weekly</t>
  </si>
  <si>
    <t>Monthly</t>
  </si>
  <si>
    <t>∫</t>
  </si>
  <si>
    <t>∑</t>
  </si>
  <si>
    <t>Weelky</t>
  </si>
  <si>
    <t>week_start</t>
  </si>
  <si>
    <t>plan</t>
  </si>
  <si>
    <t>actual</t>
  </si>
  <si>
    <t>project_finish</t>
  </si>
  <si>
    <t xml:space="preserve"> ∫</t>
  </si>
  <si>
    <t xml:space="preserve">∑ </t>
  </si>
  <si>
    <t>project_start</t>
  </si>
  <si>
    <t>WBS</t>
  </si>
  <si>
    <t>Activities</t>
  </si>
  <si>
    <t>Amount</t>
  </si>
  <si>
    <t>P/A</t>
  </si>
  <si>
    <t>%Progress</t>
  </si>
  <si>
    <t>Amount from progress</t>
  </si>
  <si>
    <t>1.3.1</t>
  </si>
  <si>
    <t>1.3.2</t>
  </si>
  <si>
    <t>1.3.3</t>
  </si>
  <si>
    <t>1.3.4</t>
  </si>
  <si>
    <t>Sum Architect Sign</t>
  </si>
  <si>
    <t>Sum All Sign</t>
  </si>
  <si>
    <t>S</t>
  </si>
  <si>
    <t>Fill % Sign</t>
  </si>
  <si>
    <t>Existing Demolation</t>
  </si>
  <si>
    <t>Strucural Work</t>
  </si>
  <si>
    <t>Lift</t>
  </si>
  <si>
    <t>Roof</t>
  </si>
  <si>
    <t>Roof Level2</t>
  </si>
  <si>
    <t>Existing Building Repair</t>
  </si>
  <si>
    <t>Toilet</t>
  </si>
  <si>
    <t>Mezzanine</t>
  </si>
  <si>
    <t>2nd Floor Extension</t>
  </si>
  <si>
    <t>MEP Platform</t>
  </si>
  <si>
    <t>Greastrap Foundation</t>
  </si>
  <si>
    <t>WWWT Foundation</t>
  </si>
  <si>
    <t>WWT Foundation</t>
  </si>
  <si>
    <t>ST6</t>
  </si>
  <si>
    <t>Entrance</t>
  </si>
  <si>
    <t>Mansory Work</t>
  </si>
  <si>
    <t>Riser</t>
  </si>
  <si>
    <t>EE/Communication</t>
  </si>
  <si>
    <t>SN/FP</t>
  </si>
  <si>
    <t>AC</t>
  </si>
  <si>
    <t>Architectural  |  MEP</t>
  </si>
  <si>
    <t>Existing Stair Repair</t>
  </si>
  <si>
    <t>ID Work</t>
  </si>
  <si>
    <t>Lift Lobby</t>
  </si>
  <si>
    <t>Lightning Protection System</t>
  </si>
  <si>
    <t>External Work</t>
  </si>
  <si>
    <t>WWTP</t>
  </si>
  <si>
    <t>WWT</t>
  </si>
  <si>
    <t>Drainage System</t>
  </si>
  <si>
    <t>Unit Substation &amp; Generator Set</t>
  </si>
  <si>
    <t>Grounding System</t>
  </si>
  <si>
    <t>Landscape</t>
  </si>
  <si>
    <t>Hardscape</t>
  </si>
  <si>
    <t>Lighting Landscape</t>
  </si>
  <si>
    <t>Equipments</t>
  </si>
  <si>
    <t>Sound | AV</t>
  </si>
  <si>
    <t>Loose Fur.</t>
  </si>
  <si>
    <t>Main Eq.</t>
  </si>
  <si>
    <t>Soft Scape Eq.</t>
  </si>
  <si>
    <t>Okd Co-Working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</si>
</sst>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(* #,##0.00_);_(* \(#,##0.00\);_(* &quot;-&quot;??_);_(@_)"/>
    <numFmt numFmtId="165" formatCode="B1mmm\-yy"/>
    <numFmt numFmtId="166" formatCode="_-* #,##0_-;\-* #,##0_-;_-* &quot;-&quot;??_-;_-@_-"/>
    <numFmt numFmtId="167" formatCode="#0.00,,"/>
    <numFmt numFmtId="168" formatCode="#0.0,,"/>
    <numFmt numFmtId="169" formatCode="0.0"/>
    <numFmt numFmtId="170" formatCode="0.0%"/>
    <numFmt numFmtId="171" formatCode="0.0000%"/>
    <numFmt numFmtId="172" formatCode="yyyy/m/dd"/>
    <numFmt numFmtId="173" formatCode="0.00%;\-0.00%;;@"/>
  </numFmts>
  <fonts count="36" x14ac:knownFonts="1">
    <font>
      <sz val="14"/>
      <color theme="1"/>
      <name val="AngsanaUPC"/>
      <charset val="222"/>
    </font>
    <font>
      <sz val="18"/>
      <color theme="1"/>
      <name val="AngsanaUPC"/>
      <family val="1"/>
    </font>
    <font>
      <b/>
      <sz val="16"/>
      <color theme="1"/>
      <name val="AngsanaUPC"/>
      <family val="1"/>
    </font>
    <font>
      <sz val="16"/>
      <color rgb="FFFF0000"/>
      <name val="AngsanaUPC"/>
      <family val="1"/>
    </font>
    <font>
      <sz val="16"/>
      <color theme="1"/>
      <name val="AngsanaUPC"/>
      <family val="1"/>
    </font>
    <font>
      <b/>
      <sz val="36"/>
      <color theme="1"/>
      <name val="AngsanaUPC"/>
      <family val="1"/>
    </font>
    <font>
      <b/>
      <sz val="18"/>
      <color theme="1"/>
      <name val="AngsanaUPC"/>
      <family val="1"/>
    </font>
    <font>
      <b/>
      <sz val="18"/>
      <color rgb="FFFF0000"/>
      <name val="AngsanaUPC"/>
      <family val="1"/>
    </font>
    <font>
      <b/>
      <sz val="18"/>
      <name val="AngsanaUPC"/>
      <family val="1"/>
    </font>
    <font>
      <sz val="16"/>
      <name val="AngsanaUPC"/>
      <family val="1"/>
    </font>
    <font>
      <sz val="18"/>
      <color theme="2"/>
      <name val="AngsanaUPC"/>
      <family val="1"/>
    </font>
    <font>
      <sz val="16"/>
      <color theme="2"/>
      <name val="AngsanaUPC"/>
      <family val="1"/>
    </font>
    <font>
      <sz val="14"/>
      <color theme="2"/>
      <name val="AngsanaUPC"/>
      <family val="1"/>
    </font>
    <font>
      <b/>
      <sz val="18"/>
      <color theme="0"/>
      <name val="AngsanaUPC"/>
      <family val="1"/>
    </font>
    <font>
      <sz val="18"/>
      <color theme="0"/>
      <name val="AngsanaUPC"/>
      <family val="1"/>
    </font>
    <font>
      <sz val="14"/>
      <color theme="1"/>
      <name val="AngsanaUPC"/>
      <family val="1"/>
    </font>
    <font>
      <sz val="11"/>
      <color theme="1"/>
      <name val="Calibri"/>
      <family val="2"/>
      <scheme val="minor"/>
    </font>
    <font>
      <sz val="11"/>
      <color indexed="8"/>
      <name val="Tahoma"/>
      <family val="2"/>
    </font>
    <font>
      <sz val="16"/>
      <name val="DilleniaUPC"/>
      <family val="1"/>
    </font>
    <font>
      <sz val="14"/>
      <name val="Cordia New"/>
      <family val="2"/>
    </font>
    <font>
      <b/>
      <sz val="16"/>
      <color rgb="FF000000"/>
      <name val="Cordia New"/>
      <family val="2"/>
    </font>
    <font>
      <sz val="16"/>
      <color theme="1"/>
      <name val="Cordia New"/>
      <family val="2"/>
    </font>
    <font>
      <sz val="14"/>
      <name val="AngsanaUPC"/>
      <family val="1"/>
    </font>
    <font>
      <sz val="16"/>
      <color theme="1"/>
      <name val="AngsanaUPC"/>
      <family val="1"/>
    </font>
    <font>
      <sz val="16"/>
      <name val="Cordia New"/>
      <family val="2"/>
    </font>
    <font>
      <sz val="16"/>
      <color rgb="FF1D41D5"/>
      <name val="Cordia New"/>
      <family val="2"/>
    </font>
    <font>
      <b/>
      <sz val="16"/>
      <name val="Cordia New"/>
      <family val="2"/>
    </font>
    <font>
      <sz val="14"/>
      <color theme="1"/>
      <name val="Cordia New"/>
      <family val="2"/>
    </font>
    <font>
      <b/>
      <sz val="16"/>
      <color rgb="FF1D41D5"/>
      <name val="Cordia New"/>
      <family val="2"/>
    </font>
    <font>
      <b/>
      <sz val="16"/>
      <color theme="1"/>
      <name val="Cordia New"/>
      <family val="2"/>
    </font>
    <font>
      <sz val="16"/>
      <color rgb="FF000000"/>
      <name val="Cordia New"/>
      <family val="2"/>
    </font>
    <font>
      <sz val="16"/>
      <color rgb="FF0070C0"/>
      <name val="Cordia New"/>
      <family val="2"/>
    </font>
    <font>
      <sz val="14"/>
      <color rgb="FF000000"/>
      <name val="Cordia New"/>
      <family val="2"/>
    </font>
    <font>
      <b/>
      <sz val="22"/>
      <name val="Cordia New"/>
      <family val="2"/>
    </font>
    <font>
      <b/>
      <sz val="28"/>
      <color theme="1"/>
      <name val="Cordia New"/>
      <family val="2"/>
    </font>
    <font>
      <b/>
      <sz val="14"/>
      <name val="Cordia New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44914090395825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9" tint="0.799615466780602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indexed="64"/>
      </left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 style="medium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33">
    <xf numFmtId="0" fontId="0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9" fillId="0" borderId="0" applyFont="0" applyFill="0" applyBorder="0" applyAlignment="0" applyProtection="0"/>
    <xf numFmtId="0" fontId="9" fillId="0" borderId="0"/>
    <xf numFmtId="0" fontId="16" fillId="0" borderId="0"/>
    <xf numFmtId="0" fontId="9" fillId="0" borderId="0"/>
    <xf numFmtId="0" fontId="16" fillId="0" borderId="0"/>
    <xf numFmtId="0" fontId="16" fillId="0" borderId="0"/>
    <xf numFmtId="0" fontId="16" fillId="0" borderId="0">
      <alignment vertical="center"/>
    </xf>
    <xf numFmtId="0" fontId="9" fillId="0" borderId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9" fillId="0" borderId="0"/>
    <xf numFmtId="0" fontId="19" fillId="0" borderId="0"/>
    <xf numFmtId="9" fontId="16" fillId="0" borderId="0" applyFont="0" applyFill="0" applyBorder="0" applyAlignment="0" applyProtection="0"/>
  </cellStyleXfs>
  <cellXfs count="34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17" applyFont="1" applyAlignment="1">
      <alignment vertical="center"/>
    </xf>
    <xf numFmtId="0" fontId="6" fillId="0" borderId="0" xfId="15" applyFont="1" applyAlignment="1">
      <alignment vertical="center"/>
    </xf>
    <xf numFmtId="0" fontId="8" fillId="0" borderId="0" xfId="17" applyFont="1" applyAlignment="1">
      <alignment vertical="center"/>
    </xf>
    <xf numFmtId="14" fontId="8" fillId="0" borderId="0" xfId="17" applyNumberFormat="1" applyFont="1" applyAlignment="1">
      <alignment vertical="center"/>
    </xf>
    <xf numFmtId="0" fontId="4" fillId="0" borderId="0" xfId="17" applyFont="1"/>
    <xf numFmtId="0" fontId="4" fillId="0" borderId="0" xfId="17" applyFont="1" applyAlignment="1">
      <alignment vertical="center"/>
    </xf>
    <xf numFmtId="0" fontId="4" fillId="0" borderId="0" xfId="15" applyFont="1"/>
    <xf numFmtId="14" fontId="3" fillId="0" borderId="0" xfId="17" applyNumberFormat="1" applyFont="1" applyAlignment="1">
      <alignment horizontal="center" vertical="center"/>
    </xf>
    <xf numFmtId="14" fontId="3" fillId="0" borderId="0" xfId="17" applyNumberFormat="1" applyFont="1" applyAlignment="1">
      <alignment vertical="center"/>
    </xf>
    <xf numFmtId="0" fontId="2" fillId="0" borderId="0" xfId="17" applyFont="1"/>
    <xf numFmtId="0" fontId="2" fillId="0" borderId="0" xfId="17" applyFont="1" applyAlignment="1">
      <alignment vertical="center"/>
    </xf>
    <xf numFmtId="14" fontId="2" fillId="0" borderId="0" xfId="17" applyNumberFormat="1" applyFont="1" applyAlignment="1">
      <alignment horizontal="center" vertical="center"/>
    </xf>
    <xf numFmtId="43" fontId="10" fillId="0" borderId="0" xfId="1" applyFont="1" applyBorder="1"/>
    <xf numFmtId="0" fontId="11" fillId="0" borderId="0" xfId="0" applyFont="1"/>
    <xf numFmtId="169" fontId="12" fillId="0" borderId="0" xfId="0" applyNumberFormat="1" applyFont="1" applyAlignment="1">
      <alignment horizontal="center" vertical="center"/>
    </xf>
    <xf numFmtId="167" fontId="4" fillId="0" borderId="0" xfId="0" applyNumberFormat="1" applyFont="1"/>
    <xf numFmtId="0" fontId="13" fillId="0" borderId="0" xfId="17" applyFont="1" applyAlignment="1">
      <alignment vertical="center"/>
    </xf>
    <xf numFmtId="0" fontId="8" fillId="0" borderId="0" xfId="0" applyFont="1"/>
    <xf numFmtId="0" fontId="14" fillId="0" borderId="0" xfId="0" applyFont="1"/>
    <xf numFmtId="0" fontId="13" fillId="0" borderId="10" xfId="17" applyFont="1" applyBorder="1" applyAlignment="1">
      <alignment vertical="center"/>
    </xf>
    <xf numFmtId="0" fontId="9" fillId="0" borderId="0" xfId="0" applyFont="1" applyAlignment="1">
      <alignment horizontal="right"/>
    </xf>
    <xf numFmtId="0" fontId="9" fillId="0" borderId="0" xfId="0" applyFont="1"/>
    <xf numFmtId="2" fontId="4" fillId="0" borderId="0" xfId="0" applyNumberFormat="1" applyFont="1"/>
    <xf numFmtId="0" fontId="7" fillId="0" borderId="0" xfId="0" applyFont="1"/>
    <xf numFmtId="0" fontId="13" fillId="0" borderId="0" xfId="17" applyFont="1" applyBorder="1" applyAlignment="1">
      <alignment vertical="center"/>
    </xf>
    <xf numFmtId="43" fontId="20" fillId="13" borderId="20" xfId="1" applyFont="1" applyFill="1" applyBorder="1" applyAlignment="1">
      <alignment horizontal="center" vertical="center"/>
    </xf>
    <xf numFmtId="43" fontId="20" fillId="13" borderId="21" xfId="1" applyFont="1" applyFill="1" applyBorder="1" applyAlignment="1">
      <alignment horizontal="center" vertical="center"/>
    </xf>
    <xf numFmtId="43" fontId="20" fillId="2" borderId="20" xfId="1" applyFont="1" applyFill="1" applyBorder="1" applyAlignment="1">
      <alignment horizontal="center" vertical="center"/>
    </xf>
    <xf numFmtId="43" fontId="20" fillId="2" borderId="21" xfId="1" applyFont="1" applyFill="1" applyBorder="1" applyAlignment="1">
      <alignment horizontal="center" vertical="center"/>
    </xf>
    <xf numFmtId="43" fontId="20" fillId="0" borderId="20" xfId="1" applyFont="1" applyFill="1" applyBorder="1" applyAlignment="1">
      <alignment horizontal="center" vertical="center"/>
    </xf>
    <xf numFmtId="43" fontId="20" fillId="0" borderId="21" xfId="1" applyFont="1" applyFill="1" applyBorder="1" applyAlignment="1">
      <alignment horizontal="center" vertical="center"/>
    </xf>
    <xf numFmtId="0" fontId="4" fillId="0" borderId="0" xfId="0" applyFont="1" applyFill="1"/>
    <xf numFmtId="2" fontId="23" fillId="0" borderId="0" xfId="0" applyNumberFormat="1" applyFont="1"/>
    <xf numFmtId="43" fontId="21" fillId="11" borderId="20" xfId="1" applyFont="1" applyFill="1" applyBorder="1" applyAlignment="1">
      <alignment vertical="center"/>
    </xf>
    <xf numFmtId="43" fontId="21" fillId="11" borderId="21" xfId="1" applyFont="1" applyFill="1" applyBorder="1" applyAlignment="1">
      <alignment vertical="center"/>
    </xf>
    <xf numFmtId="43" fontId="21" fillId="2" borderId="20" xfId="1" applyFont="1" applyFill="1" applyBorder="1" applyAlignment="1">
      <alignment vertical="center"/>
    </xf>
    <xf numFmtId="43" fontId="21" fillId="2" borderId="21" xfId="1" applyFont="1" applyFill="1" applyBorder="1" applyAlignment="1">
      <alignment vertical="center"/>
    </xf>
    <xf numFmtId="43" fontId="21" fillId="0" borderId="20" xfId="1" applyFont="1" applyBorder="1" applyAlignment="1">
      <alignment vertical="center"/>
    </xf>
    <xf numFmtId="43" fontId="21" fillId="0" borderId="21" xfId="1" applyFont="1" applyBorder="1" applyAlignment="1">
      <alignment vertical="center"/>
    </xf>
    <xf numFmtId="43" fontId="21" fillId="13" borderId="20" xfId="1" applyFont="1" applyFill="1" applyBorder="1" applyAlignment="1">
      <alignment vertical="center"/>
    </xf>
    <xf numFmtId="43" fontId="21" fillId="13" borderId="21" xfId="1" applyFont="1" applyFill="1" applyBorder="1" applyAlignment="1">
      <alignment vertical="center"/>
    </xf>
    <xf numFmtId="14" fontId="13" fillId="0" borderId="0" xfId="17" applyNumberFormat="1" applyFont="1" applyAlignment="1">
      <alignment horizontal="left" vertical="center"/>
    </xf>
    <xf numFmtId="14" fontId="8" fillId="0" borderId="0" xfId="17" applyNumberFormat="1" applyFont="1" applyAlignment="1">
      <alignment horizontal="left" vertical="center"/>
    </xf>
    <xf numFmtId="171" fontId="24" fillId="8" borderId="36" xfId="2" applyNumberFormat="1" applyFont="1" applyFill="1" applyBorder="1" applyAlignment="1">
      <alignment horizontal="center" vertical="center" textRotation="180"/>
    </xf>
    <xf numFmtId="171" fontId="24" fillId="8" borderId="37" xfId="2" applyNumberFormat="1" applyFont="1" applyFill="1" applyBorder="1" applyAlignment="1">
      <alignment horizontal="center" vertical="center" textRotation="180"/>
    </xf>
    <xf numFmtId="171" fontId="24" fillId="8" borderId="38" xfId="2" applyNumberFormat="1" applyFont="1" applyFill="1" applyBorder="1" applyAlignment="1">
      <alignment horizontal="center" vertical="center" textRotation="180"/>
    </xf>
    <xf numFmtId="168" fontId="26" fillId="8" borderId="24" xfId="8" applyNumberFormat="1" applyFont="1" applyFill="1" applyBorder="1" applyAlignment="1">
      <alignment horizontal="center" vertical="center"/>
    </xf>
    <xf numFmtId="10" fontId="26" fillId="8" borderId="31" xfId="2" applyNumberFormat="1" applyFont="1" applyFill="1" applyBorder="1" applyAlignment="1">
      <alignment horizontal="center" vertical="center"/>
    </xf>
    <xf numFmtId="168" fontId="26" fillId="0" borderId="36" xfId="8" applyNumberFormat="1" applyFont="1" applyFill="1" applyBorder="1" applyAlignment="1">
      <alignment horizontal="center" vertical="center"/>
    </xf>
    <xf numFmtId="168" fontId="26" fillId="0" borderId="37" xfId="8" applyNumberFormat="1" applyFont="1" applyFill="1" applyBorder="1" applyAlignment="1">
      <alignment horizontal="center" vertical="center"/>
    </xf>
    <xf numFmtId="168" fontId="26" fillId="0" borderId="38" xfId="8" applyNumberFormat="1" applyFont="1" applyFill="1" applyBorder="1" applyAlignment="1">
      <alignment horizontal="center" vertical="center"/>
    </xf>
    <xf numFmtId="168" fontId="26" fillId="0" borderId="24" xfId="8" applyNumberFormat="1" applyFont="1" applyFill="1" applyBorder="1" applyAlignment="1">
      <alignment horizontal="center" vertical="center"/>
    </xf>
    <xf numFmtId="171" fontId="24" fillId="0" borderId="36" xfId="2" applyNumberFormat="1" applyFont="1" applyFill="1" applyBorder="1" applyAlignment="1">
      <alignment horizontal="center" vertical="center" textRotation="180"/>
    </xf>
    <xf numFmtId="171" fontId="24" fillId="0" borderId="37" xfId="2" applyNumberFormat="1" applyFont="1" applyFill="1" applyBorder="1" applyAlignment="1">
      <alignment horizontal="center" vertical="center" textRotation="180"/>
    </xf>
    <xf numFmtId="171" fontId="24" fillId="0" borderId="38" xfId="2" applyNumberFormat="1" applyFont="1" applyFill="1" applyBorder="1" applyAlignment="1">
      <alignment horizontal="center" vertical="center" textRotation="180"/>
    </xf>
    <xf numFmtId="2" fontId="22" fillId="0" borderId="0" xfId="2" applyNumberFormat="1" applyFont="1" applyAlignment="1">
      <alignment horizontal="center" vertical="center"/>
    </xf>
    <xf numFmtId="170" fontId="15" fillId="0" borderId="0" xfId="2" applyNumberFormat="1" applyFont="1"/>
    <xf numFmtId="43" fontId="25" fillId="2" borderId="20" xfId="1" applyFont="1" applyFill="1" applyBorder="1" applyAlignment="1">
      <alignment vertical="center"/>
    </xf>
    <xf numFmtId="43" fontId="28" fillId="2" borderId="20" xfId="1" applyFont="1" applyFill="1" applyBorder="1" applyAlignment="1">
      <alignment horizontal="center" vertical="center"/>
    </xf>
    <xf numFmtId="0" fontId="29" fillId="5" borderId="2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4" borderId="13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vertical="center"/>
    </xf>
    <xf numFmtId="0" fontId="29" fillId="4" borderId="9" xfId="15" applyFont="1" applyFill="1" applyBorder="1" applyAlignment="1">
      <alignment vertical="center"/>
    </xf>
    <xf numFmtId="0" fontId="29" fillId="0" borderId="0" xfId="0" applyFont="1"/>
    <xf numFmtId="0" fontId="29" fillId="5" borderId="4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" fontId="29" fillId="7" borderId="13" xfId="15" applyNumberFormat="1" applyFont="1" applyFill="1" applyBorder="1" applyAlignment="1">
      <alignment horizontal="center" vertical="center"/>
    </xf>
    <xf numFmtId="1" fontId="29" fillId="7" borderId="15" xfId="15" applyNumberFormat="1" applyFont="1" applyFill="1" applyBorder="1" applyAlignment="1">
      <alignment horizontal="center" vertical="center"/>
    </xf>
    <xf numFmtId="0" fontId="29" fillId="5" borderId="7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0" fontId="21" fillId="0" borderId="0" xfId="0" applyFont="1"/>
    <xf numFmtId="9" fontId="24" fillId="0" borderId="22" xfId="8" applyNumberFormat="1" applyFont="1" applyFill="1" applyBorder="1" applyAlignment="1">
      <alignment horizontal="center" vertical="center"/>
    </xf>
    <xf numFmtId="166" fontId="24" fillId="12" borderId="26" xfId="8" applyNumberFormat="1" applyFont="1" applyFill="1" applyBorder="1" applyAlignment="1">
      <alignment horizontal="center" vertical="center"/>
    </xf>
    <xf numFmtId="9" fontId="24" fillId="12" borderId="22" xfId="8" applyNumberFormat="1" applyFont="1" applyFill="1" applyBorder="1" applyAlignment="1">
      <alignment horizontal="center" vertical="center"/>
    </xf>
    <xf numFmtId="166" fontId="24" fillId="0" borderId="27" xfId="8" applyNumberFormat="1" applyFont="1" applyFill="1" applyBorder="1" applyAlignment="1">
      <alignment horizontal="center" vertical="center"/>
    </xf>
    <xf numFmtId="0" fontId="21" fillId="0" borderId="0" xfId="0" applyFont="1" applyFill="1"/>
    <xf numFmtId="0" fontId="33" fillId="10" borderId="6" xfId="15" applyFont="1" applyFill="1" applyBorder="1" applyAlignment="1">
      <alignment vertical="center"/>
    </xf>
    <xf numFmtId="10" fontId="0" fillId="0" borderId="0" xfId="2" applyNumberFormat="1" applyFont="1"/>
    <xf numFmtId="0" fontId="0" fillId="0" borderId="0" xfId="0" applyAlignment="1">
      <alignment horizontal="center"/>
    </xf>
    <xf numFmtId="0" fontId="29" fillId="5" borderId="0" xfId="15" applyFont="1" applyFill="1" applyBorder="1" applyAlignment="1">
      <alignment horizontal="center" vertical="center" wrapText="1"/>
    </xf>
    <xf numFmtId="14" fontId="35" fillId="8" borderId="39" xfId="15" applyNumberFormat="1" applyFont="1" applyFill="1" applyBorder="1" applyAlignment="1">
      <alignment horizontal="center" vertical="center" textRotation="180"/>
    </xf>
    <xf numFmtId="14" fontId="35" fillId="8" borderId="40" xfId="15" applyNumberFormat="1" applyFont="1" applyFill="1" applyBorder="1" applyAlignment="1">
      <alignment horizontal="center" vertical="center" textRotation="180"/>
    </xf>
    <xf numFmtId="14" fontId="35" fillId="8" borderId="41" xfId="15" applyNumberFormat="1" applyFont="1" applyFill="1" applyBorder="1" applyAlignment="1">
      <alignment horizontal="center" vertical="center" textRotation="180"/>
    </xf>
    <xf numFmtId="14" fontId="35" fillId="9" borderId="39" xfId="15" applyNumberFormat="1" applyFont="1" applyFill="1" applyBorder="1" applyAlignment="1">
      <alignment horizontal="center" vertical="center" textRotation="180"/>
    </xf>
    <xf numFmtId="14" fontId="35" fillId="9" borderId="40" xfId="15" applyNumberFormat="1" applyFont="1" applyFill="1" applyBorder="1" applyAlignment="1">
      <alignment horizontal="center" vertical="center" textRotation="180"/>
    </xf>
    <xf numFmtId="14" fontId="35" fillId="9" borderId="41" xfId="15" applyNumberFormat="1" applyFont="1" applyFill="1" applyBorder="1" applyAlignment="1">
      <alignment horizontal="center" vertical="center" textRotation="180"/>
    </xf>
    <xf numFmtId="14" fontId="35" fillId="14" borderId="40" xfId="15" applyNumberFormat="1" applyFont="1" applyFill="1" applyBorder="1" applyAlignment="1">
      <alignment horizontal="center" vertical="center" textRotation="180"/>
    </xf>
    <xf numFmtId="14" fontId="35" fillId="14" borderId="41" xfId="15" applyNumberFormat="1" applyFont="1" applyFill="1" applyBorder="1" applyAlignment="1">
      <alignment horizontal="center" vertical="center" textRotation="180"/>
    </xf>
    <xf numFmtId="0" fontId="15" fillId="0" borderId="0" xfId="0" applyFont="1" applyAlignment="1">
      <alignment horizontal="center"/>
    </xf>
    <xf numFmtId="172" fontId="0" fillId="0" borderId="0" xfId="0" applyNumberFormat="1"/>
    <xf numFmtId="0" fontId="0" fillId="0" borderId="0" xfId="2" applyNumberFormat="1" applyFont="1" applyAlignment="1">
      <alignment horizontal="center"/>
    </xf>
    <xf numFmtId="2" fontId="0" fillId="0" borderId="0" xfId="2" applyNumberFormat="1" applyFont="1"/>
    <xf numFmtId="0" fontId="29" fillId="5" borderId="14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43" fontId="0" fillId="0" borderId="0" xfId="0" applyNumberFormat="1"/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2" fontId="0" fillId="0" borderId="0" xfId="0" applyNumberFormat="1"/>
    <xf numFmtId="43" fontId="24" fillId="12" borderId="44" xfId="1" applyFont="1" applyFill="1" applyBorder="1" applyAlignment="1">
      <alignment horizontal="center" vertical="center"/>
    </xf>
    <xf numFmtId="43" fontId="24" fillId="0" borderId="45" xfId="1" applyFont="1" applyFill="1" applyBorder="1" applyAlignment="1">
      <alignment horizontal="center" vertical="center"/>
    </xf>
    <xf numFmtId="166" fontId="24" fillId="2" borderId="26" xfId="8" applyNumberFormat="1" applyFont="1" applyFill="1" applyBorder="1" applyAlignment="1">
      <alignment horizontal="center" vertical="center"/>
    </xf>
    <xf numFmtId="43" fontId="24" fillId="2" borderId="44" xfId="1" applyFont="1" applyFill="1" applyBorder="1" applyAlignment="1">
      <alignment horizontal="center" vertical="center"/>
    </xf>
    <xf numFmtId="166" fontId="24" fillId="2" borderId="27" xfId="8" applyNumberFormat="1" applyFont="1" applyFill="1" applyBorder="1" applyAlignment="1">
      <alignment horizontal="center" vertical="center"/>
    </xf>
    <xf numFmtId="43" fontId="24" fillId="2" borderId="45" xfId="1" applyFont="1" applyFill="1" applyBorder="1" applyAlignment="1">
      <alignment horizontal="center" vertical="center"/>
    </xf>
    <xf numFmtId="166" fontId="24" fillId="13" borderId="26" xfId="8" applyNumberFormat="1" applyFont="1" applyFill="1" applyBorder="1" applyAlignment="1">
      <alignment horizontal="center" vertical="center"/>
    </xf>
    <xf numFmtId="43" fontId="24" fillId="13" borderId="44" xfId="1" applyFont="1" applyFill="1" applyBorder="1" applyAlignment="1">
      <alignment horizontal="center" vertical="center"/>
    </xf>
    <xf numFmtId="166" fontId="24" fillId="13" borderId="27" xfId="8" applyNumberFormat="1" applyFont="1" applyFill="1" applyBorder="1" applyAlignment="1">
      <alignment horizontal="center" vertical="center"/>
    </xf>
    <xf numFmtId="43" fontId="24" fillId="13" borderId="45" xfId="1" applyFont="1" applyFill="1" applyBorder="1" applyAlignment="1">
      <alignment horizontal="center" vertical="center"/>
    </xf>
    <xf numFmtId="10" fontId="24" fillId="12" borderId="44" xfId="2" applyNumberFormat="1" applyFont="1" applyFill="1" applyBorder="1" applyAlignment="1">
      <alignment horizontal="right" vertical="center"/>
    </xf>
    <xf numFmtId="10" fontId="24" fillId="0" borderId="45" xfId="2" applyNumberFormat="1" applyFont="1" applyFill="1" applyBorder="1" applyAlignment="1">
      <alignment horizontal="right" vertical="center"/>
    </xf>
    <xf numFmtId="10" fontId="24" fillId="2" borderId="44" xfId="2" applyNumberFormat="1" applyFont="1" applyFill="1" applyBorder="1" applyAlignment="1">
      <alignment horizontal="right" vertical="center"/>
    </xf>
    <xf numFmtId="10" fontId="24" fillId="2" borderId="45" xfId="2" applyNumberFormat="1" applyFont="1" applyFill="1" applyBorder="1" applyAlignment="1">
      <alignment horizontal="right" vertical="center"/>
    </xf>
    <xf numFmtId="10" fontId="24" fillId="13" borderId="44" xfId="2" applyNumberFormat="1" applyFont="1" applyFill="1" applyBorder="1" applyAlignment="1">
      <alignment horizontal="right" vertical="center"/>
    </xf>
    <xf numFmtId="10" fontId="24" fillId="13" borderId="45" xfId="2" applyNumberFormat="1" applyFont="1" applyFill="1" applyBorder="1" applyAlignment="1">
      <alignment horizontal="right" vertical="center"/>
    </xf>
    <xf numFmtId="166" fontId="24" fillId="11" borderId="27" xfId="8" applyNumberFormat="1" applyFont="1" applyFill="1" applyBorder="1" applyAlignment="1">
      <alignment horizontal="center" vertical="center"/>
    </xf>
    <xf numFmtId="10" fontId="24" fillId="11" borderId="45" xfId="2" applyNumberFormat="1" applyFont="1" applyFill="1" applyBorder="1" applyAlignment="1">
      <alignment horizontal="right" vertical="center"/>
    </xf>
    <xf numFmtId="173" fontId="24" fillId="0" borderId="28" xfId="8" applyNumberFormat="1" applyFont="1" applyFill="1" applyBorder="1" applyAlignment="1">
      <alignment horizontal="center" vertical="center"/>
    </xf>
    <xf numFmtId="173" fontId="24" fillId="0" borderId="35" xfId="8" applyNumberFormat="1" applyFont="1" applyFill="1" applyBorder="1" applyAlignment="1">
      <alignment horizontal="center" vertical="center"/>
    </xf>
    <xf numFmtId="173" fontId="24" fillId="0" borderId="34" xfId="8" applyNumberFormat="1" applyFont="1" applyFill="1" applyBorder="1" applyAlignment="1">
      <alignment horizontal="center" vertical="center"/>
    </xf>
    <xf numFmtId="173" fontId="24" fillId="12" borderId="28" xfId="8" applyNumberFormat="1" applyFont="1" applyFill="1" applyBorder="1" applyAlignment="1">
      <alignment horizontal="center" vertical="center"/>
    </xf>
    <xf numFmtId="173" fontId="24" fillId="12" borderId="35" xfId="8" applyNumberFormat="1" applyFont="1" applyFill="1" applyBorder="1" applyAlignment="1">
      <alignment horizontal="center" vertical="center"/>
    </xf>
    <xf numFmtId="173" fontId="24" fillId="12" borderId="34" xfId="8" applyNumberFormat="1" applyFont="1" applyFill="1" applyBorder="1" applyAlignment="1">
      <alignment horizontal="center" vertical="center"/>
    </xf>
    <xf numFmtId="173" fontId="19" fillId="12" borderId="42" xfId="8" applyNumberFormat="1" applyFont="1" applyFill="1" applyBorder="1" applyAlignment="1">
      <alignment horizontal="center" vertical="center"/>
    </xf>
    <xf numFmtId="173" fontId="19" fillId="12" borderId="28" xfId="8" applyNumberFormat="1" applyFont="1" applyFill="1" applyBorder="1" applyAlignment="1">
      <alignment horizontal="center" vertical="center"/>
    </xf>
    <xf numFmtId="173" fontId="19" fillId="12" borderId="35" xfId="8" applyNumberFormat="1" applyFont="1" applyFill="1" applyBorder="1" applyAlignment="1">
      <alignment horizontal="center" vertical="center"/>
    </xf>
    <xf numFmtId="173" fontId="19" fillId="12" borderId="34" xfId="8" applyNumberFormat="1" applyFont="1" applyFill="1" applyBorder="1" applyAlignment="1">
      <alignment horizontal="center" vertical="center"/>
    </xf>
    <xf numFmtId="173" fontId="19" fillId="12" borderId="29" xfId="8" applyNumberFormat="1" applyFont="1" applyFill="1" applyBorder="1" applyAlignment="1">
      <alignment horizontal="center" vertical="center"/>
    </xf>
    <xf numFmtId="173" fontId="19" fillId="12" borderId="30" xfId="8" applyNumberFormat="1" applyFont="1" applyFill="1" applyBorder="1" applyAlignment="1">
      <alignment horizontal="center" vertical="center"/>
    </xf>
    <xf numFmtId="173" fontId="19" fillId="12" borderId="48" xfId="8" applyNumberFormat="1" applyFont="1" applyFill="1" applyBorder="1" applyAlignment="1">
      <alignment horizontal="center" vertical="center"/>
    </xf>
    <xf numFmtId="173" fontId="19" fillId="0" borderId="42" xfId="8" applyNumberFormat="1" applyFont="1" applyFill="1" applyBorder="1" applyAlignment="1">
      <alignment horizontal="center" vertical="center"/>
    </xf>
    <xf numFmtId="173" fontId="19" fillId="0" borderId="28" xfId="8" applyNumberFormat="1" applyFont="1" applyFill="1" applyBorder="1" applyAlignment="1">
      <alignment horizontal="center" vertical="center"/>
    </xf>
    <xf numFmtId="173" fontId="19" fillId="0" borderId="35" xfId="8" applyNumberFormat="1" applyFont="1" applyFill="1" applyBorder="1" applyAlignment="1">
      <alignment horizontal="center" vertical="center"/>
    </xf>
    <xf numFmtId="173" fontId="19" fillId="0" borderId="34" xfId="8" applyNumberFormat="1" applyFont="1" applyFill="1" applyBorder="1" applyAlignment="1">
      <alignment horizontal="center" vertical="center"/>
    </xf>
    <xf numFmtId="173" fontId="19" fillId="0" borderId="29" xfId="8" applyNumberFormat="1" applyFont="1" applyFill="1" applyBorder="1" applyAlignment="1">
      <alignment horizontal="center" vertical="center"/>
    </xf>
    <xf numFmtId="173" fontId="19" fillId="0" borderId="30" xfId="8" applyNumberFormat="1" applyFont="1" applyFill="1" applyBorder="1" applyAlignment="1">
      <alignment horizontal="center" vertical="center"/>
    </xf>
    <xf numFmtId="173" fontId="19" fillId="0" borderId="48" xfId="8" applyNumberFormat="1" applyFont="1" applyFill="1" applyBorder="1" applyAlignment="1">
      <alignment horizontal="center" vertical="center"/>
    </xf>
    <xf numFmtId="173" fontId="19" fillId="3" borderId="28" xfId="2" applyNumberFormat="1" applyFont="1" applyFill="1" applyBorder="1" applyAlignment="1">
      <alignment horizontal="center" vertical="center"/>
    </xf>
    <xf numFmtId="173" fontId="19" fillId="12" borderId="28" xfId="2" applyNumberFormat="1" applyFont="1" applyFill="1" applyBorder="1" applyAlignment="1">
      <alignment horizontal="center" vertical="center"/>
    </xf>
    <xf numFmtId="173" fontId="19" fillId="12" borderId="48" xfId="2" applyNumberFormat="1" applyFont="1" applyFill="1" applyBorder="1" applyAlignment="1">
      <alignment horizontal="center" vertical="center"/>
    </xf>
    <xf numFmtId="173" fontId="19" fillId="11" borderId="34" xfId="8" applyNumberFormat="1" applyFont="1" applyFill="1" applyBorder="1" applyAlignment="1">
      <alignment horizontal="center" vertical="center"/>
    </xf>
    <xf numFmtId="173" fontId="19" fillId="11" borderId="28" xfId="8" applyNumberFormat="1" applyFont="1" applyFill="1" applyBorder="1" applyAlignment="1">
      <alignment horizontal="center" vertical="center"/>
    </xf>
    <xf numFmtId="173" fontId="19" fillId="11" borderId="35" xfId="8" applyNumberFormat="1" applyFont="1" applyFill="1" applyBorder="1" applyAlignment="1">
      <alignment horizontal="center" vertical="center"/>
    </xf>
    <xf numFmtId="173" fontId="27" fillId="0" borderId="0" xfId="0" applyNumberFormat="1" applyFont="1"/>
    <xf numFmtId="173" fontId="19" fillId="12" borderId="29" xfId="2" applyNumberFormat="1" applyFont="1" applyFill="1" applyBorder="1" applyAlignment="1">
      <alignment horizontal="center" vertical="center"/>
    </xf>
    <xf numFmtId="173" fontId="19" fillId="12" borderId="35" xfId="2" applyNumberFormat="1" applyFont="1" applyFill="1" applyBorder="1" applyAlignment="1">
      <alignment horizontal="center" vertical="center"/>
    </xf>
    <xf numFmtId="173" fontId="19" fillId="12" borderId="34" xfId="2" applyNumberFormat="1" applyFont="1" applyFill="1" applyBorder="1" applyAlignment="1">
      <alignment horizontal="center" vertical="center"/>
    </xf>
    <xf numFmtId="173" fontId="19" fillId="12" borderId="30" xfId="2" applyNumberFormat="1" applyFont="1" applyFill="1" applyBorder="1" applyAlignment="1">
      <alignment horizontal="center" vertical="center"/>
    </xf>
    <xf numFmtId="173" fontId="19" fillId="11" borderId="48" xfId="8" applyNumberFormat="1" applyFont="1" applyFill="1" applyBorder="1" applyAlignment="1">
      <alignment horizontal="center" vertical="center"/>
    </xf>
    <xf numFmtId="173" fontId="19" fillId="11" borderId="48" xfId="2" applyNumberFormat="1" applyFont="1" applyFill="1" applyBorder="1" applyAlignment="1">
      <alignment horizontal="center" vertical="center"/>
    </xf>
    <xf numFmtId="173" fontId="19" fillId="11" borderId="34" xfId="2" applyNumberFormat="1" applyFont="1" applyFill="1" applyBorder="1" applyAlignment="1">
      <alignment horizontal="center" vertical="center"/>
    </xf>
    <xf numFmtId="173" fontId="19" fillId="11" borderId="28" xfId="2" applyNumberFormat="1" applyFont="1" applyFill="1" applyBorder="1" applyAlignment="1">
      <alignment horizontal="center" vertical="center"/>
    </xf>
    <xf numFmtId="173" fontId="19" fillId="0" borderId="28" xfId="2" applyNumberFormat="1" applyFont="1" applyFill="1" applyBorder="1" applyAlignment="1">
      <alignment horizontal="center" vertical="center"/>
    </xf>
    <xf numFmtId="173" fontId="19" fillId="0" borderId="35" xfId="2" applyNumberFormat="1" applyFont="1" applyFill="1" applyBorder="1" applyAlignment="1">
      <alignment horizontal="center" vertical="center"/>
    </xf>
    <xf numFmtId="173" fontId="19" fillId="0" borderId="34" xfId="2" applyNumberFormat="1" applyFont="1" applyFill="1" applyBorder="1" applyAlignment="1">
      <alignment horizontal="center" vertical="center"/>
    </xf>
    <xf numFmtId="173" fontId="19" fillId="0" borderId="29" xfId="2" applyNumberFormat="1" applyFont="1" applyFill="1" applyBorder="1" applyAlignment="1">
      <alignment horizontal="center" vertical="center"/>
    </xf>
    <xf numFmtId="173" fontId="19" fillId="0" borderId="30" xfId="2" applyNumberFormat="1" applyFont="1" applyFill="1" applyBorder="1" applyAlignment="1">
      <alignment horizontal="center" vertical="center"/>
    </xf>
    <xf numFmtId="173" fontId="19" fillId="0" borderId="48" xfId="2" applyNumberFormat="1" applyFont="1" applyFill="1" applyBorder="1" applyAlignment="1">
      <alignment horizontal="center" vertical="center"/>
    </xf>
    <xf numFmtId="173" fontId="19" fillId="11" borderId="30" xfId="8" applyNumberFormat="1" applyFont="1" applyFill="1" applyBorder="1" applyAlignment="1">
      <alignment horizontal="center" vertical="center"/>
    </xf>
    <xf numFmtId="173" fontId="19" fillId="3" borderId="48" xfId="2" applyNumberFormat="1" applyFont="1" applyFill="1" applyBorder="1" applyAlignment="1">
      <alignment horizontal="center" vertical="center"/>
    </xf>
    <xf numFmtId="173" fontId="19" fillId="11" borderId="30" xfId="2" applyNumberFormat="1" applyFont="1" applyFill="1" applyBorder="1" applyAlignment="1">
      <alignment horizontal="center" vertical="center"/>
    </xf>
    <xf numFmtId="173" fontId="19" fillId="11" borderId="35" xfId="2" applyNumberFormat="1" applyFont="1" applyFill="1" applyBorder="1" applyAlignment="1">
      <alignment horizontal="center" vertical="center"/>
    </xf>
    <xf numFmtId="166" fontId="24" fillId="11" borderId="26" xfId="8" applyNumberFormat="1" applyFont="1" applyFill="1" applyBorder="1" applyAlignment="1">
      <alignment horizontal="center" vertical="center" wrapText="1"/>
    </xf>
    <xf numFmtId="173" fontId="27" fillId="12" borderId="0" xfId="0" applyNumberFormat="1" applyFont="1" applyFill="1"/>
    <xf numFmtId="49" fontId="6" fillId="0" borderId="0" xfId="17" applyNumberFormat="1" applyFont="1" applyAlignment="1">
      <alignment horizontal="center" vertical="center"/>
    </xf>
    <xf numFmtId="49" fontId="4" fillId="0" borderId="0" xfId="17" applyNumberFormat="1" applyFont="1" applyAlignment="1">
      <alignment horizontal="center" vertical="center"/>
    </xf>
    <xf numFmtId="49" fontId="2" fillId="0" borderId="0" xfId="17" applyNumberFormat="1" applyFont="1" applyAlignment="1">
      <alignment horizontal="center" vertical="center"/>
    </xf>
    <xf numFmtId="49" fontId="29" fillId="5" borderId="4" xfId="15" applyNumberFormat="1" applyFont="1" applyFill="1" applyBorder="1" applyAlignment="1">
      <alignment horizontal="center" vertical="center"/>
    </xf>
    <xf numFmtId="49" fontId="24" fillId="2" borderId="44" xfId="8" applyNumberFormat="1" applyFont="1" applyFill="1" applyBorder="1" applyAlignment="1">
      <alignment horizontal="center" vertical="center"/>
    </xf>
    <xf numFmtId="49" fontId="24" fillId="2" borderId="45" xfId="8" applyNumberFormat="1" applyFont="1" applyFill="1" applyBorder="1" applyAlignment="1">
      <alignment horizontal="center" vertical="center"/>
    </xf>
    <xf numFmtId="49" fontId="9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24" fillId="2" borderId="44" xfId="8" applyNumberFormat="1" applyFont="1" applyFill="1" applyBorder="1" applyAlignment="1">
      <alignment horizontal="center" vertical="center"/>
    </xf>
    <xf numFmtId="0" fontId="24" fillId="2" borderId="45" xfId="8" applyNumberFormat="1" applyFont="1" applyFill="1" applyBorder="1" applyAlignment="1">
      <alignment horizontal="center" vertical="center"/>
    </xf>
    <xf numFmtId="0" fontId="29" fillId="5" borderId="49" xfId="15" applyFont="1" applyFill="1" applyBorder="1" applyAlignment="1">
      <alignment horizontal="center" vertical="center"/>
    </xf>
    <xf numFmtId="0" fontId="24" fillId="11" borderId="44" xfId="8" applyNumberFormat="1" applyFont="1" applyFill="1" applyBorder="1" applyAlignment="1">
      <alignment horizontal="center" vertical="center" wrapText="1"/>
    </xf>
    <xf numFmtId="0" fontId="24" fillId="11" borderId="45" xfId="8" applyNumberFormat="1" applyFont="1" applyFill="1" applyBorder="1" applyAlignment="1">
      <alignment horizontal="center" vertical="center"/>
    </xf>
    <xf numFmtId="0" fontId="24" fillId="12" borderId="44" xfId="8" applyNumberFormat="1" applyFont="1" applyFill="1" applyBorder="1" applyAlignment="1">
      <alignment horizontal="center" vertical="center"/>
    </xf>
    <xf numFmtId="0" fontId="24" fillId="0" borderId="45" xfId="8" applyNumberFormat="1" applyFont="1" applyFill="1" applyBorder="1" applyAlignment="1">
      <alignment horizontal="center" vertical="center"/>
    </xf>
    <xf numFmtId="0" fontId="24" fillId="13" borderId="44" xfId="8" applyNumberFormat="1" applyFont="1" applyFill="1" applyBorder="1" applyAlignment="1">
      <alignment horizontal="center" vertical="center"/>
    </xf>
    <xf numFmtId="0" fontId="24" fillId="13" borderId="45" xfId="8" applyNumberFormat="1" applyFont="1" applyFill="1" applyBorder="1" applyAlignment="1">
      <alignment horizontal="center" vertical="center"/>
    </xf>
    <xf numFmtId="0" fontId="20" fillId="11" borderId="50" xfId="0" applyFont="1" applyFill="1" applyBorder="1" applyAlignment="1">
      <alignment horizontal="center" vertical="center"/>
    </xf>
    <xf numFmtId="0" fontId="20" fillId="11" borderId="5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20" fillId="2" borderId="52" xfId="0" applyFont="1" applyFill="1" applyBorder="1" applyAlignment="1">
      <alignment horizontal="center" vertical="center"/>
    </xf>
    <xf numFmtId="0" fontId="20" fillId="13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left" vertical="center" indent="2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0" fontId="20" fillId="2" borderId="20" xfId="0" applyFont="1" applyFill="1" applyBorder="1" applyAlignment="1">
      <alignment vertical="center"/>
    </xf>
    <xf numFmtId="0" fontId="30" fillId="0" borderId="20" xfId="0" applyFont="1" applyBorder="1" applyAlignment="1">
      <alignment vertical="center"/>
    </xf>
    <xf numFmtId="0" fontId="32" fillId="0" borderId="20" xfId="0" applyFont="1" applyBorder="1" applyAlignment="1">
      <alignment vertical="center"/>
    </xf>
    <xf numFmtId="0" fontId="31" fillId="0" borderId="20" xfId="0" applyFont="1" applyBorder="1" applyAlignment="1">
      <alignment vertical="center"/>
    </xf>
    <xf numFmtId="0" fontId="20" fillId="13" borderId="20" xfId="0" applyFont="1" applyFill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33" fillId="8" borderId="32" xfId="15" applyFont="1" applyFill="1" applyBorder="1" applyAlignment="1">
      <alignment vertical="center"/>
    </xf>
    <xf numFmtId="0" fontId="29" fillId="8" borderId="32" xfId="15" applyFont="1" applyFill="1" applyBorder="1" applyAlignment="1">
      <alignment horizontal="center" vertical="center"/>
    </xf>
    <xf numFmtId="0" fontId="29" fillId="8" borderId="32" xfId="15" applyFont="1" applyFill="1" applyBorder="1" applyAlignment="1">
      <alignment vertical="center" wrapText="1"/>
    </xf>
    <xf numFmtId="49" fontId="29" fillId="8" borderId="32" xfId="15" applyNumberFormat="1" applyFont="1" applyFill="1" applyBorder="1" applyAlignment="1">
      <alignment horizontal="center" vertical="center" wrapText="1"/>
    </xf>
    <xf numFmtId="0" fontId="34" fillId="8" borderId="32" xfId="15" applyFont="1" applyFill="1" applyBorder="1" applyAlignment="1">
      <alignment horizontal="center" vertical="center"/>
    </xf>
    <xf numFmtId="171" fontId="24" fillId="8" borderId="32" xfId="2" applyNumberFormat="1" applyFont="1" applyFill="1" applyBorder="1" applyAlignment="1">
      <alignment horizontal="center" vertical="center" textRotation="180"/>
    </xf>
    <xf numFmtId="171" fontId="24" fillId="8" borderId="33" xfId="2" applyNumberFormat="1" applyFont="1" applyFill="1" applyBorder="1" applyAlignment="1">
      <alignment horizontal="center" vertical="center" textRotation="180"/>
    </xf>
    <xf numFmtId="0" fontId="33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 wrapText="1"/>
    </xf>
    <xf numFmtId="49" fontId="29" fillId="8" borderId="28" xfId="15" applyNumberFormat="1" applyFont="1" applyFill="1" applyBorder="1" applyAlignment="1">
      <alignment horizontal="center" vertical="center" wrapText="1"/>
    </xf>
    <xf numFmtId="0" fontId="34" fillId="8" borderId="28" xfId="15" applyFont="1" applyFill="1" applyBorder="1" applyAlignment="1">
      <alignment horizontal="center" vertical="center"/>
    </xf>
    <xf numFmtId="171" fontId="24" fillId="8" borderId="28" xfId="2" applyNumberFormat="1" applyFont="1" applyFill="1" applyBorder="1" applyAlignment="1">
      <alignment horizontal="center" vertical="center" textRotation="180"/>
    </xf>
    <xf numFmtId="171" fontId="24" fillId="8" borderId="35" xfId="2" applyNumberFormat="1" applyFont="1" applyFill="1" applyBorder="1" applyAlignment="1">
      <alignment horizontal="center" vertical="center" textRotation="180"/>
    </xf>
    <xf numFmtId="49" fontId="29" fillId="8" borderId="28" xfId="15" applyNumberFormat="1" applyFont="1" applyFill="1" applyBorder="1" applyAlignment="1">
      <alignment horizontal="center" vertical="center"/>
    </xf>
    <xf numFmtId="10" fontId="24" fillId="8" borderId="28" xfId="2" applyNumberFormat="1" applyFont="1" applyFill="1" applyBorder="1" applyAlignment="1">
      <alignment horizontal="right" vertical="center"/>
    </xf>
    <xf numFmtId="0" fontId="33" fillId="10" borderId="28" xfId="15" applyFont="1" applyFill="1" applyBorder="1" applyAlignment="1">
      <alignment vertical="center"/>
    </xf>
    <xf numFmtId="0" fontId="29" fillId="10" borderId="28" xfId="15" applyFont="1" applyFill="1" applyBorder="1" applyAlignment="1">
      <alignment horizontal="center" vertical="center"/>
    </xf>
    <xf numFmtId="0" fontId="29" fillId="10" borderId="28" xfId="15" applyFont="1" applyFill="1" applyBorder="1" applyAlignment="1">
      <alignment vertical="center"/>
    </xf>
    <xf numFmtId="0" fontId="34" fillId="10" borderId="28" xfId="15" applyFont="1" applyFill="1" applyBorder="1" applyAlignment="1">
      <alignment horizontal="center" vertical="center"/>
    </xf>
    <xf numFmtId="171" fontId="24" fillId="10" borderId="28" xfId="2" applyNumberFormat="1" applyFont="1" applyFill="1" applyBorder="1" applyAlignment="1">
      <alignment horizontal="center" vertical="center" textRotation="180"/>
    </xf>
    <xf numFmtId="171" fontId="24" fillId="10" borderId="35" xfId="2" applyNumberFormat="1" applyFont="1" applyFill="1" applyBorder="1" applyAlignment="1">
      <alignment horizontal="center" vertical="center" textRotation="180"/>
    </xf>
    <xf numFmtId="0" fontId="33" fillId="10" borderId="53" xfId="15" applyFont="1" applyFill="1" applyBorder="1" applyAlignment="1">
      <alignment vertical="center"/>
    </xf>
    <xf numFmtId="0" fontId="29" fillId="10" borderId="53" xfId="15" applyFont="1" applyFill="1" applyBorder="1" applyAlignment="1">
      <alignment vertical="center"/>
    </xf>
    <xf numFmtId="0" fontId="34" fillId="10" borderId="53" xfId="15" applyFont="1" applyFill="1" applyBorder="1" applyAlignment="1">
      <alignment horizontal="center" vertical="center"/>
    </xf>
    <xf numFmtId="171" fontId="24" fillId="10" borderId="53" xfId="2" applyNumberFormat="1" applyFont="1" applyFill="1" applyBorder="1" applyAlignment="1">
      <alignment horizontal="center" vertical="center" textRotation="180"/>
    </xf>
    <xf numFmtId="171" fontId="24" fillId="10" borderId="54" xfId="2" applyNumberFormat="1" applyFont="1" applyFill="1" applyBorder="1" applyAlignment="1">
      <alignment horizontal="center" vertical="center" textRotation="180"/>
    </xf>
    <xf numFmtId="0" fontId="33" fillId="0" borderId="46" xfId="15" applyFont="1" applyFill="1" applyBorder="1" applyAlignment="1">
      <alignment vertical="center"/>
    </xf>
    <xf numFmtId="0" fontId="29" fillId="0" borderId="46" xfId="15" applyFont="1" applyFill="1" applyBorder="1" applyAlignment="1">
      <alignment vertical="center"/>
    </xf>
    <xf numFmtId="49" fontId="29" fillId="0" borderId="46" xfId="15" applyNumberFormat="1" applyFont="1" applyFill="1" applyBorder="1" applyAlignment="1">
      <alignment horizontal="center" vertical="center"/>
    </xf>
    <xf numFmtId="0" fontId="29" fillId="0" borderId="46" xfId="15" applyFont="1" applyFill="1" applyBorder="1" applyAlignment="1">
      <alignment horizontal="left" vertical="center"/>
    </xf>
    <xf numFmtId="167" fontId="26" fillId="0" borderId="46" xfId="8" applyNumberFormat="1" applyFont="1" applyFill="1" applyBorder="1" applyAlignment="1">
      <alignment horizontal="center" vertical="center"/>
    </xf>
    <xf numFmtId="168" fontId="26" fillId="0" borderId="46" xfId="8" applyNumberFormat="1" applyFont="1" applyFill="1" applyBorder="1" applyAlignment="1">
      <alignment horizontal="center" vertical="center"/>
    </xf>
    <xf numFmtId="168" fontId="26" fillId="0" borderId="47" xfId="8" applyNumberFormat="1" applyFont="1" applyFill="1" applyBorder="1" applyAlignment="1">
      <alignment horizontal="center" vertical="center"/>
    </xf>
    <xf numFmtId="0" fontId="33" fillId="8" borderId="53" xfId="15" applyFont="1" applyFill="1" applyBorder="1" applyAlignment="1">
      <alignment vertical="center"/>
    </xf>
    <xf numFmtId="0" fontId="29" fillId="8" borderId="53" xfId="15" applyFont="1" applyFill="1" applyBorder="1" applyAlignment="1">
      <alignment vertical="center"/>
    </xf>
    <xf numFmtId="49" fontId="29" fillId="8" borderId="53" xfId="15" applyNumberFormat="1" applyFont="1" applyFill="1" applyBorder="1" applyAlignment="1">
      <alignment horizontal="center" vertical="center"/>
    </xf>
    <xf numFmtId="0" fontId="34" fillId="8" borderId="53" xfId="15" applyFont="1" applyFill="1" applyBorder="1" applyAlignment="1">
      <alignment horizontal="center" vertical="center"/>
    </xf>
    <xf numFmtId="10" fontId="24" fillId="8" borderId="53" xfId="2" applyNumberFormat="1" applyFont="1" applyFill="1" applyBorder="1" applyAlignment="1">
      <alignment horizontal="right" vertical="center"/>
    </xf>
    <xf numFmtId="0" fontId="33" fillId="10" borderId="29" xfId="15" applyFont="1" applyFill="1" applyBorder="1" applyAlignment="1">
      <alignment vertical="center"/>
    </xf>
    <xf numFmtId="0" fontId="33" fillId="10" borderId="56" xfId="15" applyFont="1" applyFill="1" applyBorder="1" applyAlignment="1">
      <alignment vertical="center"/>
    </xf>
    <xf numFmtId="0" fontId="33" fillId="10" borderId="57" xfId="15" applyFont="1" applyFill="1" applyBorder="1" applyAlignment="1">
      <alignment vertical="center"/>
    </xf>
    <xf numFmtId="0" fontId="33" fillId="8" borderId="58" xfId="15" applyFont="1" applyFill="1" applyBorder="1" applyAlignment="1">
      <alignment vertical="center"/>
    </xf>
    <xf numFmtId="0" fontId="33" fillId="8" borderId="29" xfId="15" applyFont="1" applyFill="1" applyBorder="1" applyAlignment="1">
      <alignment vertical="center"/>
    </xf>
    <xf numFmtId="0" fontId="33" fillId="8" borderId="56" xfId="15" applyFont="1" applyFill="1" applyBorder="1" applyAlignment="1">
      <alignment vertical="center"/>
    </xf>
    <xf numFmtId="0" fontId="33" fillId="8" borderId="59" xfId="15" applyFont="1" applyFill="1" applyBorder="1" applyAlignment="1">
      <alignment vertical="center"/>
    </xf>
    <xf numFmtId="0" fontId="33" fillId="8" borderId="60" xfId="15" applyFont="1" applyFill="1" applyBorder="1" applyAlignment="1">
      <alignment vertical="center"/>
    </xf>
    <xf numFmtId="0" fontId="33" fillId="8" borderId="61" xfId="15" applyFont="1" applyFill="1" applyBorder="1" applyAlignment="1">
      <alignment vertical="center"/>
    </xf>
    <xf numFmtId="0" fontId="33" fillId="8" borderId="62" xfId="15" applyFont="1" applyFill="1" applyBorder="1" applyAlignment="1">
      <alignment vertical="center"/>
    </xf>
    <xf numFmtId="0" fontId="33" fillId="8" borderId="63" xfId="15" applyFont="1" applyFill="1" applyBorder="1" applyAlignment="1">
      <alignment vertical="center"/>
    </xf>
    <xf numFmtId="0" fontId="33" fillId="8" borderId="64" xfId="15" applyFont="1" applyFill="1" applyBorder="1" applyAlignment="1">
      <alignment vertical="center"/>
    </xf>
    <xf numFmtId="0" fontId="33" fillId="10" borderId="52" xfId="15" applyFont="1" applyFill="1" applyBorder="1" applyAlignment="1">
      <alignment vertical="center"/>
    </xf>
    <xf numFmtId="0" fontId="29" fillId="5" borderId="3" xfId="15" applyFont="1" applyFill="1" applyBorder="1" applyAlignment="1">
      <alignment horizontal="center" vertical="center"/>
    </xf>
    <xf numFmtId="10" fontId="24" fillId="11" borderId="26" xfId="2" applyNumberFormat="1" applyFont="1" applyFill="1" applyBorder="1" applyAlignment="1">
      <alignment horizontal="right" vertical="center"/>
    </xf>
    <xf numFmtId="14" fontId="35" fillId="8" borderId="55" xfId="15" applyNumberFormat="1" applyFont="1" applyFill="1" applyBorder="1" applyAlignment="1">
      <alignment horizontal="center" vertical="center" textRotation="180"/>
    </xf>
    <xf numFmtId="49" fontId="29" fillId="5" borderId="1" xfId="15" applyNumberFormat="1" applyFont="1" applyFill="1" applyBorder="1" applyAlignment="1">
      <alignment horizontal="center" vertical="center" wrapText="1"/>
    </xf>
    <xf numFmtId="49" fontId="29" fillId="5" borderId="4" xfId="15" applyNumberFormat="1" applyFont="1" applyFill="1" applyBorder="1" applyAlignment="1">
      <alignment horizontal="center" vertical="center" wrapText="1"/>
    </xf>
    <xf numFmtId="49" fontId="29" fillId="5" borderId="6" xfId="15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1" fontId="29" fillId="6" borderId="18" xfId="15" applyNumberFormat="1" applyFont="1" applyFill="1" applyBorder="1" applyAlignment="1">
      <alignment horizontal="center" vertical="center"/>
    </xf>
    <xf numFmtId="1" fontId="29" fillId="6" borderId="13" xfId="15" applyNumberFormat="1" applyFont="1" applyFill="1" applyBorder="1" applyAlignment="1">
      <alignment horizontal="center" vertical="center"/>
    </xf>
    <xf numFmtId="1" fontId="29" fillId="6" borderId="16" xfId="15" applyNumberFormat="1" applyFont="1" applyFill="1" applyBorder="1" applyAlignment="1">
      <alignment horizontal="center" vertical="center"/>
    </xf>
    <xf numFmtId="1" fontId="29" fillId="6" borderId="9" xfId="15" applyNumberFormat="1" applyFont="1" applyFill="1" applyBorder="1" applyAlignment="1">
      <alignment horizontal="center" vertical="center"/>
    </xf>
    <xf numFmtId="1" fontId="29" fillId="6" borderId="39" xfId="15" applyNumberFormat="1" applyFont="1" applyFill="1" applyBorder="1" applyAlignment="1">
      <alignment horizontal="center" vertical="center"/>
    </xf>
    <xf numFmtId="1" fontId="29" fillId="6" borderId="40" xfId="15" applyNumberFormat="1" applyFont="1" applyFill="1" applyBorder="1" applyAlignment="1">
      <alignment horizontal="center" vertical="center"/>
    </xf>
    <xf numFmtId="1" fontId="29" fillId="6" borderId="41" xfId="15" applyNumberFormat="1" applyFont="1" applyFill="1" applyBorder="1" applyAlignment="1">
      <alignment horizontal="center" vertical="center"/>
    </xf>
    <xf numFmtId="1" fontId="29" fillId="6" borderId="12" xfId="15" applyNumberFormat="1" applyFont="1" applyFill="1" applyBorder="1" applyAlignment="1">
      <alignment horizontal="center" vertical="center"/>
    </xf>
    <xf numFmtId="1" fontId="29" fillId="7" borderId="39" xfId="15" applyNumberFormat="1" applyFont="1" applyFill="1" applyBorder="1" applyAlignment="1">
      <alignment horizontal="center" vertical="center"/>
    </xf>
    <xf numFmtId="1" fontId="29" fillId="7" borderId="40" xfId="15" applyNumberFormat="1" applyFont="1" applyFill="1" applyBorder="1" applyAlignment="1">
      <alignment horizontal="center" vertical="center"/>
    </xf>
    <xf numFmtId="1" fontId="29" fillId="7" borderId="41" xfId="15" applyNumberFormat="1" applyFont="1" applyFill="1" applyBorder="1" applyAlignment="1">
      <alignment horizontal="center" vertical="center"/>
    </xf>
    <xf numFmtId="1" fontId="29" fillId="7" borderId="12" xfId="15" applyNumberFormat="1" applyFont="1" applyFill="1" applyBorder="1" applyAlignment="1">
      <alignment horizontal="center" vertical="center"/>
    </xf>
    <xf numFmtId="1" fontId="29" fillId="7" borderId="13" xfId="15" applyNumberFormat="1" applyFont="1" applyFill="1" applyBorder="1" applyAlignment="1">
      <alignment horizontal="center" vertical="center"/>
    </xf>
    <xf numFmtId="1" fontId="29" fillId="7" borderId="9" xfId="15" applyNumberFormat="1" applyFont="1" applyFill="1" applyBorder="1" applyAlignment="1">
      <alignment horizontal="center" vertical="center"/>
    </xf>
    <xf numFmtId="0" fontId="20" fillId="2" borderId="44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vertical="center"/>
    </xf>
    <xf numFmtId="0" fontId="30" fillId="0" borderId="44" xfId="0" applyFont="1" applyBorder="1" applyAlignment="1">
      <alignment horizontal="center" vertical="center"/>
    </xf>
    <xf numFmtId="0" fontId="30" fillId="0" borderId="20" xfId="0" applyFont="1" applyBorder="1" applyAlignment="1">
      <alignment vertical="center"/>
    </xf>
    <xf numFmtId="0" fontId="5" fillId="0" borderId="0" xfId="15" applyFont="1" applyAlignment="1">
      <alignment horizontal="center" vertical="center"/>
    </xf>
    <xf numFmtId="14" fontId="8" fillId="0" borderId="0" xfId="17" applyNumberFormat="1" applyFont="1" applyAlignment="1">
      <alignment horizontal="left" vertical="center"/>
    </xf>
    <xf numFmtId="14" fontId="13" fillId="0" borderId="0" xfId="17" applyNumberFormat="1" applyFont="1" applyAlignment="1">
      <alignment horizontal="left" vertical="center"/>
    </xf>
    <xf numFmtId="0" fontId="29" fillId="5" borderId="1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0" fontId="29" fillId="5" borderId="6" xfId="15" applyFont="1" applyFill="1" applyBorder="1" applyAlignment="1">
      <alignment horizontal="center" vertical="center"/>
    </xf>
    <xf numFmtId="0" fontId="29" fillId="5" borderId="11" xfId="15" applyFont="1" applyFill="1" applyBorder="1" applyAlignment="1">
      <alignment horizontal="center" vertical="center" wrapText="1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17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65" fontId="26" fillId="8" borderId="18" xfId="15" applyNumberFormat="1" applyFont="1" applyFill="1" applyBorder="1" applyAlignment="1">
      <alignment horizontal="center" vertical="center"/>
    </xf>
    <xf numFmtId="165" fontId="26" fillId="8" borderId="13" xfId="15" applyNumberFormat="1" applyFont="1" applyFill="1" applyBorder="1" applyAlignment="1">
      <alignment horizontal="center" vertical="center"/>
    </xf>
    <xf numFmtId="165" fontId="26" fillId="8" borderId="16" xfId="15" applyNumberFormat="1" applyFont="1" applyFill="1" applyBorder="1" applyAlignment="1">
      <alignment horizontal="center" vertical="center"/>
    </xf>
    <xf numFmtId="165" fontId="26" fillId="8" borderId="9" xfId="15" applyNumberFormat="1" applyFont="1" applyFill="1" applyBorder="1" applyAlignment="1">
      <alignment horizontal="center" vertical="center"/>
    </xf>
    <xf numFmtId="165" fontId="26" fillId="8" borderId="39" xfId="15" applyNumberFormat="1" applyFont="1" applyFill="1" applyBorder="1" applyAlignment="1">
      <alignment horizontal="center" vertical="center"/>
    </xf>
    <xf numFmtId="165" fontId="26" fillId="8" borderId="40" xfId="15" applyNumberFormat="1" applyFont="1" applyFill="1" applyBorder="1" applyAlignment="1">
      <alignment horizontal="center" vertical="center"/>
    </xf>
    <xf numFmtId="165" fontId="26" fillId="8" borderId="41" xfId="15" applyNumberFormat="1" applyFont="1" applyFill="1" applyBorder="1" applyAlignment="1">
      <alignment horizontal="center" vertical="center"/>
    </xf>
    <xf numFmtId="165" fontId="26" fillId="9" borderId="39" xfId="15" applyNumberFormat="1" applyFont="1" applyFill="1" applyBorder="1" applyAlignment="1">
      <alignment horizontal="center" vertical="center"/>
    </xf>
    <xf numFmtId="165" fontId="26" fillId="9" borderId="40" xfId="15" applyNumberFormat="1" applyFont="1" applyFill="1" applyBorder="1" applyAlignment="1">
      <alignment horizontal="center" vertical="center"/>
    </xf>
    <xf numFmtId="165" fontId="26" fillId="9" borderId="41" xfId="15" applyNumberFormat="1" applyFont="1" applyFill="1" applyBorder="1" applyAlignment="1">
      <alignment horizontal="center" vertical="center"/>
    </xf>
    <xf numFmtId="0" fontId="20" fillId="11" borderId="43" xfId="0" applyFont="1" applyFill="1" applyBorder="1" applyAlignment="1">
      <alignment horizontal="center" vertical="center"/>
    </xf>
    <xf numFmtId="0" fontId="20" fillId="11" borderId="44" xfId="0" applyFont="1" applyFill="1" applyBorder="1" applyAlignment="1">
      <alignment horizontal="center" vertical="center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165" fontId="26" fillId="9" borderId="12" xfId="15" applyNumberFormat="1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165" fontId="26" fillId="8" borderId="12" xfId="15" applyNumberFormat="1" applyFont="1" applyFill="1" applyBorder="1" applyAlignment="1">
      <alignment horizontal="center" vertical="center"/>
    </xf>
    <xf numFmtId="49" fontId="29" fillId="5" borderId="3" xfId="15" applyNumberFormat="1" applyFont="1" applyFill="1" applyBorder="1" applyAlignment="1">
      <alignment horizontal="center" vertical="center" wrapText="1"/>
    </xf>
    <xf numFmtId="49" fontId="29" fillId="5" borderId="5" xfId="15" applyNumberFormat="1" applyFont="1" applyFill="1" applyBorder="1" applyAlignment="1">
      <alignment horizontal="center" vertical="center" wrapText="1"/>
    </xf>
    <xf numFmtId="49" fontId="29" fillId="5" borderId="8" xfId="15" applyNumberFormat="1" applyFont="1" applyFill="1" applyBorder="1" applyAlignment="1">
      <alignment horizontal="center" vertical="center" wrapText="1"/>
    </xf>
    <xf numFmtId="0" fontId="29" fillId="5" borderId="11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/>
    </xf>
    <xf numFmtId="0" fontId="29" fillId="5" borderId="17" xfId="15" applyFont="1" applyFill="1" applyBorder="1" applyAlignment="1">
      <alignment horizontal="center" vertical="center"/>
    </xf>
    <xf numFmtId="0" fontId="29" fillId="3" borderId="18" xfId="15" applyFont="1" applyFill="1" applyBorder="1" applyAlignment="1">
      <alignment horizontal="center" vertical="center"/>
    </xf>
    <xf numFmtId="0" fontId="29" fillId="3" borderId="13" xfId="15" applyFont="1" applyFill="1" applyBorder="1" applyAlignment="1">
      <alignment horizontal="center" vertical="center"/>
    </xf>
    <xf numFmtId="0" fontId="29" fillId="3" borderId="9" xfId="15" applyFont="1" applyFill="1" applyBorder="1" applyAlignment="1">
      <alignment horizontal="center" vertical="center"/>
    </xf>
    <xf numFmtId="0" fontId="29" fillId="4" borderId="12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horizontal="center" vertical="center"/>
    </xf>
    <xf numFmtId="0" fontId="31" fillId="0" borderId="20" xfId="0" applyFont="1" applyBorder="1" applyAlignment="1">
      <alignment vertical="center"/>
    </xf>
    <xf numFmtId="0" fontId="30" fillId="0" borderId="44" xfId="0" applyFont="1" applyBorder="1" applyAlignment="1">
      <alignment horizontal="left" vertical="center" indent="2"/>
    </xf>
    <xf numFmtId="0" fontId="20" fillId="13" borderId="44" xfId="0" applyFont="1" applyFill="1" applyBorder="1" applyAlignment="1">
      <alignment horizontal="center" vertical="center"/>
    </xf>
    <xf numFmtId="0" fontId="20" fillId="13" borderId="20" xfId="0" applyFont="1" applyFill="1" applyBorder="1" applyAlignment="1">
      <alignment vertical="center"/>
    </xf>
    <xf numFmtId="10" fontId="24" fillId="8" borderId="28" xfId="2" applyNumberFormat="1" applyFont="1" applyFill="1" applyBorder="1" applyAlignment="1">
      <alignment horizontal="right" vertical="center"/>
    </xf>
    <xf numFmtId="0" fontId="27" fillId="0" borderId="20" xfId="0" applyFont="1" applyBorder="1" applyAlignment="1">
      <alignment vertical="center"/>
    </xf>
    <xf numFmtId="10" fontId="24" fillId="8" borderId="35" xfId="2" applyNumberFormat="1" applyFont="1" applyFill="1" applyBorder="1" applyAlignment="1">
      <alignment horizontal="right" vertical="center"/>
    </xf>
    <xf numFmtId="0" fontId="29" fillId="8" borderId="28" xfId="15" applyFont="1" applyFill="1" applyBorder="1" applyAlignment="1">
      <alignment horizontal="center" vertical="center"/>
    </xf>
    <xf numFmtId="0" fontId="29" fillId="8" borderId="53" xfId="15" applyFont="1" applyFill="1" applyBorder="1" applyAlignment="1">
      <alignment horizontal="center" vertical="center"/>
    </xf>
    <xf numFmtId="10" fontId="24" fillId="8" borderId="19" xfId="2" applyNumberFormat="1" applyFont="1" applyFill="1" applyBorder="1" applyAlignment="1">
      <alignment horizontal="right" vertical="center"/>
    </xf>
    <xf numFmtId="10" fontId="24" fillId="8" borderId="23" xfId="2" applyNumberFormat="1" applyFont="1" applyFill="1" applyBorder="1" applyAlignment="1">
      <alignment horizontal="right" vertical="center"/>
    </xf>
    <xf numFmtId="10" fontId="24" fillId="8" borderId="25" xfId="2" applyNumberFormat="1" applyFont="1" applyFill="1" applyBorder="1" applyAlignment="1">
      <alignment horizontal="right" vertical="center"/>
    </xf>
    <xf numFmtId="10" fontId="24" fillId="8" borderId="53" xfId="2" applyNumberFormat="1" applyFont="1" applyFill="1" applyBorder="1" applyAlignment="1">
      <alignment horizontal="right" vertical="center"/>
    </xf>
    <xf numFmtId="10" fontId="24" fillId="8" borderId="28" xfId="2" applyNumberFormat="1" applyFont="1" applyFill="1" applyBorder="1" applyAlignment="1">
      <alignment horizontal="center" vertical="center"/>
    </xf>
    <xf numFmtId="10" fontId="24" fillId="8" borderId="53" xfId="2" applyNumberFormat="1" applyFont="1" applyFill="1" applyBorder="1" applyAlignment="1">
      <alignment horizontal="center" vertical="center"/>
    </xf>
    <xf numFmtId="10" fontId="24" fillId="8" borderId="54" xfId="2" applyNumberFormat="1" applyFont="1" applyFill="1" applyBorder="1" applyAlignment="1">
      <alignment horizontal="right" vertical="center"/>
    </xf>
    <xf numFmtId="0" fontId="20" fillId="13" borderId="65" xfId="0" applyFont="1" applyFill="1" applyBorder="1" applyAlignment="1">
      <alignment vertical="center"/>
    </xf>
    <xf numFmtId="0" fontId="20" fillId="13" borderId="51" xfId="0" applyFont="1" applyFill="1" applyBorder="1" applyAlignment="1">
      <alignment vertical="center"/>
    </xf>
  </cellXfs>
  <cellStyles count="33">
    <cellStyle name="0,0_x000d__x000a_NA_x000d__x000a_" xfId="3" xr:uid="{00000000-0005-0000-0000-000000000000}"/>
    <cellStyle name="Comma" xfId="1" builtinId="3"/>
    <cellStyle name="Comma 10 2 3 2" xfId="4" xr:uid="{00000000-0005-0000-0000-000002000000}"/>
    <cellStyle name="Comma 11 3 3" xfId="5" xr:uid="{00000000-0005-0000-0000-000003000000}"/>
    <cellStyle name="Comma 13 2" xfId="6" xr:uid="{00000000-0005-0000-0000-000004000000}"/>
    <cellStyle name="Comma 15 2 2" xfId="7" xr:uid="{00000000-0005-0000-0000-000005000000}"/>
    <cellStyle name="Comma 2" xfId="8" xr:uid="{00000000-0005-0000-0000-000006000000}"/>
    <cellStyle name="Comma 215" xfId="9" xr:uid="{00000000-0005-0000-0000-000007000000}"/>
    <cellStyle name="Comma 3" xfId="10" xr:uid="{00000000-0005-0000-0000-000008000000}"/>
    <cellStyle name="Comma 30" xfId="11" xr:uid="{00000000-0005-0000-0000-000009000000}"/>
    <cellStyle name="Comma 4" xfId="12" xr:uid="{00000000-0005-0000-0000-00000A000000}"/>
    <cellStyle name="Comma 6" xfId="13" xr:uid="{00000000-0005-0000-0000-00000B000000}"/>
    <cellStyle name="Normal" xfId="0" builtinId="0"/>
    <cellStyle name="Normal 12" xfId="14" xr:uid="{00000000-0005-0000-0000-00000D000000}"/>
    <cellStyle name="Normal 2" xfId="15" xr:uid="{00000000-0005-0000-0000-00000E000000}"/>
    <cellStyle name="Normal 2 4 2" xfId="16" xr:uid="{00000000-0005-0000-0000-00000F000000}"/>
    <cellStyle name="Normal 3" xfId="17" xr:uid="{00000000-0005-0000-0000-000010000000}"/>
    <cellStyle name="Normal 4" xfId="18" xr:uid="{00000000-0005-0000-0000-000011000000}"/>
    <cellStyle name="Normal 5" xfId="19" xr:uid="{00000000-0005-0000-0000-000012000000}"/>
    <cellStyle name="Normal 6" xfId="20" xr:uid="{00000000-0005-0000-0000-000013000000}"/>
    <cellStyle name="Percent" xfId="2" builtinId="5"/>
    <cellStyle name="Percent 13" xfId="21" xr:uid="{00000000-0005-0000-0000-000015000000}"/>
    <cellStyle name="Percent 2" xfId="22" xr:uid="{00000000-0005-0000-0000-000016000000}"/>
    <cellStyle name="Percent 2 3" xfId="23" xr:uid="{00000000-0005-0000-0000-000017000000}"/>
    <cellStyle name="Percent 3" xfId="24" xr:uid="{00000000-0005-0000-0000-000018000000}"/>
    <cellStyle name="Percent 4" xfId="25" xr:uid="{00000000-0005-0000-0000-000019000000}"/>
    <cellStyle name="Percent 4 2 2" xfId="26" xr:uid="{00000000-0005-0000-0000-00001A000000}"/>
    <cellStyle name="Percent 5 3 2" xfId="27" xr:uid="{00000000-0005-0000-0000-00001B000000}"/>
    <cellStyle name="เปอร์เซ็นต์ 2" xfId="32" xr:uid="{00000000-0005-0000-0000-000020000000}"/>
    <cellStyle name="จุลภาค 2" xfId="28" xr:uid="{00000000-0005-0000-0000-00001C000000}"/>
    <cellStyle name="ปกติ 2" xfId="29" xr:uid="{00000000-0005-0000-0000-00001D000000}"/>
    <cellStyle name="ปกติ 2 2" xfId="30" xr:uid="{00000000-0005-0000-0000-00001E000000}"/>
    <cellStyle name="ปกติ_Final BOQ Burirum เปรียบเทียบราคาเฟส 1-2 49-9-28" xfId="31" xr:uid="{00000000-0005-0000-0000-00001F000000}"/>
  </cellStyles>
  <dxfs count="20">
    <dxf>
      <font>
        <color rgb="FFFF0000"/>
      </font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7C80"/>
      <color rgb="FF1D41D5"/>
      <color rgb="FFD0EBB3"/>
      <color rgb="FFFEFDD3"/>
      <color rgb="FFF4B183"/>
      <color rgb="FFC5E3E5"/>
      <color rgb="FFB4EAB7"/>
      <color rgb="FFB4EAC0"/>
      <color rgb="FFFDB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73359</xdr:colOff>
      <xdr:row>0</xdr:row>
      <xdr:rowOff>37158</xdr:rowOff>
    </xdr:from>
    <xdr:to>
      <xdr:col>2</xdr:col>
      <xdr:colOff>1686984</xdr:colOff>
      <xdr:row>6</xdr:row>
      <xdr:rowOff>91768</xdr:rowOff>
    </xdr:to>
    <xdr:pic>
      <xdr:nvPicPr>
        <xdr:cNvPr id="3" name="Picture 2" descr="images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59" y="37158"/>
          <a:ext cx="3002915" cy="540385"/>
        </a:xfrm>
        <a:prstGeom prst="rect">
          <a:avLst/>
        </a:prstGeom>
      </xdr:spPr>
    </xdr:pic>
    <xdr:clientData/>
  </xdr:twoCellAnchor>
  <xdr:twoCellAnchor>
    <xdr:from>
      <xdr:col>46</xdr:col>
      <xdr:colOff>1699</xdr:colOff>
      <xdr:row>8</xdr:row>
      <xdr:rowOff>13607</xdr:rowOff>
    </xdr:from>
    <xdr:to>
      <xdr:col>46</xdr:col>
      <xdr:colOff>35719</xdr:colOff>
      <xdr:row>113</xdr:row>
      <xdr:rowOff>940593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CxnSpPr/>
      </xdr:nvCxnSpPr>
      <xdr:spPr>
        <a:xfrm>
          <a:off x="24730980" y="1013732"/>
          <a:ext cx="34020" cy="36240924"/>
        </a:xfrm>
        <a:prstGeom prst="line">
          <a:avLst/>
        </a:prstGeom>
        <a:ln w="76200">
          <a:solidFill>
            <a:srgbClr val="00B05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05_PLANNING/02_ASSET%20&#3588;&#3619;&#3640;&#3616;&#3633;&#3603;&#3601;&#3660;/FY2008/1_Work%20in%20Process/ASSET/FINAL24122006/#Customer#\04_Siriraj\61_Policy&amp;Planning\&#3649;&#3610;&#3610;&#3615;&#3629;&#3619;&#3660;&#3617;\Copy%20of%20form_&#3650;&#3588;&#3619;&#3591;&#3585;&#3634;&#3619;&#3651;&#3627;&#3617;&#3656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dmin/Local%20Settings/Temporary%20Internet%20Files/Content.IE5/NSGA1DII/&#3629;&#3634;&#3588;&#3634;&#3619;&#3648;&#3593;&#3621;&#3636;&#3617;&#3614;&#3619;&#3632;&#3648;&#3585;&#3637;&#3618;&#3619;&#3605;&#3636;&#3631;%20(28&#3648;&#3617;.&#3618;.51)/&#3629;&#3609;&#3640;&#3617;&#3633;&#3605;&#3636;&#3649;&#3610;&#3610;&#3619;&#3641;&#3611;&#3619;&#3634;&#3618;&#3585;&#3634;&#3619;/2550/SiME/SiME_cost_0604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laya2\d_salaya2\WINDOWS\TEMP\Cost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ISO%20Project%202559%20Backup\03-PKRU15-&#3585;&#3656;&#3629;&#3626;&#3619;&#3657;&#3634;&#3591;&#3607;&#3634;&#3591;&#3648;&#3607;&#3657;&#3634;&#3588;&#3629;&#3609;&#3585;&#3619;&#3637;&#3605;_&#3617;&#3619;&#3616;.&#3616;&#3641;&#3648;&#3585;&#3655;&#3605;\08-&#3619;&#3634;&#3618;&#3585;&#3634;&#3619;&#3588;&#3635;&#3609;&#3623;&#3603;&#3619;&#3634;&#3588;&#3634;&#3585;&#3621;&#3634;&#3591;(BOQ&#3649;&#3621;&#3632;&#3619;&#3634;&#3618;&#3585;&#3634;&#3619;&#3605;&#3633;&#3604;&#3607;&#3629;&#3609;)PDF%20and%20Native%20File\Backup\160208%20PKRU15-Cost%20-Lux%20(&#3592;&#3634;&#3585;&#3588;&#3640;&#3603;&#3619;&#3633;&#3585;&#3625;&#3660;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1/&#3626;&#3656;&#3623;&#3609;&#3591;&#3634;&#3609;&#3629;&#3629;&#3585;&#3649;&#3610;&#3610;/05-PKRU15-&#3606;&#3609;&#3609;&#3607;&#3634;&#3591;&#3648;&#3607;&#3657;&#3634;%20cover%20way&#3631;-&#3617;&#3619;&#3616;.&#3616;&#3641;&#3648;&#3585;&#3655;&#3605;/&#3591;&#3623;&#3604;&#3648;&#3591;&#3636;&#3609;-PKRU15-61-09-25.R02.&#3591;&#3610;15.799&#3621;&#3610;/&#3588;&#3635;&#3609;&#3623;&#3603;&#3591;&#3623;&#3604;&#3648;&#3591;&#3636;&#3609;-PKRU15-61-09-25.R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3/&#3626;&#3656;&#3623;&#3609;&#3591;&#3634;&#3609;&#3629;&#3629;&#3585;&#3649;&#3610;&#3610;/DRU18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651;&#3627;&#3617;&#3656;)/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&#3629;&#3609;&#3640;&#3617;&#3633;&#3605;&#3636;&#3649;&#3610;&#3610;&#3619;&#3641;&#3611;&#3619;&#3634;&#3618;&#3585;&#3634;&#3619;/2550/SiME/SiME_cost_06042007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ISO%20Project%202562%20Backup/DRU16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591;&#3610;%2040&#3621;&#3610;)/02-BOQ/Backup/190417%20PRU16-Cost%20&#3585;&#3656;&#3629;&#3626;&#3619;&#3657;&#3634;&#3591;&#3606;&#3609;&#3609;&#3588;&#3629;&#3609;&#3585;&#3619;&#3637;&#3605;%20rev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%20Up%20ISO-Project%202560%20Miw%20%20&#3627;&#3617;&#3636;&#3623;(&#3627;&#3657;&#3634;&#3617;&#3621;&#3610;)/7.IRPC40-NEW%20OFFICE%20RD-IRPC%20APPLI%20%20LAB/&#3627;&#3617;&#3636;&#3623;(%20&#3627;&#3657;&#3634;&#3617;&#3621;&#3610;)/14.FEC2%20ST/1.&#3606;&#3629;&#3604;&#3649;&#3610;&#3610;&#3650;&#3588;&#3619;&#3591;&#3626;&#3619;&#3657;&#3634;&#3591;&#3607;&#3633;&#3657;&#3591;&#3605;&#3638;&#3585;/ST-BOQ-FEC2-59-11-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OKMD\S-Curve\&#3588;&#3619;&#3633;&#3657;&#3591;&#3607;&#3637;&#3656;%2019\S-Curve%20_%20&#3591;&#3623;&#3604;&#3648;&#3591;&#3636;&#3609;&#3591;&#3623;&#3604;&#3591;&#3634;&#3609;%20&#3650;&#3588;&#3619;&#3591;&#3585;&#3634;&#3619;&#3624;&#3641;&#3609;&#3618;&#3660;&#3585;&#3634;&#3619;&#3648;&#3619;&#3637;&#3618;&#3609;&#3619;&#3641;&#3657;%20week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ge 1"/>
      <sheetName val="Page 2"/>
      <sheetName val="Page 3"/>
      <sheetName val="Total"/>
      <sheetName val="Page 4-งบบุคลากร"/>
      <sheetName val="Page 5-ค่าตอบแทน"/>
      <sheetName val="Page 6-ค่าใช้สอย"/>
      <sheetName val="Page 7-ค่าวัสดุ"/>
      <sheetName val="Page 8-ค่าสาธารณูปโภค"/>
      <sheetName val="Page 9-ครุภัณฑ์"/>
      <sheetName val="Page 10-สิ่งก่อสร้าง"/>
      <sheetName val="Page 11-รายจ่ายอื่น"/>
      <sheetName val="Page 12-งบรวม"/>
      <sheetName val="Page 13"/>
      <sheetName val="CI"/>
      <sheetName val="Sheet1 (2)"/>
      <sheetName val="Sheet2 (2)"/>
      <sheetName val="Summary SN F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Summary SN F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ศูนย์การแพทย์"/>
      <sheetName val="หอพักผู้ป่วย"/>
      <sheetName val="อาคารบริการ"/>
      <sheetName val="สรศป"/>
      <sheetName val="Cost2"/>
      <sheetName val="Sheet1"/>
      <sheetName val="FR"/>
      <sheetName val="산근"/>
      <sheetName val="#REF"/>
      <sheetName val="封面 "/>
      <sheetName val="粉刷"/>
      <sheetName val="裝修"/>
      <sheetName val="風管工程"/>
      <sheetName val="合約價"/>
      <sheetName val="ราคาต่อหน่วย2-9"/>
      <sheetName val="วัดใต้"/>
      <sheetName val="รวมราคาทั้งสิ้น"/>
      <sheetName val="????"/>
      <sheetName val=""/>
      <sheetName val="SUMMERY (BOQ)"/>
      <sheetName val="FIRST FLOOR"/>
      <sheetName val="SECOND FLOOR"/>
      <sheetName val="3RD FLOOR"/>
      <sheetName val="4 TH FLOOR"/>
      <sheetName val="1ST-4TH DOOR WORK"/>
      <sheetName val="1ST-4TH MAIL&amp;FEMALE TOILET"/>
      <sheetName val="5THFLOOR LIFT LOBBY&amp;CORRIDOR"/>
      <sheetName val="Back Up"/>
      <sheetName val="Matt_Guest"/>
      <sheetName val="Concrete Beam"/>
      <sheetName val="SUM-AIR-Submit"/>
      <sheetName val="?????@_x001c__x0014_?????_x0002__x0011__x0014_?????ñCe?_x0001_???0?"/>
      <sheetName val="FAB별"/>
      <sheetName val="AR(AUF)"/>
      <sheetName val="D&amp;W(AUF)"/>
      <sheetName val="EE"/>
      <sheetName val="RO(AUF)"/>
      <sheetName val="SAN(AUF)"/>
      <sheetName val="SUM_ALL"/>
      <sheetName val="Road&amp;Fence(AUF)"/>
      <sheetName val="ถนน+รั้ว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boq"/>
      <sheetName val="Boq(1)"/>
      <sheetName val="____"/>
      <sheetName val="_____@_x001c__x0014_______x0002__x0011__x0014______ñCe__x0001____0_"/>
      <sheetName val="封面_"/>
      <sheetName val="@ñCe?0"/>
      <sheetName val="封面_1"/>
      <sheetName val="封面_2"/>
      <sheetName val="封面_3"/>
      <sheetName val="SCIB_Proforma"/>
      <sheetName val="SCIB_Data"/>
      <sheetName val="PL"/>
      <sheetName val="ส่งมอบงาน "/>
      <sheetName val="ปก"/>
      <sheetName val="ใบแจ้งหนี้"/>
      <sheetName val="Grand Summary (2)"/>
      <sheetName val="Grand Summary "/>
      <sheetName val=" BOQ WELCOME "/>
      <sheetName val="Grand_Sum"/>
      <sheetName val="Sum_TC"/>
      <sheetName val="002"/>
      <sheetName val="003"/>
      <sheetName val="004"/>
      <sheetName val="Grand_Sum VO"/>
      <sheetName val="Sum_VIP VO"/>
      <sheetName val="@ñCe_0"/>
      <sheetName val="Invoice"/>
      <sheetName val="SAN REDUCED 1"/>
      <sheetName val="S3 Architectural"/>
      <sheetName val="SUMMERY_(BOQ)"/>
      <sheetName val="FIRST_FLOOR"/>
      <sheetName val="SECOND_FLOOR"/>
      <sheetName val="3RD_FLOOR"/>
      <sheetName val="4_TH_FLOOR"/>
      <sheetName val="1ST-4TH_DOOR_WORK"/>
      <sheetName val="1ST-4TH_MAIL&amp;FEMALE_TOILET"/>
      <sheetName val="5THFLOOR_LIFT_LOBBY&amp;CORRIDOR"/>
      <sheetName val="Back_Up"/>
      <sheetName val="Struc"/>
      <sheetName val="Ratio"/>
      <sheetName val="Ratio Quantities"/>
      <sheetName val="Foundation_VE"/>
      <sheetName val="Column_VE (Coppper)"/>
      <sheetName val="CORE WALL (GL 38-39 I-R)VE"/>
      <sheetName val="CORE WALL (GL 14-19 I-R)VE"/>
      <sheetName val="CORE WALL (GL 27-28 C-F)VE"/>
      <sheetName val="CORE WALL (GL 53-54 J)VE"/>
      <sheetName val="CORE WALL (GL 56-57 J-P)VE"/>
      <sheetName val="CORE WALL (GL 33 C-L)VE"/>
      <sheetName val="Staircase"/>
      <sheetName val="RC Wall"/>
      <sheetName val="Struc. Steel"/>
      <sheetName val="Std.RC Wall"/>
      <sheetName val="Std. Column "/>
      <sheetName val="Foundation"/>
      <sheetName val="Column_VE"/>
      <sheetName val="GFAไม้แบบท้องพื้น"/>
      <sheetName val="Struc Check Table อาคาร 1"/>
      <sheetName val="STR"/>
      <sheetName val="Sheet2"/>
      <sheetName val="_x005f_x0000__x005f_x0000__x005f_x0000__x005f_x0000__x0"/>
      <sheetName val="_____@_x005f_x001c__x005f_x0014_______x0002"/>
      <sheetName val="?????@??????????ñCe????0?"/>
      <sheetName val="Concrete_Beam"/>
      <sheetName val="SUMMERY_(BOQ)1"/>
      <sheetName val="FIRST_FLOOR1"/>
      <sheetName val="SECOND_FLOOR1"/>
      <sheetName val="3RD_FLOOR1"/>
      <sheetName val="4_TH_FLOOR1"/>
      <sheetName val="1ST-4TH_DOOR_WORK1"/>
      <sheetName val="1ST-4TH_MAIL&amp;FEMALE_TOILET1"/>
      <sheetName val="5THFLOOR_LIFT_LOBBY&amp;CORRIDOR1"/>
      <sheetName val="Back_Up1"/>
      <sheetName val="Concrete_Beam1"/>
      <sheetName val="SUMMERY_(BOQ)2"/>
      <sheetName val="FIRST_FLOOR2"/>
      <sheetName val="SECOND_FLOOR2"/>
      <sheetName val="3RD_FLOOR2"/>
      <sheetName val="4_TH_FLOOR2"/>
      <sheetName val="1ST-4TH_DOOR_WORK2"/>
      <sheetName val="1ST-4TH_MAIL&amp;FEMALE_TOILET2"/>
      <sheetName val="5THFLOOR_LIFT_LOBBY&amp;CORRIDOR2"/>
      <sheetName val="Back_Up2"/>
      <sheetName val="Concrete_Beam2"/>
      <sheetName val="SUMMERY_(BOQ)3"/>
      <sheetName val="FIRST_FLOOR3"/>
      <sheetName val="SECOND_FLOOR3"/>
      <sheetName val="3RD_FLOOR3"/>
      <sheetName val="4_TH_FLOOR3"/>
      <sheetName val="1ST-4TH_DOOR_WORK3"/>
      <sheetName val="1ST-4TH_MAIL&amp;FEMALE_TOILET3"/>
      <sheetName val="5THFLOOR_LIFT_LOBBY&amp;CORRIDOR3"/>
      <sheetName val="Back_Up3"/>
      <sheetName val="Concrete_Beam3"/>
      <sheetName val="7IFS-5A"/>
      <sheetName val="Recovered_Sheet1"/>
      <sheetName val="TOTAL -BUILDING E1"/>
      <sheetName val="SUM - MEP(E1) "/>
      <sheetName val="EE(E1)"/>
      <sheetName val="Com(E1)"/>
      <sheetName val="Air(E1 )"/>
      <sheetName val="San(E1)"/>
      <sheetName val="Fp(E1)   "/>
      <sheetName val="SUMMARY MEP"/>
      <sheetName val="Prelim"/>
      <sheetName val="พื้นที่อาคาร"/>
      <sheetName val="SUM - MEP BUILDING"/>
      <sheetName val="Electrical System "/>
      <sheetName val="Commuication System"/>
      <sheetName val="Air Conditioning  System  "/>
      <sheetName val="Sanitary System "/>
      <sheetName val="Fire Protection System "/>
      <sheetName val="Check"/>
      <sheetName val="stair"/>
      <sheetName val="ข้อมูลประตู T1"/>
      <sheetName val="ข้อมูลหน้าต่าง T1"/>
      <sheetName val="封面_4"/>
      <sheetName val="Construction"/>
      <sheetName val="schedule_1"/>
      <sheetName val=" FS"/>
      <sheetName val="Sch_1_EE"/>
      <sheetName val="Sch.2 SN"/>
      <sheetName val="Sch.3 FP"/>
      <sheetName val="Sch.4 AC"/>
      <sheetName val="Sch.6 Prelim"/>
      <sheetName val="ข้อมูลหน้าต่าง T3"/>
      <sheetName val="ข้อมูลประตู T2"/>
      <sheetName val="Data Sheet"/>
      <sheetName val="Interial"/>
      <sheetName val="EST-FOOTING (G)"/>
      <sheetName val="?????@_x005f_x001c__x005f_x0014_?????_x0002"/>
      <sheetName val="Cost per SQM_M&amp;E"/>
      <sheetName val="ปี 2562"/>
      <sheetName val="จ่ายเงิน"/>
      <sheetName val="_____@_x001c__x0014_______x0002"/>
      <sheetName val="KKC Brkdwn"/>
      <sheetName val="Factor F Data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แยกงาน"/>
      <sheetName val="แยกงาน (2)"/>
      <sheetName val="index"/>
      <sheetName val="合成単価作成・-BLDG"/>
      <sheetName val="A"/>
      <sheetName val="mat"/>
      <sheetName val="Discounted Cash Flow"/>
      <sheetName val="Garph Work-Cost"/>
      <sheetName val="Fee Rate Summary"/>
      <sheetName val="_x005f_x005f_x005f_x0000__x005f_x005f_x005f_x0000__x005"/>
      <sheetName val="_____@_x005f_x005f_x005f_x001c__x005f_x005f_x0014"/>
      <sheetName val="Sum.ALL"/>
      <sheetName val="รายการ VE"/>
      <sheetName val="PILE"/>
      <sheetName val="sum_ARC"/>
      <sheetName val="Public"/>
      <sheetName val="รวมห้องพัก"/>
      <sheetName val="HS"/>
      <sheetName val="Type A-1"/>
      <sheetName val="Type A-1M"/>
      <sheetName val="Type B-1"/>
      <sheetName val="Type C1"/>
      <sheetName val="Type C-2"/>
      <sheetName val="Type C-3"/>
      <sheetName val="Type C-5"/>
      <sheetName val="Type DP-5"/>
      <sheetName val="Type LOFT-1"/>
      <sheetName val="Type LOFT-2 "/>
      <sheetName val="Type LOFT-2M"/>
      <sheetName val="Type LOFT 3"/>
      <sheetName val="Type LOFT-4"/>
      <sheetName val="Type LOFT-5"/>
      <sheetName val="Type LOFT-6"/>
      <sheetName val="Type LOFT-7"/>
      <sheetName val="Type PH-A"/>
      <sheetName val="Type PH-B"/>
      <sheetName val="Type PH-C"/>
      <sheetName val="Type PH-D"/>
      <sheetName val="Type PH-E"/>
      <sheetName val="Hard"/>
      <sheetName val="Sum LAND"/>
      <sheetName val="Landscape"/>
      <sheetName val="SUM M&amp;E"/>
      <sheetName val="SN"/>
      <sheetName val="AC"/>
      <sheetName val="EX-WORK"/>
      <sheetName val="_x005f_x0000__x005f_x0000__x005"/>
      <sheetName val="_____@_x005f_x001c__x0014"/>
      <sheetName val="_____@_x005f_x005f_x005f_x001c__x0014"/>
      <sheetName val="_x005f_x005f_x005f_x005f_x005f_x005f_x005f_x0000__x005f"/>
      <sheetName val="_____@_x005f_x005f_x005f_x005f_x005f_x005f_x005f_x001c_"/>
      <sheetName val="QuantitySegment"/>
      <sheetName val="ปร5"/>
      <sheetName val="ราคาวัสดุ"/>
      <sheetName val="10 ข้อมูลวัสดุ-ค่าดำเนิน"/>
      <sheetName val="REF ONLY2"/>
      <sheetName val="Car."/>
      <sheetName val="cov-estimate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แผนงาน อบต ท่าลาน(ส่งเทศบาล)"/>
      <sheetName val="King 1"/>
      <sheetName val="Cctmst"/>
      <sheetName val="l-fixer"/>
      <sheetName val="Bill No. 2 - Carpark"/>
      <sheetName val="OR21 Final Forecast Rev.2"/>
      <sheetName val="Summary Forecast Budget 1&amp;2"/>
      <sheetName val="Summary Forecast Budget Rev 2"/>
      <sheetName val="Backup OR21 "/>
      <sheetName val="BOQ  VI 03.09.19 "/>
      <sheetName val="Backup BR.BMA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IMP OR21 2019.07.11"/>
      <sheetName val="Sap_Actual"/>
      <sheetName val="_____@_x005f_x001c__x005f_x005f_x0014"/>
      <sheetName val="_x005f_x005f_x005f_x0000__x005f"/>
      <sheetName val="_____@_x005f_x005f_x005f_x001c_"/>
      <sheetName val="Sheet5"/>
      <sheetName val="_____@__________ñCe____0_"/>
      <sheetName val="A1.2"/>
      <sheetName val="Construction cost assumption"/>
      <sheetName val="JLL Assumption"/>
      <sheetName val="Retail Program&amp;Rev Assumption"/>
      <sheetName val="?????@_x005f_x005f_x005f_x001c__x005f_x005f_x0014"/>
      <sheetName val="FitOutConfCentre"/>
      <sheetName val="wa"/>
      <sheetName val="ส่งมอบงาน_"/>
      <sheetName val="Grand_Summary_(2)"/>
      <sheetName val="Grand_Summary_"/>
      <sheetName val="_BOQ_WELCOME_"/>
      <sheetName val="Grand_Sum_VO"/>
      <sheetName val="Sum_VIP_VO"/>
      <sheetName val="______________________Ce______2"/>
      <sheetName val="5-2"/>
      <sheetName val="ค่าขนส่ง-1"/>
      <sheetName val="Factor F งาน DB."/>
      <sheetName val="Quotation-B1"/>
      <sheetName val="Summary"/>
      <sheetName val="Site OH-Main Construction"/>
      <sheetName val="Site OH-HMA"/>
      <sheetName val="DB-Material"/>
      <sheetName val="DB-Equipment_Man"/>
      <sheetName val="DB-Manpower"/>
      <sheetName val="Para Slurry Seal"/>
      <sheetName val="Agg. for Para Type III"/>
      <sheetName val="Agg. for Para TypeIII Haulage"/>
      <sheetName val="Mobilization-Equip"/>
      <sheetName val="Tack Coat-16+400A,B"/>
      <sheetName val="Earth Excavation"/>
      <sheetName val="B1_Embankment"/>
      <sheetName val="B1_Selected Mat"/>
      <sheetName val="B1_Subbase"/>
      <sheetName val="B1_CTB_In-Place"/>
      <sheetName val="B1_CTB In-Plant"/>
      <sheetName val="B1_CTB-Haulage"/>
      <sheetName val="HMA-Production-16+400A,B"/>
      <sheetName val="HMA-Paving-16+400A,B"/>
      <sheetName val="HMA-Haulage-16+400AB"/>
      <sheetName val="Tack Coat-17+100B"/>
      <sheetName val="HMA-Production-17+100B"/>
      <sheetName val="HMA-Paving-17+100B"/>
      <sheetName val="HMA-Haulage-17+100B"/>
      <sheetName val="Milling 5cm-ทางลงเชียงราก"/>
      <sheetName val="Tack Coat-ทางลงเชียงราก"/>
      <sheetName val="HMA-Production-ทางลงเชียงราก"/>
      <sheetName val="HMA-Paving-ทางลงเชียงราก"/>
      <sheetName val="HMA-Haulage-ทางลงเชียงราก"/>
      <sheetName val="Toll Fee"/>
      <sheetName val="Traffic Management"/>
      <sheetName val="กำพงกันตก"/>
      <sheetName val="รางระบายน้ำ"/>
      <sheetName val="ตกแต่ง-อาคาร A"/>
      <sheetName val="ตกแต่ง-อาคาร B"/>
      <sheetName val="ตกแต่ง-อาคาร C"/>
      <sheetName val="ตกแต่ง-อาคาร E"/>
      <sheetName val="一発シート"/>
      <sheetName val="BOX Cryostat Details"/>
      <sheetName val="Driver Linac Layout"/>
      <sheetName val="Inputs"/>
      <sheetName val="Magnet Details"/>
      <sheetName val="_x005f_x005f_x005F"/>
      <sheetName val="detail "/>
      <sheetName val="structure"/>
      <sheetName val="Q190802"/>
      <sheetName val="Total"/>
      <sheetName val="back up FL.4"/>
      <sheetName val="_x005f_x0000__x005f"/>
      <sheetName val="_____@_x005f_x001c_"/>
      <sheetName val="Mat_Source"/>
      <sheetName val="Unit_Div6"/>
      <sheetName val="ทำนบดิน 4"/>
      <sheetName val="Purchase Order"/>
      <sheetName val="Customize Your Purchase Order"/>
      <sheetName val="封面_5"/>
      <sheetName val="SUMMERY_(BOQ)4"/>
      <sheetName val="FIRST_FLOOR4"/>
      <sheetName val="SECOND_FLOOR4"/>
      <sheetName val="3RD_FLOOR4"/>
      <sheetName val="4_TH_FLOOR4"/>
      <sheetName val="1ST-4TH_DOOR_WORK4"/>
      <sheetName val="1ST-4TH_MAIL&amp;FEMALE_TOILET4"/>
      <sheetName val="5THFLOOR_LIFT_LOBBY&amp;CORRIDOR4"/>
      <sheetName val="Back_Up4"/>
      <sheetName val="Concrete_Beam4"/>
      <sheetName val="ส่งมอบงาน_1"/>
      <sheetName val="Grand_Summary_(2)1"/>
      <sheetName val="Grand_Summary_1"/>
      <sheetName val="_BOQ_WELCOME_1"/>
      <sheetName val="Grand_Sum_VO1"/>
      <sheetName val="Sum_VIP_VO1"/>
      <sheetName val="SAN_REDUCED_11"/>
      <sheetName val="S3_Architectural1"/>
      <sheetName val="Ratio_Quantities"/>
      <sheetName val="Column_VE_(Coppper)"/>
      <sheetName val="CORE_WALL_(GL_38-39_I-R)VE"/>
      <sheetName val="CORE_WALL_(GL_14-19_I-R)VE"/>
      <sheetName val="CORE_WALL_(GL_27-28_C-F)VE"/>
      <sheetName val="CORE_WALL_(GL_53-54_J)VE"/>
      <sheetName val="CORE_WALL_(GL_56-57_J-P)VE"/>
      <sheetName val="CORE_WALL_(GL_33_C-L)VE"/>
      <sheetName val="RC_Wall"/>
      <sheetName val="Struc__Steel"/>
      <sheetName val="Std_RC_Wall"/>
      <sheetName val="Std__Column_"/>
      <sheetName val="Struc_Check_Table_อาคาร_1"/>
      <sheetName val="SAN_REDUCED_1"/>
      <sheetName val="S3_Architectural"/>
      <sheetName val="????_x0"/>
      <sheetName val="11 ข้อมูลงานCon"/>
      <sheetName val="12 ข้อมูลงานไม้แบบ"/>
      <sheetName val="MS Box"/>
      <sheetName val="MOLP C"/>
      <sheetName val="?????@_x005f_x001c__x005f_x005f_x0014"/>
      <sheetName val="STMspry"/>
      <sheetName val="PsychroData"/>
      <sheetName val="footing"/>
      <sheetName val="Material"/>
      <sheetName val="Attach1(สรุปรวม) "/>
      <sheetName val="Attach2(BOQ Detail) "/>
      <sheetName val="Attach3(Measurement)Footing"/>
      <sheetName val="Attach3(Measurement) (Topping)"/>
      <sheetName val="Attach3(Measurement) (FL FINISH"/>
      <sheetName val="Attach3(Check Sheet)"/>
      <sheetName val="Sheet3"/>
      <sheetName val=" (FL Finis)"/>
      <sheetName val="bp bill-mark"/>
      <sheetName val="vo"/>
      <sheetName val="Sch 2"/>
      <sheetName val="ข้อมูลประตู_T1"/>
      <sheetName val="ข้อมูลหน้าต่าง_T1"/>
      <sheetName val="ข้อมูลหน้าต่าง_T3"/>
      <sheetName val="ข้อมูลประตู_T2"/>
      <sheetName val="_FS"/>
      <sheetName val="Sch_2_SN"/>
      <sheetName val="Sch_3_FP"/>
      <sheetName val="Sch_4_AC"/>
      <sheetName val="Sch_6_Prelim"/>
      <sheetName val="รายการ_VE"/>
      <sheetName val="Type_A-1"/>
      <sheetName val="Type_A-1M"/>
      <sheetName val="Type_B-1"/>
      <sheetName val="Type_C1"/>
      <sheetName val="Type_C-2"/>
      <sheetName val="Type_C-3"/>
      <sheetName val="Type_C-5"/>
      <sheetName val="Type_DP-5"/>
      <sheetName val="Type_LOFT-1"/>
      <sheetName val="Type_LOFT-2_"/>
      <sheetName val="Type_LOFT-2M"/>
      <sheetName val="Type_LOFT_3"/>
      <sheetName val="Type_LOFT-4"/>
      <sheetName val="Type_LOFT-5"/>
      <sheetName val="Type_LOFT-6"/>
      <sheetName val="Type_LOFT-7"/>
      <sheetName val="Type_PH-A"/>
      <sheetName val="Type_PH-B"/>
      <sheetName val="Type_PH-C"/>
      <sheetName val="Type_PH-D"/>
      <sheetName val="Type_PH-E"/>
      <sheetName val="Sum_LAND"/>
      <sheetName val="SUM_M&amp;E"/>
      <sheetName val="TOTAL_-BUILDING_E1"/>
      <sheetName val="SUM_-_MEP(E1)_"/>
      <sheetName val="Air(E1_)"/>
      <sheetName val="Fp(E1)___"/>
      <sheetName val="SUMMARY_MEP"/>
      <sheetName val="SUM_-_MEP_BUILDING"/>
      <sheetName val="Electrical_System_"/>
      <sheetName val="Commuication_System"/>
      <sheetName val="Air_Conditioning__System__"/>
      <sheetName val="Sanitary_System_"/>
      <sheetName val="Fire_Protection_System_"/>
      <sheetName val="ปี_2562"/>
      <sheetName val="Data_Sheet"/>
      <sheetName val="EST-FOOTING_(G)"/>
      <sheetName val="Cost_per_SQM_M&amp;E"/>
      <sheetName val="KKC_Brkdwn"/>
      <sheetName val="Factor_F_Data"/>
      <sheetName val="Grand_Summary_(_Variation)"/>
      <sheetName val="ST_work_con_M"/>
      <sheetName val="ST_work_con_carpark"/>
      <sheetName val="ST_work_M"/>
      <sheetName val="ST_work_Facad(M)_"/>
      <sheetName val="ST_work_carpark"/>
      <sheetName val="back_up_arc_Car_Park"/>
      <sheetName val="backup_str_carpark"/>
      <sheetName val="back_up_arc__M"/>
      <sheetName val="แยกงาน_ผนัง_พื้น_ฝ้า_สี"/>
      <sheetName val="Grand_SUMMARY_MEP_"/>
      <sheetName val="แยกงาน_(2)"/>
      <sheetName val="_x0"/>
      <sheetName val="_____@______x0002"/>
      <sheetName val="King_1"/>
      <sheetName val="Discounted_Cash_Flow"/>
      <sheetName val="Garph_Work-Cost"/>
      <sheetName val="10_ข้อมูลวัสดุ-ค่าดำเนิน"/>
      <sheetName val="REF_ONLY2"/>
      <sheetName val="Fee_Rate_Summary"/>
      <sheetName val="A1_2"/>
      <sheetName val="Bill_No__2_-_Carpark"/>
      <sheetName val="แผนงาน_อบต_ท่าลาน(ส่งเทศบาล)"/>
      <sheetName val="OR21_Final_Forecast_Rev_2"/>
      <sheetName val="Summary_Forecast_Budget_1&amp;2"/>
      <sheetName val="Summary_Forecast_Budget_Rev_2"/>
      <sheetName val="Backup_OR21_"/>
      <sheetName val="BOQ__VI_03_09_19_"/>
      <sheetName val="Backup_BR_BMA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IMP_OR21_2019_07_11"/>
      <sheetName val="detail_"/>
      <sheetName val="Construction_cost_assumption"/>
      <sheetName val="JLL_Assumption"/>
      <sheetName val="Car_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BOX_Cryostat_Details"/>
      <sheetName val="Driver_Linac_Layout"/>
      <sheetName val="Magnet_Details"/>
      <sheetName val="Retail_Program&amp;Rev_Assumption"/>
      <sheetName val="封面_6"/>
      <sheetName val="SUMMERY_(BOQ)5"/>
      <sheetName val="FIRST_FLOOR5"/>
      <sheetName val="SECOND_FLOOR5"/>
      <sheetName val="3RD_FLOOR5"/>
      <sheetName val="4_TH_FLOOR5"/>
      <sheetName val="1ST-4TH_DOOR_WORK5"/>
      <sheetName val="1ST-4TH_MAIL&amp;FEMALE_TOILET5"/>
      <sheetName val="5THFLOOR_LIFT_LOBBY&amp;CORRIDOR5"/>
      <sheetName val="Back_Up5"/>
      <sheetName val="Concrete_Beam5"/>
      <sheetName val="Ratio_Quantities1"/>
      <sheetName val="Column_VE_(Coppper)1"/>
      <sheetName val="CORE_WALL_(GL_38-39_I-R)VE1"/>
      <sheetName val="CORE_WALL_(GL_14-19_I-R)VE1"/>
      <sheetName val="CORE_WALL_(GL_27-28_C-F)VE1"/>
      <sheetName val="CORE_WALL_(GL_53-54_J)VE1"/>
      <sheetName val="CORE_WALL_(GL_56-57_J-P)VE1"/>
      <sheetName val="CORE_WALL_(GL_33_C-L)VE1"/>
      <sheetName val="RC_Wall1"/>
      <sheetName val="Struc__Steel1"/>
      <sheetName val="Std_RC_Wall1"/>
      <sheetName val="Std__Column_1"/>
      <sheetName val="Struc_Check_Table_อาคาร_11"/>
      <sheetName val="ข้อมูลประตู_T11"/>
      <sheetName val="ข้อมูลหน้าต่าง_T11"/>
      <sheetName val="ข้อมูลหน้าต่าง_T31"/>
      <sheetName val="ข้อมูลประตู_T21"/>
      <sheetName val="_FS1"/>
      <sheetName val="Sch_2_SN1"/>
      <sheetName val="Sch_3_FP1"/>
      <sheetName val="Sch_4_AC1"/>
      <sheetName val="Sch_6_Prelim1"/>
      <sheetName val="ปี_25621"/>
      <sheetName val="TOTAL_-BUILDING_E11"/>
      <sheetName val="SUM_-_MEP(E1)_1"/>
      <sheetName val="Air(E1_)1"/>
      <sheetName val="Fp(E1)___1"/>
      <sheetName val="Data_Sheet1"/>
      <sheetName val="SUMMARY_MEP1"/>
      <sheetName val="SUM_-_MEP_BUILDING1"/>
      <sheetName val="Electrical_System_1"/>
      <sheetName val="Commuication_System1"/>
      <sheetName val="Air_Conditioning__System__1"/>
      <sheetName val="Sanitary_System_1"/>
      <sheetName val="Fire_Protection_System_1"/>
      <sheetName val="EST-FOOTING_(G)1"/>
      <sheetName val="Cost_per_SQM_M&amp;E1"/>
      <sheetName val="รายการ_VE1"/>
      <sheetName val="Type_A-11"/>
      <sheetName val="Type_A-1M1"/>
      <sheetName val="Type_B-11"/>
      <sheetName val="Type_C11"/>
      <sheetName val="Type_C-21"/>
      <sheetName val="Type_C-31"/>
      <sheetName val="Type_C-51"/>
      <sheetName val="Type_DP-51"/>
      <sheetName val="Type_LOFT-11"/>
      <sheetName val="Type_LOFT-2_1"/>
      <sheetName val="Type_LOFT-2M1"/>
      <sheetName val="Type_LOFT_31"/>
      <sheetName val="Type_LOFT-41"/>
      <sheetName val="Type_LOFT-51"/>
      <sheetName val="Type_LOFT-61"/>
      <sheetName val="Type_LOFT-71"/>
      <sheetName val="Type_PH-A1"/>
      <sheetName val="Type_PH-B1"/>
      <sheetName val="Type_PH-C1"/>
      <sheetName val="Type_PH-D1"/>
      <sheetName val="Type_PH-E1"/>
      <sheetName val="Sum_LAND1"/>
      <sheetName val="SUM_M&amp;E1"/>
      <sheetName val="Grand_Summary_(_Variation)1"/>
      <sheetName val="ST_work_con_M1"/>
      <sheetName val="ST_work_con_carpark1"/>
      <sheetName val="ST_work_M1"/>
      <sheetName val="ST_work_Facad(M)_1"/>
      <sheetName val="ST_work_carpark1"/>
      <sheetName val="back_up_arc_Car_Park1"/>
      <sheetName val="backup_str_carpark1"/>
      <sheetName val="back_up_arc__M1"/>
      <sheetName val="แยกงาน_ผนัง_พื้น_ฝ้า_สี1"/>
      <sheetName val="Grand_SUMMARY_MEP_1"/>
      <sheetName val="แยกงาน_(2)1"/>
      <sheetName val="KKC_Brkdwn1"/>
      <sheetName val="Factor_F_Data1"/>
      <sheetName val="Garph_Work-Cost1"/>
      <sheetName val="Discounted_Cash_Flow1"/>
      <sheetName val="Bill_No__2_-_Carpark1"/>
      <sheetName val="King_11"/>
      <sheetName val="Fee_Rate_Summary1"/>
      <sheetName val="10_ข้อมูลวัสดุ-ค่าดำเนิน1"/>
      <sheetName val="REF_ONLY21"/>
      <sheetName val="A1_21"/>
      <sheetName val="OR21_Final_Forecast_Rev_21"/>
      <sheetName val="Summary_Forecast_Budget_1&amp;21"/>
      <sheetName val="Summary_Forecast_Budget_Rev_21"/>
      <sheetName val="Backup_OR21_1"/>
      <sheetName val="BOQ__VI_03_09_19_1"/>
      <sheetName val="Backup_BR_BMA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IMP_OR21_2019_07_111"/>
      <sheetName val="Car_1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แผนงาน_อบต_ท่าลาน(ส่งเทศบาล)1"/>
      <sheetName val="Construction_cost_assumption1"/>
      <sheetName val="JLL_Assumption1"/>
      <sheetName val="Retail_Program&amp;Rev_Assumption1"/>
      <sheetName val="bk unit rate"/>
      <sheetName val="Equipment"/>
      <sheetName val="splinkler"/>
      <sheetName val="FS"/>
      <sheetName val="สรุปราคา (EMC)"/>
      <sheetName val="Form"/>
      <sheetName val="master01"/>
      <sheetName val="Status Budget"/>
      <sheetName val="field"/>
      <sheetName val="basic rate"/>
      <sheetName val="PRICE LIST"/>
      <sheetName val="code"/>
      <sheetName val="back_up_FL_4"/>
      <sheetName val="ทำนบดิน_4"/>
      <sheetName val="Purchase_Order"/>
      <sheetName val="Customize_Your_Purchase_Order"/>
      <sheetName val="detail_1"/>
      <sheetName val="back_up_FL_41"/>
      <sheetName val="BOX_Cryostat_Details1"/>
      <sheetName val="Driver_Linac_Layout1"/>
      <sheetName val="Magnet_Details1"/>
      <sheetName val="ทำนบดิน_41"/>
      <sheetName val="Purchase_Order1"/>
      <sheetName val="Customize_Your_Purchase_Order1"/>
      <sheetName val="封面_7"/>
      <sheetName val="SUMMERY_(BOQ)6"/>
      <sheetName val="FIRST_FLOOR6"/>
      <sheetName val="SECOND_FLOOR6"/>
      <sheetName val="3RD_FLOOR6"/>
      <sheetName val="4_TH_FLOOR6"/>
      <sheetName val="1ST-4TH_DOOR_WORK6"/>
      <sheetName val="1ST-4TH_MAIL&amp;FEMALE_TOILET6"/>
      <sheetName val="5THFLOOR_LIFT_LOBBY&amp;CORRIDOR6"/>
      <sheetName val="Back_Up6"/>
      <sheetName val="Concrete_Beam6"/>
      <sheetName val="ส่งมอบงาน_2"/>
      <sheetName val="Grand_Summary_(2)2"/>
      <sheetName val="Grand_Summary_2"/>
      <sheetName val="_BOQ_WELCOME_2"/>
      <sheetName val="Grand_Sum_VO2"/>
      <sheetName val="Sum_VIP_VO2"/>
      <sheetName val="SAN_REDUCED_12"/>
      <sheetName val="S3_Architectural2"/>
      <sheetName val="Ratio_Quantities2"/>
      <sheetName val="Column_VE_(Coppper)2"/>
      <sheetName val="CORE_WALL_(GL_38-39_I-R)VE2"/>
      <sheetName val="CORE_WALL_(GL_14-19_I-R)VE2"/>
      <sheetName val="CORE_WALL_(GL_27-28_C-F)VE2"/>
      <sheetName val="CORE_WALL_(GL_53-54_J)VE2"/>
      <sheetName val="CORE_WALL_(GL_56-57_J-P)VE2"/>
      <sheetName val="CORE_WALL_(GL_33_C-L)VE2"/>
      <sheetName val="RC_Wall2"/>
      <sheetName val="Struc__Steel2"/>
      <sheetName val="Std_RC_Wall2"/>
      <sheetName val="Std__Column_2"/>
      <sheetName val="Struc_Check_Table_อาคาร_12"/>
      <sheetName val="ข้อมูลประตู_T12"/>
      <sheetName val="ข้อมูลหน้าต่าง_T12"/>
      <sheetName val="ข้อมูลหน้าต่าง_T32"/>
      <sheetName val="ข้อมูลประตู_T22"/>
      <sheetName val="_FS2"/>
      <sheetName val="Sch_2_SN2"/>
      <sheetName val="Sch_3_FP2"/>
      <sheetName val="Sch_4_AC2"/>
      <sheetName val="Sch_6_Prelim2"/>
      <sheetName val="รายการ_VE2"/>
      <sheetName val="Type_A-12"/>
      <sheetName val="Type_A-1M2"/>
      <sheetName val="Type_B-12"/>
      <sheetName val="Type_C12"/>
      <sheetName val="Type_C-22"/>
      <sheetName val="Type_C-32"/>
      <sheetName val="Type_C-52"/>
      <sheetName val="Type_DP-52"/>
      <sheetName val="Type_LOFT-12"/>
      <sheetName val="Type_LOFT-2_2"/>
      <sheetName val="Type_LOFT-2M2"/>
      <sheetName val="Type_LOFT_32"/>
      <sheetName val="Type_LOFT-42"/>
      <sheetName val="Type_LOFT-52"/>
      <sheetName val="Type_LOFT-62"/>
      <sheetName val="Type_LOFT-72"/>
      <sheetName val="Type_PH-A2"/>
      <sheetName val="Type_PH-B2"/>
      <sheetName val="Type_PH-C2"/>
      <sheetName val="Type_PH-D2"/>
      <sheetName val="Type_PH-E2"/>
      <sheetName val="Sum_LAND2"/>
      <sheetName val="SUM_M&amp;E2"/>
      <sheetName val="TOTAL_-BUILDING_E12"/>
      <sheetName val="SUM_-_MEP(E1)_2"/>
      <sheetName val="Air(E1_)2"/>
      <sheetName val="Fp(E1)___2"/>
      <sheetName val="SUMMARY_MEP2"/>
      <sheetName val="SUM_-_MEP_BUILDING2"/>
      <sheetName val="Electrical_System_2"/>
      <sheetName val="Commuication_System2"/>
      <sheetName val="Air_Conditioning__System__2"/>
      <sheetName val="Sanitary_System_2"/>
      <sheetName val="Fire_Protection_System_2"/>
      <sheetName val="ปี_25622"/>
      <sheetName val="Data_Sheet2"/>
      <sheetName val="EST-FOOTING_(G)2"/>
      <sheetName val="Cost_per_SQM_M&amp;E2"/>
      <sheetName val="KKC_Brkdwn2"/>
      <sheetName val="Factor_F_Data2"/>
      <sheetName val="Grand_Summary_(_Variation)2"/>
      <sheetName val="ST_work_con_M2"/>
      <sheetName val="ST_work_con_carpark2"/>
      <sheetName val="ST_work_M2"/>
      <sheetName val="ST_work_Facad(M)_2"/>
      <sheetName val="ST_work_carpark2"/>
      <sheetName val="back_up_arc_Car_Park2"/>
      <sheetName val="backup_str_carpark2"/>
      <sheetName val="back_up_arc__M2"/>
      <sheetName val="แยกงาน_ผนัง_พื้น_ฝ้า_สี2"/>
      <sheetName val="Grand_SUMMARY_MEP_2"/>
      <sheetName val="แยกงาน_(2)2"/>
      <sheetName val="King_12"/>
      <sheetName val="Discounted_Cash_Flow2"/>
      <sheetName val="Garph_Work-Cost2"/>
      <sheetName val="10_ข้อมูลวัสดุ-ค่าดำเนิน2"/>
      <sheetName val="REF_ONLY22"/>
      <sheetName val="Fee_Rate_Summary2"/>
      <sheetName val="A1_22"/>
      <sheetName val="Bill_No__2_-_Carpark2"/>
      <sheetName val="แผนงาน_อบต_ท่าลาน(ส่งเทศบาล)2"/>
      <sheetName val="OR21_Final_Forecast_Rev_22"/>
      <sheetName val="Summary_Forecast_Budget_1&amp;22"/>
      <sheetName val="Summary_Forecast_Budget_Rev_22"/>
      <sheetName val="Backup_OR21_2"/>
      <sheetName val="BOQ__VI_03_09_19_2"/>
      <sheetName val="Backup_BR_BMA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IMP_OR21_2019_07_112"/>
      <sheetName val="detail_2"/>
      <sheetName val="Construction_cost_assumption2"/>
      <sheetName val="JLL_Assumption2"/>
      <sheetName val="Retail_Program&amp;Rev_Assumption2"/>
      <sheetName val="Car_2"/>
      <sheetName val="TDC_COA_Sumry2"/>
      <sheetName val="COA_Sumry_by_Area2"/>
      <sheetName val="COA_Sumry_by_Contr2"/>
      <sheetName val="COA_Sumry_by_RG2"/>
      <sheetName val="TDC_COA_Grp_Sumry2"/>
      <sheetName val="TDC_Item_Dets-Full2"/>
      <sheetName val="TDC_Item_Dets-IPM-Full2"/>
      <sheetName val="TDC_Item_Dets2"/>
      <sheetName val="TDC_Item_Sumry2"/>
      <sheetName val="TDC_Key_Qty_Sumry2"/>
      <sheetName val="List_-_Components2"/>
      <sheetName val="List_-_Equipment2"/>
      <sheetName val="Project_Metrics2"/>
      <sheetName val="COA_Sumry_-_Std_Imp2"/>
      <sheetName val="Contr_TDC_-_Std_Imp2"/>
      <sheetName val="Item_Sumry_-_Std_Imp2"/>
      <sheetName val="Proj_TIC_-_Std_Imp2"/>
      <sheetName val="Unit_Costs_-_Std_Imp2"/>
      <sheetName val="Unit_MH_-_Std_Imp2"/>
      <sheetName val="back_up_FL_42"/>
      <sheetName val="BOX_Cryostat_Details2"/>
      <sheetName val="Driver_Linac_Layout2"/>
      <sheetName val="Magnet_Details2"/>
      <sheetName val="ทำนบดิน_42"/>
      <sheetName val="Purchase_Order2"/>
      <sheetName val="Customize_Your_Purchase_Order2"/>
      <sheetName val="summary sn fp"/>
      <sheetName val="A.O.R."/>
      <sheetName val="SH-G"/>
      <sheetName val="Spread"/>
      <sheetName val="3-145 input plan"/>
      <sheetName val="36.rc. pipe(2หน้า)"/>
      <sheetName val="SCHEDULE_6"/>
      <sheetName val="SCHEDULE_4"/>
      <sheetName val="cover"/>
      <sheetName val="หน้าปกล่าสุด"/>
      <sheetName val="ราคารวม"/>
      <sheetName val="รื้อถอน"/>
      <sheetName val="หน้าปกล่าสุด (2)"/>
      <sheetName val="Cover (2)"/>
      <sheetName val="งานตกแต่งภายใน (ตัดSCOPE)"/>
      <sheetName val="หมวดงานสถาปัตยกรรม (พาส)ต้นฉบับ"/>
      <sheetName val="หมวดงานตกแต่งภายใน(พาส)ต้นฉบับ"/>
      <sheetName val="หมวดงานสถาปัตยกรรม(ต้นฉบับ)"/>
      <sheetName val="หมวดงานตกแต่งภายใน(ต้นฉบับ)"/>
      <sheetName val="EE "/>
      <sheetName val="AC (2)"/>
      <sheetName val="ประมาณการประตูหน้าต่าง "/>
      <sheetName val="bill 2"/>
      <sheetName val="입찰내역 발주처 양식"/>
      <sheetName val="D"/>
      <sheetName val="analysis"/>
      <sheetName val="2_Building"/>
      <sheetName val="_____x0"/>
      <sheetName val="2_Ar"/>
      <sheetName val="Executive Summary_Buil"/>
      <sheetName val="SH-B"/>
      <sheetName val="SH-D"/>
      <sheetName val="SH-C"/>
      <sheetName val="CA"/>
      <sheetName val="Actual-Main"/>
      <sheetName val="Category List"/>
      <sheetName val="5a. Code_E"/>
      <sheetName val="price per model"/>
      <sheetName val="SH-A"/>
      <sheetName val="SH-E"/>
      <sheetName val="SH-F"/>
      <sheetName val="exf"/>
      <sheetName val="List"/>
      <sheetName val="book 1 summary"/>
      <sheetName val="construction cost summary"/>
      <sheetName val="sum 1-4"/>
      <sheetName val="A_DW"/>
      <sheetName val="rate"/>
      <sheetName val="Fill-up"/>
      <sheetName val="Factor_F_งาน_DB_"/>
      <sheetName val="Site_OH-Main_Construction"/>
      <sheetName val="Site_OH-HMA"/>
      <sheetName val="Para_Slurry_Seal"/>
      <sheetName val="Agg__for_Para_Type_III"/>
      <sheetName val="Agg__for_Para_TypeIII_Haulage"/>
      <sheetName val="Tack_Coat-16+400A,B"/>
      <sheetName val="Earth_Excavation"/>
      <sheetName val="B1_Selected_Mat"/>
      <sheetName val="B1_CTB_In-Plant"/>
      <sheetName val="Tack_Coat-17+100B"/>
      <sheetName val="Milling_5cm-ทางลงเชียงราก"/>
      <sheetName val="Tack_Coat-ทางลงเชียงราก"/>
      <sheetName val="Toll_Fee"/>
      <sheetName val="Traffic_Management"/>
      <sheetName val="ตกแต่ง-อาคาร_A"/>
      <sheetName val="ตกแต่ง-อาคาร_B"/>
      <sheetName val="ตกแต่ง-อาคาร_C"/>
      <sheetName val="ตกแต่ง-อาคาร_E"/>
      <sheetName val="@ñCe?0`"/>
      <sheetName val="封面_8"/>
      <sheetName val="SUMMERY_(BOQ)7"/>
      <sheetName val="FIRST_FLOOR7"/>
      <sheetName val="SECOND_FLOOR7"/>
      <sheetName val="3RD_FLOOR7"/>
      <sheetName val="4_TH_FLOOR7"/>
      <sheetName val="1ST-4TH_DOOR_WORK7"/>
      <sheetName val="1ST-4TH_MAIL&amp;FEMALE_TOILET7"/>
      <sheetName val="5THFLOOR_LIFT_LOBBY&amp;CORRIDOR7"/>
      <sheetName val="Back_Up7"/>
      <sheetName val="Concrete_Beam7"/>
      <sheetName val="ส่งมอบงาน_3"/>
      <sheetName val="Grand_Summary_(2)3"/>
      <sheetName val="Grand_Summary_3"/>
      <sheetName val="_BOQ_WELCOME_3"/>
      <sheetName val="Grand_Sum_VO3"/>
      <sheetName val="Sum_VIP_VO3"/>
      <sheetName val="Ratio_Quantities3"/>
      <sheetName val="Column_VE_(Coppper)3"/>
      <sheetName val="CORE_WALL_(GL_38-39_I-R)VE3"/>
      <sheetName val="CORE_WALL_(GL_14-19_I-R)VE3"/>
      <sheetName val="CORE_WALL_(GL_27-28_C-F)VE3"/>
      <sheetName val="CORE_WALL_(GL_53-54_J)VE3"/>
      <sheetName val="CORE_WALL_(GL_56-57_J-P)VE3"/>
      <sheetName val="CORE_WALL_(GL_33_C-L)VE3"/>
      <sheetName val="RC_Wall3"/>
      <sheetName val="Struc__Steel3"/>
      <sheetName val="Std_RC_Wall3"/>
      <sheetName val="Std__Column_3"/>
      <sheetName val="Struc_Check_Table_อาคาร_13"/>
      <sheetName val="SAN_REDUCED_13"/>
      <sheetName val="S3_Architectural3"/>
      <sheetName val="TOTAL_-BUILDING_E13"/>
      <sheetName val="SUM_-_MEP(E1)_3"/>
      <sheetName val="Air(E1_)3"/>
      <sheetName val="Fp(E1)___3"/>
      <sheetName val="SUMMARY_MEP3"/>
      <sheetName val="SUM_-_MEP_BUILDING3"/>
      <sheetName val="Electrical_System_3"/>
      <sheetName val="Commuication_System3"/>
      <sheetName val="Air_Conditioning__System__3"/>
      <sheetName val="Sanitary_System_3"/>
      <sheetName val="Fire_Protection_System_3"/>
      <sheetName val="ข้อมูลประตู_T13"/>
      <sheetName val="ข้อมูลหน้าต่าง_T13"/>
      <sheetName val="_FS3"/>
      <sheetName val="Sch_2_SN3"/>
      <sheetName val="Sch_3_FP3"/>
      <sheetName val="Sch_4_AC3"/>
      <sheetName val="Sch_6_Prelim3"/>
      <sheetName val="EST-FOOTING_(G)3"/>
      <sheetName val="Data_Sheet3"/>
      <sheetName val="ข้อมูลหน้าต่าง_T33"/>
      <sheetName val="ข้อมูลประตู_T23"/>
      <sheetName val="Cost_per_SQM_M&amp;E3"/>
      <sheetName val="ปี_25623"/>
      <sheetName val="Garph_Work-Cost3"/>
      <sheetName val="bk_unit_rate"/>
      <sheetName val="สรุปราคา_(EMC)"/>
      <sheetName val="Status_Budget"/>
      <sheetName val="11_ข้อมูลงานCon"/>
      <sheetName val="12_ข้อมูลงานไม้แบบ"/>
      <sheetName val="MS_Box"/>
      <sheetName val="MOLP_C"/>
      <sheetName val="Sch_2"/>
      <sheetName val="Attach1(สรุปรวม)_"/>
      <sheetName val="Attach2(BOQ_Detail)_"/>
      <sheetName val="Attach3(Measurement)_(Topping)"/>
      <sheetName val="Attach3(Measurement)_(FL_FINISH"/>
      <sheetName val="Attach3(Check_Sheet)"/>
      <sheetName val="_(FL_Finis)"/>
      <sheetName val="basic_rate"/>
      <sheetName val="bp_bill-mark"/>
      <sheetName val="Cost Data"/>
      <sheetName val="Discount"/>
      <sheetName val="ทดห้องพัก"/>
      <sheetName val="GR55-2395"/>
      <sheetName val="profit_budget"/>
      <sheetName val="JPN-Salary"/>
      <sheetName val="ExcRate"/>
      <sheetName val="GR55-2377"/>
      <sheetName val="封面_9"/>
      <sheetName val="SUMMERY_(BOQ)8"/>
      <sheetName val="FIRST_FLOOR8"/>
      <sheetName val="SECOND_FLOOR8"/>
      <sheetName val="3RD_FLOOR8"/>
      <sheetName val="4_TH_FLOOR8"/>
      <sheetName val="1ST-4TH_DOOR_WORK8"/>
      <sheetName val="1ST-4TH_MAIL&amp;FEMALE_TOILET8"/>
      <sheetName val="5THFLOOR_LIFT_LOBBY&amp;CORRIDOR8"/>
      <sheetName val="Back_Up8"/>
      <sheetName val="Concrete_Beam8"/>
      <sheetName val="S3_Architectural4"/>
      <sheetName val="ส่งมอบงาน_4"/>
      <sheetName val="Grand_Summary_(2)4"/>
      <sheetName val="Grand_Summary_4"/>
      <sheetName val="_BOQ_WELCOME_4"/>
      <sheetName val="Grand_Sum_VO4"/>
      <sheetName val="Sum_VIP_VO4"/>
      <sheetName val="SAN_REDUCED_14"/>
      <sheetName val="Ratio_Quantities4"/>
      <sheetName val="Column_VE_(Coppper)4"/>
      <sheetName val="CORE_WALL_(GL_38-39_I-R)VE4"/>
      <sheetName val="CORE_WALL_(GL_14-19_I-R)VE4"/>
      <sheetName val="CORE_WALL_(GL_27-28_C-F)VE4"/>
      <sheetName val="CORE_WALL_(GL_53-54_J)VE4"/>
      <sheetName val="CORE_WALL_(GL_56-57_J-P)VE4"/>
      <sheetName val="CORE_WALL_(GL_33_C-L)VE4"/>
      <sheetName val="RC_Wall4"/>
      <sheetName val="Struc__Steel4"/>
      <sheetName val="Std_RC_Wall4"/>
      <sheetName val="Std__Column_4"/>
      <sheetName val="Struc_Check_Table_อาคาร_14"/>
      <sheetName val="_FS4"/>
      <sheetName val="Sch_2_SN4"/>
      <sheetName val="Sch_3_FP4"/>
      <sheetName val="Sch_4_AC4"/>
      <sheetName val="Sch_6_Prelim4"/>
      <sheetName val="ข้อมูลประตู_T14"/>
      <sheetName val="ข้อมูลหน้าต่าง_T14"/>
      <sheetName val="ข้อมูลหน้าต่าง_T34"/>
      <sheetName val="ข้อมูลประตู_T24"/>
      <sheetName val="Data_Sheet4"/>
      <sheetName val="EST-FOOTING_(G)4"/>
      <sheetName val="封面_10"/>
      <sheetName val="SUMMERY_(BOQ)9"/>
      <sheetName val="FIRST_FLOOR9"/>
      <sheetName val="SECOND_FLOOR9"/>
      <sheetName val="3RD_FLOOR9"/>
      <sheetName val="4_TH_FLOOR9"/>
      <sheetName val="1ST-4TH_DOOR_WORK9"/>
      <sheetName val="1ST-4TH_MAIL&amp;FEMALE_TOILET9"/>
      <sheetName val="5THFLOOR_LIFT_LOBBY&amp;CORRIDOR9"/>
      <sheetName val="Back_Up9"/>
      <sheetName val="Concrete_Beam9"/>
      <sheetName val="S3_Architectural5"/>
      <sheetName val="ส่งมอบงาน_5"/>
      <sheetName val="Grand_Summary_(2)5"/>
      <sheetName val="Grand_Summary_5"/>
      <sheetName val="_BOQ_WELCOME_5"/>
      <sheetName val="Grand_Sum_VO5"/>
      <sheetName val="Sum_VIP_VO5"/>
      <sheetName val="SAN_REDUCED_15"/>
      <sheetName val="Ratio_Quantities5"/>
      <sheetName val="Column_VE_(Coppper)5"/>
      <sheetName val="CORE_WALL_(GL_38-39_I-R)VE5"/>
      <sheetName val="CORE_WALL_(GL_14-19_I-R)VE5"/>
      <sheetName val="CORE_WALL_(GL_27-28_C-F)VE5"/>
      <sheetName val="CORE_WALL_(GL_53-54_J)VE5"/>
      <sheetName val="CORE_WALL_(GL_56-57_J-P)VE5"/>
      <sheetName val="CORE_WALL_(GL_33_C-L)VE5"/>
      <sheetName val="RC_Wall5"/>
      <sheetName val="Struc__Steel5"/>
      <sheetName val="Std_RC_Wall5"/>
      <sheetName val="Std__Column_5"/>
      <sheetName val="Struc_Check_Table_อาคาร_15"/>
      <sheetName val="_FS5"/>
      <sheetName val="Sch_2_SN5"/>
      <sheetName val="Sch_3_FP5"/>
      <sheetName val="Sch_4_AC5"/>
      <sheetName val="Sch_6_Prelim5"/>
      <sheetName val="ข้อมูลประตู_T15"/>
      <sheetName val="ข้อมูลหน้าต่าง_T15"/>
      <sheetName val="ข้อมูลหน้าต่าง_T35"/>
      <sheetName val="ข้อมูลประตู_T25"/>
      <sheetName val="Data_Sheet5"/>
      <sheetName val="EST-FOOTING_(G)5"/>
      <sheetName val="封面_11"/>
      <sheetName val="SUMMERY_(BOQ)10"/>
      <sheetName val="liste"/>
      <sheetName val="Totals"/>
      <sheetName val="FInput"/>
      <sheetName val="area converter"/>
      <sheetName val="?????@_x001c__x0014_?????_x0002"/>
      <sheetName val="Land Dev't. Ph-1"/>
      <sheetName val="8-31-98"/>
      <sheetName val="worksheet inchican"/>
      <sheetName val="combined 9-30"/>
      <sheetName val="UC"/>
      <sheetName val="COMPARATIVE SUMMARY"/>
      <sheetName val="BOQ (typ-accent)"/>
      <sheetName val="Backup Rev"/>
      <sheetName val="Ratios"/>
      <sheetName val="2a-Consol-RVOs"/>
      <sheetName val="3-CAPARS Log"/>
      <sheetName val="CashFlow"/>
      <sheetName val="Assumptions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Jan"/>
      <sheetName val="Feb"/>
      <sheetName val="Mar"/>
      <sheetName val="Apr"/>
      <sheetName val="May"/>
      <sheetName val="MD_R"/>
      <sheetName val="DMD Office"/>
      <sheetName val="ADMIN OFFICE (2)"/>
      <sheetName val="exec summary"/>
      <sheetName val="sensitivities"/>
      <sheetName val="Ratchada"/>
      <sheetName val="Option1"/>
      <sheetName val="YearlyCalendar"/>
      <sheetName val="data3"/>
      <sheetName val="Lookups"/>
      <sheetName val="Data"/>
      <sheetName val="LpC"/>
      <sheetName val="DETAIL"/>
      <sheetName val="   合同台账  "/>
      <sheetName val="INPUT"/>
      <sheetName val="@_x001c__x0014__x0002__x0011__x0014_ñCe?_x0001_0"/>
      <sheetName val="summary1-2"/>
      <sheetName val="summary1-3"/>
      <sheetName val="FlatBottomClarifier (Not used)"/>
      <sheetName val="FF-3"/>
      <sheetName val="Summary cal"/>
      <sheetName val="costs"/>
      <sheetName val="opstat"/>
      <sheetName val="calc_menu_déroulant"/>
      <sheetName val="F4-F7"/>
      <sheetName val="Lookup data"/>
      <sheetName val="MASTER"/>
      <sheetName val="ปี_25625"/>
      <sheetName val="Cost_per_SQM_M&amp;E5"/>
      <sheetName val="TOTAL_-BUILDING_E15"/>
      <sheetName val="SUM_-_MEP(E1)_5"/>
      <sheetName val="Air(E1_)5"/>
      <sheetName val="Fp(E1)___5"/>
      <sheetName val="SUMMARY_MEP5"/>
      <sheetName val="SUM_-_MEP_BUILDING5"/>
      <sheetName val="Electrical_System_5"/>
      <sheetName val="Commuication_System5"/>
      <sheetName val="Air_Conditioning__System__5"/>
      <sheetName val="Sanitary_System_5"/>
      <sheetName val="Fire_Protection_System_5"/>
      <sheetName val="KKC_Brkdwn5"/>
      <sheetName val="Factor_F_Data5"/>
      <sheetName val="Grand_Summary_(_Variation)5"/>
      <sheetName val="ST_work_con_M5"/>
      <sheetName val="ST_work_con_carpark5"/>
      <sheetName val="ST_work_M5"/>
      <sheetName val="ST_work_Facad(M)_5"/>
      <sheetName val="ST_work_carpark5"/>
      <sheetName val="back_up_arc_Car_Park5"/>
      <sheetName val="backup_str_carpark5"/>
      <sheetName val="back_up_arc__M5"/>
      <sheetName val="แยกงาน_ผนัง_พื้น_ฝ้า_สี5"/>
      <sheetName val="Grand_SUMMARY_MEP_5"/>
      <sheetName val="แยกงาน_(2)5"/>
      <sheetName val="รายการ_VE5"/>
      <sheetName val="Type_A-15"/>
      <sheetName val="Type_A-1M5"/>
      <sheetName val="Type_B-15"/>
      <sheetName val="Type_C15"/>
      <sheetName val="Type_C-25"/>
      <sheetName val="Type_C-35"/>
      <sheetName val="Type_C-55"/>
      <sheetName val="Type_DP-55"/>
      <sheetName val="Type_LOFT-15"/>
      <sheetName val="Type_LOFT-2_5"/>
      <sheetName val="Type_LOFT-2M5"/>
      <sheetName val="Type_LOFT_35"/>
      <sheetName val="Type_LOFT-45"/>
      <sheetName val="Type_LOFT-55"/>
      <sheetName val="Type_LOFT-65"/>
      <sheetName val="Type_LOFT-75"/>
      <sheetName val="Type_PH-A5"/>
      <sheetName val="Type_PH-B5"/>
      <sheetName val="Type_PH-C5"/>
      <sheetName val="Type_PH-D5"/>
      <sheetName val="Type_PH-E5"/>
      <sheetName val="Sum_LAND5"/>
      <sheetName val="SUM_M&amp;E5"/>
      <sheetName val="Garph_Work-Cost5"/>
      <sheetName val="Discounted_Cash_Flow5"/>
      <sheetName val="King_15"/>
      <sheetName val="Fee_Rate_Summary5"/>
      <sheetName val="10_ข้อมูลวัสดุ-ค่าดำเนิน5"/>
      <sheetName val="REF_ONLY25"/>
      <sheetName val="A1_25"/>
      <sheetName val="Bill_No__2_-_Carpark5"/>
      <sheetName val="แผนงาน_อบต_ท่าลาน(ส่งเทศบาล)5"/>
      <sheetName val="detail_5"/>
      <sheetName val="OR21_Final_Forecast_Rev_25"/>
      <sheetName val="Summary_Forecast_Budget_1&amp;25"/>
      <sheetName val="Summary_Forecast_Budget_Rev_25"/>
      <sheetName val="Backup_OR21_5"/>
      <sheetName val="BOQ__VI_03_09_19_5"/>
      <sheetName val="Backup_BR_BMA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IMP_OR21_2019_07_115"/>
      <sheetName val="back_up_FL_45"/>
      <sheetName val="Car_5"/>
      <sheetName val="TDC_COA_Sumry5"/>
      <sheetName val="COA_Sumry_by_Area5"/>
      <sheetName val="COA_Sumry_by_Contr5"/>
      <sheetName val="COA_Sumry_by_RG5"/>
      <sheetName val="TDC_COA_Grp_Sumry5"/>
      <sheetName val="TDC_Item_Dets-Full5"/>
      <sheetName val="TDC_Item_Dets-IPM-Full5"/>
      <sheetName val="TDC_Item_Dets5"/>
      <sheetName val="TDC_Item_Sumry5"/>
      <sheetName val="TDC_Key_Qty_Sumry5"/>
      <sheetName val="List_-_Components5"/>
      <sheetName val="List_-_Equipment5"/>
      <sheetName val="Project_Metrics5"/>
      <sheetName val="COA_Sumry_-_Std_Imp5"/>
      <sheetName val="Contr_TDC_-_Std_Imp5"/>
      <sheetName val="Item_Sumry_-_Std_Imp5"/>
      <sheetName val="Proj_TIC_-_Std_Imp5"/>
      <sheetName val="Unit_Costs_-_Std_Imp5"/>
      <sheetName val="Unit_MH_-_Std_Imp5"/>
      <sheetName val="Construction_cost_assumption5"/>
      <sheetName val="JLL_Assumption5"/>
      <sheetName val="Retail_Program&amp;Rev_Assumption5"/>
      <sheetName val="BOX_Cryostat_Details5"/>
      <sheetName val="Driver_Linac_Layout5"/>
      <sheetName val="Magnet_Details5"/>
      <sheetName val="Factor_F_งาน_DB_2"/>
      <sheetName val="Site_OH-Main_Construction2"/>
      <sheetName val="Site_OH-HMA2"/>
      <sheetName val="Para_Slurry_Seal2"/>
      <sheetName val="Agg__for_Para_Type_III2"/>
      <sheetName val="Agg__for_Para_TypeIII_Haulage2"/>
      <sheetName val="Tack_Coat-16+400A,B2"/>
      <sheetName val="Earth_Excavation2"/>
      <sheetName val="B1_Selected_Mat2"/>
      <sheetName val="B1_CTB_In-Plant2"/>
      <sheetName val="Tack_Coat-17+100B2"/>
      <sheetName val="Milling_5cm-ทางลงเชียงราก2"/>
      <sheetName val="Tack_Coat-ทางลงเชียงราก2"/>
      <sheetName val="Toll_Fee2"/>
      <sheetName val="Traffic_Management2"/>
      <sheetName val="ทำนบดิน_45"/>
      <sheetName val="Purchase_Order5"/>
      <sheetName val="Customize_Your_Purchase_Order5"/>
      <sheetName val="Attach1(สรุปรวม)_2"/>
      <sheetName val="Attach2(BOQ_Detail)_2"/>
      <sheetName val="Attach3(Measurement)_(Topping)2"/>
      <sheetName val="Attach3(Measurement)_(FL_FINIS2"/>
      <sheetName val="Attach3(Check_Sheet)2"/>
      <sheetName val="_(FL_Finis)2"/>
      <sheetName val="11_ข้อมูลงานCon2"/>
      <sheetName val="12_ข้อมูลงานไม้แบบ2"/>
      <sheetName val="bp_bill-mark2"/>
      <sheetName val="ตกแต่ง-อาคาร_A2"/>
      <sheetName val="ตกแต่ง-อาคาร_B2"/>
      <sheetName val="ตกแต่ง-อาคาร_C2"/>
      <sheetName val="ตกแต่ง-อาคาร_E2"/>
      <sheetName val="basic_rate2"/>
      <sheetName val="bk_unit_rate2"/>
      <sheetName val="3-145_input_plan2"/>
      <sheetName val="Sch_22"/>
      <sheetName val="PRICE_LIST2"/>
      <sheetName val="MS_Box2"/>
      <sheetName val="MOLP_C2"/>
      <sheetName val="36_rc__pipe(2หน้า)2"/>
      <sheetName val="KKC_Brkdwn3"/>
      <sheetName val="Factor_F_Data3"/>
      <sheetName val="Grand_Summary_(_Variation)3"/>
      <sheetName val="ST_work_con_M3"/>
      <sheetName val="ST_work_con_carpark3"/>
      <sheetName val="ST_work_M3"/>
      <sheetName val="ST_work_Facad(M)_3"/>
      <sheetName val="ST_work_carpark3"/>
      <sheetName val="back_up_arc_Car_Park3"/>
      <sheetName val="backup_str_carpark3"/>
      <sheetName val="back_up_arc__M3"/>
      <sheetName val="แยกงาน_ผนัง_พื้น_ฝ้า_สี3"/>
      <sheetName val="Grand_SUMMARY_MEP_3"/>
      <sheetName val="แยกงาน_(2)3"/>
      <sheetName val="รายการ_VE3"/>
      <sheetName val="Type_A-13"/>
      <sheetName val="Type_A-1M3"/>
      <sheetName val="Type_B-13"/>
      <sheetName val="Type_C13"/>
      <sheetName val="Type_C-23"/>
      <sheetName val="Type_C-33"/>
      <sheetName val="Type_C-53"/>
      <sheetName val="Type_DP-53"/>
      <sheetName val="Type_LOFT-13"/>
      <sheetName val="Type_LOFT-2_3"/>
      <sheetName val="Type_LOFT-2M3"/>
      <sheetName val="Type_LOFT_33"/>
      <sheetName val="Type_LOFT-43"/>
      <sheetName val="Type_LOFT-53"/>
      <sheetName val="Type_LOFT-63"/>
      <sheetName val="Type_LOFT-73"/>
      <sheetName val="Type_PH-A3"/>
      <sheetName val="Type_PH-B3"/>
      <sheetName val="Type_PH-C3"/>
      <sheetName val="Type_PH-D3"/>
      <sheetName val="Type_PH-E3"/>
      <sheetName val="Sum_LAND3"/>
      <sheetName val="SUM_M&amp;E3"/>
      <sheetName val="Discounted_Cash_Flow3"/>
      <sheetName val="King_13"/>
      <sheetName val="Fee_Rate_Summary3"/>
      <sheetName val="10_ข้อมูลวัสดุ-ค่าดำเนิน3"/>
      <sheetName val="REF_ONLY23"/>
      <sheetName val="A1_23"/>
      <sheetName val="Bill_No__2_-_Carpark3"/>
      <sheetName val="แผนงาน_อบต_ท่าลาน(ส่งเทศบาล)3"/>
      <sheetName val="detail_3"/>
      <sheetName val="OR21_Final_Forecast_Rev_23"/>
      <sheetName val="Summary_Forecast_Budget_1&amp;23"/>
      <sheetName val="Summary_Forecast_Budget_Rev_23"/>
      <sheetName val="Backup_OR21_3"/>
      <sheetName val="BOQ__VI_03_09_19_3"/>
      <sheetName val="Backup_BR_BMA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IMP_OR21_2019_07_113"/>
      <sheetName val="back_up_FL_43"/>
      <sheetName val="Car_3"/>
      <sheetName val="TDC_COA_Sumry3"/>
      <sheetName val="COA_Sumry_by_Area3"/>
      <sheetName val="COA_Sumry_by_Contr3"/>
      <sheetName val="COA_Sumry_by_RG3"/>
      <sheetName val="TDC_COA_Grp_Sumry3"/>
      <sheetName val="TDC_Item_Dets-Full3"/>
      <sheetName val="TDC_Item_Dets-IPM-Full3"/>
      <sheetName val="TDC_Item_Dets3"/>
      <sheetName val="TDC_Item_Sumry3"/>
      <sheetName val="TDC_Key_Qty_Sumry3"/>
      <sheetName val="List_-_Components3"/>
      <sheetName val="List_-_Equipment3"/>
      <sheetName val="Project_Metrics3"/>
      <sheetName val="COA_Sumry_-_Std_Imp3"/>
      <sheetName val="Contr_TDC_-_Std_Imp3"/>
      <sheetName val="Item_Sumry_-_Std_Imp3"/>
      <sheetName val="Proj_TIC_-_Std_Imp3"/>
      <sheetName val="Unit_Costs_-_Std_Imp3"/>
      <sheetName val="Unit_MH_-_Std_Imp3"/>
      <sheetName val="Construction_cost_assumption3"/>
      <sheetName val="JLL_Assumption3"/>
      <sheetName val="Retail_Program&amp;Rev_Assumption3"/>
      <sheetName val="BOX_Cryostat_Details3"/>
      <sheetName val="Driver_Linac_Layout3"/>
      <sheetName val="Magnet_Details3"/>
      <sheetName val="ทำนบดิน_43"/>
      <sheetName val="Purchase_Order3"/>
      <sheetName val="Customize_Your_Purchase_Order3"/>
      <sheetName val="3-145_input_plan"/>
      <sheetName val="PRICE_LIST"/>
      <sheetName val="36_rc__pipe(2หน้า)"/>
      <sheetName val="ปี_25624"/>
      <sheetName val="Cost_per_SQM_M&amp;E4"/>
      <sheetName val="TOTAL_-BUILDING_E14"/>
      <sheetName val="SUM_-_MEP(E1)_4"/>
      <sheetName val="Air(E1_)4"/>
      <sheetName val="Fp(E1)___4"/>
      <sheetName val="SUMMARY_MEP4"/>
      <sheetName val="SUM_-_MEP_BUILDING4"/>
      <sheetName val="Electrical_System_4"/>
      <sheetName val="Commuication_System4"/>
      <sheetName val="Air_Conditioning__System__4"/>
      <sheetName val="Sanitary_System_4"/>
      <sheetName val="Fire_Protection_System_4"/>
      <sheetName val="KKC_Brkdwn4"/>
      <sheetName val="Factor_F_Data4"/>
      <sheetName val="Grand_Summary_(_Variation)4"/>
      <sheetName val="ST_work_con_M4"/>
      <sheetName val="ST_work_con_carpark4"/>
      <sheetName val="ST_work_M4"/>
      <sheetName val="ST_work_Facad(M)_4"/>
      <sheetName val="ST_work_carpark4"/>
      <sheetName val="back_up_arc_Car_Park4"/>
      <sheetName val="backup_str_carpark4"/>
      <sheetName val="back_up_arc__M4"/>
      <sheetName val="แยกงาน_ผนัง_พื้น_ฝ้า_สี4"/>
      <sheetName val="Grand_SUMMARY_MEP_4"/>
      <sheetName val="แยกงาน_(2)4"/>
      <sheetName val="รายการ_VE4"/>
      <sheetName val="Type_A-14"/>
      <sheetName val="Type_A-1M4"/>
      <sheetName val="Type_B-14"/>
      <sheetName val="Type_C14"/>
      <sheetName val="Type_C-24"/>
      <sheetName val="Type_C-34"/>
      <sheetName val="Type_C-54"/>
      <sheetName val="Type_DP-54"/>
      <sheetName val="Type_LOFT-14"/>
      <sheetName val="Type_LOFT-2_4"/>
      <sheetName val="Type_LOFT-2M4"/>
      <sheetName val="Type_LOFT_34"/>
      <sheetName val="Type_LOFT-44"/>
      <sheetName val="Type_LOFT-54"/>
      <sheetName val="Type_LOFT-64"/>
      <sheetName val="Type_LOFT-74"/>
      <sheetName val="Type_PH-A4"/>
      <sheetName val="Type_PH-B4"/>
      <sheetName val="Type_PH-C4"/>
      <sheetName val="Type_PH-D4"/>
      <sheetName val="Type_PH-E4"/>
      <sheetName val="Sum_LAND4"/>
      <sheetName val="SUM_M&amp;E4"/>
      <sheetName val="Garph_Work-Cost4"/>
      <sheetName val="Discounted_Cash_Flow4"/>
      <sheetName val="King_14"/>
      <sheetName val="Fee_Rate_Summary4"/>
      <sheetName val="10_ข้อมูลวัสดุ-ค่าดำเนิน4"/>
      <sheetName val="REF_ONLY24"/>
      <sheetName val="A1_24"/>
      <sheetName val="Bill_No__2_-_Carpark4"/>
      <sheetName val="แผนงาน_อบต_ท่าลาน(ส่งเทศบาล)4"/>
      <sheetName val="detail_4"/>
      <sheetName val="OR21_Final_Forecast_Rev_24"/>
      <sheetName val="Summary_Forecast_Budget_1&amp;24"/>
      <sheetName val="Summary_Forecast_Budget_Rev_24"/>
      <sheetName val="Backup_OR21_4"/>
      <sheetName val="BOQ__VI_03_09_19_4"/>
      <sheetName val="Backup_BR_BMA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IMP_OR21_2019_07_114"/>
      <sheetName val="back_up_FL_44"/>
      <sheetName val="Car_4"/>
      <sheetName val="TDC_COA_Sumry4"/>
      <sheetName val="COA_Sumry_by_Area4"/>
      <sheetName val="COA_Sumry_by_Contr4"/>
      <sheetName val="COA_Sumry_by_RG4"/>
      <sheetName val="TDC_COA_Grp_Sumry4"/>
      <sheetName val="TDC_Item_Dets-Full4"/>
      <sheetName val="TDC_Item_Dets-IPM-Full4"/>
      <sheetName val="TDC_Item_Dets4"/>
      <sheetName val="TDC_Item_Sumry4"/>
      <sheetName val="TDC_Key_Qty_Sumry4"/>
      <sheetName val="List_-_Components4"/>
      <sheetName val="List_-_Equipment4"/>
      <sheetName val="Project_Metrics4"/>
      <sheetName val="COA_Sumry_-_Std_Imp4"/>
      <sheetName val="Contr_TDC_-_Std_Imp4"/>
      <sheetName val="Item_Sumry_-_Std_Imp4"/>
      <sheetName val="Proj_TIC_-_Std_Imp4"/>
      <sheetName val="Unit_Costs_-_Std_Imp4"/>
      <sheetName val="Unit_MH_-_Std_Imp4"/>
      <sheetName val="Construction_cost_assumption4"/>
      <sheetName val="JLL_Assumption4"/>
      <sheetName val="Retail_Program&amp;Rev_Assumption4"/>
      <sheetName val="BOX_Cryostat_Details4"/>
      <sheetName val="Driver_Linac_Layout4"/>
      <sheetName val="Magnet_Details4"/>
      <sheetName val="Factor_F_งาน_DB_1"/>
      <sheetName val="Site_OH-Main_Construction1"/>
      <sheetName val="Site_OH-HMA1"/>
      <sheetName val="Para_Slurry_Seal1"/>
      <sheetName val="Agg__for_Para_Type_III1"/>
      <sheetName val="Agg__for_Para_TypeIII_Haulage1"/>
      <sheetName val="Tack_Coat-16+400A,B1"/>
      <sheetName val="Earth_Excavation1"/>
      <sheetName val="B1_Selected_Mat1"/>
      <sheetName val="B1_CTB_In-Plant1"/>
      <sheetName val="Tack_Coat-17+100B1"/>
      <sheetName val="Milling_5cm-ทางลงเชียงราก1"/>
      <sheetName val="Tack_Coat-ทางลงเชียงราก1"/>
      <sheetName val="Toll_Fee1"/>
      <sheetName val="Traffic_Management1"/>
      <sheetName val="ทำนบดิน_44"/>
      <sheetName val="Purchase_Order4"/>
      <sheetName val="Customize_Your_Purchase_Order4"/>
      <sheetName val="Attach1(สรุปรวม)_1"/>
      <sheetName val="Attach2(BOQ_Detail)_1"/>
      <sheetName val="Attach3(Measurement)_(Topping)1"/>
      <sheetName val="Attach3(Measurement)_(FL_FINIS1"/>
      <sheetName val="Attach3(Check_Sheet)1"/>
      <sheetName val="_(FL_Finis)1"/>
      <sheetName val="11_ข้อมูลงานCon1"/>
      <sheetName val="12_ข้อมูลงานไม้แบบ1"/>
      <sheetName val="bp_bill-mark1"/>
      <sheetName val="ตกแต่ง-อาคาร_A1"/>
      <sheetName val="ตกแต่ง-อาคาร_B1"/>
      <sheetName val="ตกแต่ง-อาคาร_C1"/>
      <sheetName val="ตกแต่ง-อาคาร_E1"/>
      <sheetName val="basic_rate1"/>
      <sheetName val="bk_unit_rate1"/>
      <sheetName val="3-145_input_plan1"/>
      <sheetName val="Sch_21"/>
      <sheetName val="PRICE_LIST1"/>
      <sheetName val="MS_Box1"/>
      <sheetName val="MOLP_C1"/>
      <sheetName val="36_rc__pipe(2หน้า)1"/>
      <sheetName val="FIRST_FLOOR10"/>
      <sheetName val="SECOND_FLOOR10"/>
      <sheetName val="3RD_FLOOR10"/>
      <sheetName val="4_TH_FLOOR10"/>
      <sheetName val="1ST-4TH_DOOR_WORK10"/>
      <sheetName val="1ST-4TH_MAIL&amp;FEMALE_TOILET10"/>
      <sheetName val="5THFLOOR_LIFT_LOBBY&amp;CORRIDOR10"/>
      <sheetName val="Back_Up10"/>
      <sheetName val="Concrete_Beam10"/>
      <sheetName val="ส่งมอบงาน_6"/>
      <sheetName val="Grand_Summary_(2)6"/>
      <sheetName val="Grand_Summary_6"/>
      <sheetName val="_BOQ_WELCOME_6"/>
      <sheetName val="Grand_Sum_VO6"/>
      <sheetName val="Sum_VIP_VO6"/>
      <sheetName val="SAN_REDUCED_16"/>
      <sheetName val="S3_Architectural6"/>
      <sheetName val="Ratio_Quantities6"/>
      <sheetName val="Column_VE_(Coppper)6"/>
      <sheetName val="CORE_WALL_(GL_38-39_I-R)VE6"/>
      <sheetName val="CORE_WALL_(GL_14-19_I-R)VE6"/>
      <sheetName val="CORE_WALL_(GL_27-28_C-F)VE6"/>
      <sheetName val="CORE_WALL_(GL_53-54_J)VE6"/>
      <sheetName val="CORE_WALL_(GL_56-57_J-P)VE6"/>
      <sheetName val="CORE_WALL_(GL_33_C-L)VE6"/>
      <sheetName val="RC_Wall6"/>
      <sheetName val="Struc__Steel6"/>
      <sheetName val="Std_RC_Wall6"/>
      <sheetName val="Std__Column_6"/>
      <sheetName val="Struc_Check_Table_อาคาร_16"/>
      <sheetName val="ข้อมูลประตู_T16"/>
      <sheetName val="ข้อมูลหน้าต่าง_T16"/>
      <sheetName val="ข้อมูลหน้าต่าง_T36"/>
      <sheetName val="ข้อมูลประตู_T26"/>
      <sheetName val="ปี_25626"/>
      <sheetName val="Data_Sheet6"/>
      <sheetName val="EST-FOOTING_(G)6"/>
      <sheetName val="Cost_per_SQM_M&amp;E6"/>
      <sheetName val="_FS6"/>
      <sheetName val="Sch_2_SN6"/>
      <sheetName val="Sch_3_FP6"/>
      <sheetName val="Sch_4_AC6"/>
      <sheetName val="Sch_6_Prelim6"/>
      <sheetName val="TOTAL_-BUILDING_E16"/>
      <sheetName val="SUM_-_MEP(E1)_6"/>
      <sheetName val="Air(E1_)6"/>
      <sheetName val="Fp(E1)___6"/>
      <sheetName val="SUMMARY_MEP6"/>
      <sheetName val="SUM_-_MEP_BUILDING6"/>
      <sheetName val="Electrical_System_6"/>
      <sheetName val="Commuication_System6"/>
      <sheetName val="Air_Conditioning__System__6"/>
      <sheetName val="Sanitary_System_6"/>
      <sheetName val="Fire_Protection_System_6"/>
      <sheetName val="รายการ_VE6"/>
      <sheetName val="Type_A-16"/>
      <sheetName val="Type_A-1M6"/>
      <sheetName val="Type_B-16"/>
      <sheetName val="Type_C16"/>
      <sheetName val="Type_C-26"/>
      <sheetName val="Type_C-36"/>
      <sheetName val="Type_C-56"/>
      <sheetName val="Type_DP-56"/>
      <sheetName val="Type_LOFT-16"/>
      <sheetName val="Type_LOFT-2_6"/>
      <sheetName val="Type_LOFT-2M6"/>
      <sheetName val="Type_LOFT_36"/>
      <sheetName val="Type_LOFT-46"/>
      <sheetName val="Type_LOFT-56"/>
      <sheetName val="Type_LOFT-66"/>
      <sheetName val="Type_LOFT-76"/>
      <sheetName val="Type_PH-A6"/>
      <sheetName val="Type_PH-B6"/>
      <sheetName val="Type_PH-C6"/>
      <sheetName val="Type_PH-D6"/>
      <sheetName val="Type_PH-E6"/>
      <sheetName val="Sum_LAND6"/>
      <sheetName val="SUM_M&amp;E6"/>
      <sheetName val="KKC_Brkdwn6"/>
      <sheetName val="Factor_F_Data6"/>
      <sheetName val="Grand_Summary_(_Variation)6"/>
      <sheetName val="ST_work_con_M6"/>
      <sheetName val="ST_work_con_carpark6"/>
      <sheetName val="ST_work_M6"/>
      <sheetName val="ST_work_Facad(M)_6"/>
      <sheetName val="ST_work_carpark6"/>
      <sheetName val="back_up_arc_Car_Park6"/>
      <sheetName val="backup_str_carpark6"/>
      <sheetName val="back_up_arc__M6"/>
      <sheetName val="แยกงาน_ผนัง_พื้น_ฝ้า_สี6"/>
      <sheetName val="Grand_SUMMARY_MEP_6"/>
      <sheetName val="แยกงาน_(2)6"/>
      <sheetName val="Discounted_Cash_Flow6"/>
      <sheetName val="แผนงาน_อบต_ท่าลาน(ส่งเทศบาล)6"/>
      <sheetName val="Bill_No__2_-_Carpark6"/>
      <sheetName val="Garph_Work-Cost6"/>
      <sheetName val="Fee_Rate_Summary6"/>
      <sheetName val="OR21_Final_Forecast_Rev_26"/>
      <sheetName val="Summary_Forecast_Budget_1&amp;26"/>
      <sheetName val="Summary_Forecast_Budget_Rev_26"/>
      <sheetName val="Backup_OR21_6"/>
      <sheetName val="BOQ__VI_03_09_19_6"/>
      <sheetName val="Backup_BR_BMA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IMP_OR21_2019_07_116"/>
      <sheetName val="10_ข้อมูลวัสดุ-ค่าดำเนิน6"/>
      <sheetName val="REF_ONLY26"/>
      <sheetName val="King_16"/>
      <sheetName val="A1_26"/>
      <sheetName val="detail_6"/>
      <sheetName val="Car_6"/>
      <sheetName val="TDC_COA_Sumry6"/>
      <sheetName val="COA_Sumry_by_Area6"/>
      <sheetName val="COA_Sumry_by_Contr6"/>
      <sheetName val="COA_Sumry_by_RG6"/>
      <sheetName val="TDC_COA_Grp_Sumry6"/>
      <sheetName val="TDC_Item_Dets-Full6"/>
      <sheetName val="TDC_Item_Dets-IPM-Full6"/>
      <sheetName val="TDC_Item_Dets6"/>
      <sheetName val="TDC_Item_Sumry6"/>
      <sheetName val="TDC_Key_Qty_Sumry6"/>
      <sheetName val="List_-_Components6"/>
      <sheetName val="List_-_Equipment6"/>
      <sheetName val="Project_Metrics6"/>
      <sheetName val="COA_Sumry_-_Std_Imp6"/>
      <sheetName val="Contr_TDC_-_Std_Imp6"/>
      <sheetName val="Item_Sumry_-_Std_Imp6"/>
      <sheetName val="Proj_TIC_-_Std_Imp6"/>
      <sheetName val="Unit_Costs_-_Std_Imp6"/>
      <sheetName val="Unit_MH_-_Std_Imp6"/>
      <sheetName val="Construction_cost_assumption6"/>
      <sheetName val="JLL_Assumption6"/>
      <sheetName val="Retail_Program&amp;Rev_Assumption6"/>
      <sheetName val="back_up_FL_46"/>
      <sheetName val="BOX_Cryostat_Details6"/>
      <sheetName val="Driver_Linac_Layout6"/>
      <sheetName val="Magnet_Details6"/>
      <sheetName val="Factor_F_งาน_DB_3"/>
      <sheetName val="Site_OH-Main_Construction3"/>
      <sheetName val="Site_OH-HMA3"/>
      <sheetName val="Para_Slurry_Seal3"/>
      <sheetName val="Agg__for_Para_Type_III3"/>
      <sheetName val="Agg__for_Para_TypeIII_Haulage3"/>
      <sheetName val="Tack_Coat-16+400A,B3"/>
      <sheetName val="Earth_Excavation3"/>
      <sheetName val="B1_Selected_Mat3"/>
      <sheetName val="B1_CTB_In-Plant3"/>
      <sheetName val="Tack_Coat-17+100B3"/>
      <sheetName val="Milling_5cm-ทางลงเชียงราก3"/>
      <sheetName val="Tack_Coat-ทางลงเชียงราก3"/>
      <sheetName val="Toll_Fee3"/>
      <sheetName val="Traffic_Management3"/>
      <sheetName val="Attach1(สรุปรวม)_3"/>
      <sheetName val="Attach2(BOQ_Detail)_3"/>
      <sheetName val="Attach3(Measurement)_(Topping)3"/>
      <sheetName val="Attach3(Measurement)_(FL_FINIS3"/>
      <sheetName val="Attach3(Check_Sheet)3"/>
      <sheetName val="_(FL_Finis)3"/>
      <sheetName val="11_ข้อมูลงานCon3"/>
      <sheetName val="12_ข้อมูลงานไม้แบบ3"/>
      <sheetName val="ทำนบดิน_46"/>
      <sheetName val="Purchase_Order6"/>
      <sheetName val="Customize_Your_Purchase_Order6"/>
      <sheetName val="bp_bill-mark3"/>
      <sheetName val="ตกแต่ง-อาคาร_A3"/>
      <sheetName val="ตกแต่ง-อาคาร_B3"/>
      <sheetName val="ตกแต่ง-อาคาร_C3"/>
      <sheetName val="ตกแต่ง-อาคาร_E3"/>
      <sheetName val="basic_rate3"/>
      <sheetName val="bk_unit_rate3"/>
      <sheetName val="3-145_input_plan3"/>
      <sheetName val="Sch_23"/>
      <sheetName val="PRICE_LIST3"/>
      <sheetName val="MS_Box3"/>
      <sheetName val="MOLP_C3"/>
      <sheetName val="36_rc__pipe(2หน้า)3"/>
      <sheetName val="Index10-12"/>
      <sheetName val="Link ห้ามลบ"/>
      <sheetName val="Drop Down"/>
      <sheetName val="nHDD"/>
      <sheetName val="d.makan"/>
      <sheetName val="Percent"/>
      <sheetName val="SALA"/>
      <sheetName val="Wall"/>
      <sheetName val="______________________Ce______3"/>
      <sheetName val="Follow Dwg."/>
      <sheetName val="prod-1"/>
      <sheetName val="SCHEDULE_2"/>
      <sheetName val="SCHEDULE_3"/>
      <sheetName val="Unit rate Architecture"/>
      <sheetName val="Bill 4-Guard House"/>
      <sheetName val="Bill 2-Condo(138 units)"/>
      <sheetName val="Bill 3-Carpark,Services"/>
      <sheetName val="Bill 5- External Work"/>
      <sheetName val="Bill 6-Landscape"/>
      <sheetName val="BUR3-DrnRC"/>
      <sheetName val="BUR4-Rd"/>
      <sheetName val="main sum (hotel &amp; residences)"/>
      <sheetName val="_____@_x001c__x0014"/>
      <sheetName val="?????@_x005f_x001c__x0014"/>
      <sheetName val="_x005F"/>
      <sheetName val="_____@_x001c_"/>
      <sheetName val="?????@_x001c__x0014"/>
      <sheetName val="_x005"/>
      <sheetName val="Definition Table"/>
      <sheetName val="Project Data"/>
      <sheetName val="#REF!"/>
      <sheetName val="Equip Item Dets"/>
      <sheetName val="Pipe Item Dets"/>
      <sheetName val="Civil Item Dets"/>
      <sheetName val="Inst Item Dets"/>
      <sheetName val="Elec Item Dets"/>
      <sheetName val="Paint Item Dets"/>
      <sheetName val="By Branch"/>
      <sheetName val="封面_13"/>
      <sheetName val="SUMMERY_(BOQ)12"/>
      <sheetName val="FIRST_FLOOR12"/>
      <sheetName val="SECOND_FLOOR12"/>
      <sheetName val="3RD_FLOOR12"/>
      <sheetName val="4_TH_FLOOR12"/>
      <sheetName val="1ST-4TH_DOOR_WORK12"/>
      <sheetName val="1ST-4TH_MAIL&amp;FEMALE_TOILET12"/>
      <sheetName val="5THFLOOR_LIFT_LOBBY&amp;CORRIDOR12"/>
      <sheetName val="Back_Up12"/>
      <sheetName val="Concrete_Beam12"/>
      <sheetName val="ส่งมอบงาน_8"/>
      <sheetName val="Grand_Summary_(2)8"/>
      <sheetName val="Grand_Summary_8"/>
      <sheetName val="_BOQ_WELCOME_8"/>
      <sheetName val="Grand_Sum_VO8"/>
      <sheetName val="Sum_VIP_VO8"/>
      <sheetName val="SAN_REDUCED_18"/>
      <sheetName val="S3_Architectural8"/>
      <sheetName val="封面_12"/>
      <sheetName val="SUMMERY_(BOQ)11"/>
      <sheetName val="FIRST_FLOOR11"/>
      <sheetName val="SECOND_FLOOR11"/>
      <sheetName val="3RD_FLOOR11"/>
      <sheetName val="4_TH_FLOOR11"/>
      <sheetName val="1ST-4TH_DOOR_WORK11"/>
      <sheetName val="1ST-4TH_MAIL&amp;FEMALE_TOILET11"/>
      <sheetName val="5THFLOOR_LIFT_LOBBY&amp;CORRIDOR11"/>
      <sheetName val="Back_Up11"/>
      <sheetName val="Concrete_Beam11"/>
      <sheetName val="ส่งมอบงาน_7"/>
      <sheetName val="Grand_Summary_(2)7"/>
      <sheetName val="Grand_Summary_7"/>
      <sheetName val="_BOQ_WELCOME_7"/>
      <sheetName val="Grand_Sum_VO7"/>
      <sheetName val="Sum_VIP_VO7"/>
      <sheetName val="SAN_REDUCED_17"/>
      <sheetName val="S3_Architectural7"/>
      <sheetName val="封面_14"/>
      <sheetName val="SUMMERY_(BOQ)13"/>
      <sheetName val="FIRST_FLOOR13"/>
      <sheetName val="SECOND_FLOOR13"/>
      <sheetName val="3RD_FLOOR13"/>
      <sheetName val="4_TH_FLOOR13"/>
      <sheetName val="1ST-4TH_DOOR_WORK13"/>
      <sheetName val="1ST-4TH_MAIL&amp;FEMALE_TOILET13"/>
      <sheetName val="5THFLOOR_LIFT_LOBBY&amp;CORRIDOR13"/>
      <sheetName val="Back_Up13"/>
      <sheetName val="Concrete_Beam13"/>
      <sheetName val="ส่งมอบงาน_9"/>
      <sheetName val="Grand_Summary_(2)9"/>
      <sheetName val="Grand_Summary_9"/>
      <sheetName val="_BOQ_WELCOME_9"/>
      <sheetName val="Grand_Sum_VO9"/>
      <sheetName val="Sum_VIP_VO9"/>
      <sheetName val="SAN_REDUCED_19"/>
      <sheetName val="S3_Architectural9"/>
      <sheetName val="封面_15"/>
      <sheetName val="SUMMERY_(BOQ)14"/>
      <sheetName val="FIRST_FLOOR14"/>
      <sheetName val="SECOND_FLOOR14"/>
      <sheetName val="3RD_FLOOR14"/>
      <sheetName val="4_TH_FLOOR14"/>
      <sheetName val="1ST-4TH_DOOR_WORK14"/>
      <sheetName val="1ST-4TH_MAIL&amp;FEMALE_TOILET14"/>
      <sheetName val="5THFLOOR_LIFT_LOBBY&amp;CORRIDOR14"/>
      <sheetName val="Back_Up14"/>
      <sheetName val="Concrete_Beam14"/>
      <sheetName val="ส่งมอบงาน_10"/>
      <sheetName val="Grand_Summary_(2)10"/>
      <sheetName val="Grand_Summary_10"/>
      <sheetName val="_BOQ_WELCOME_10"/>
      <sheetName val="Grand_Sum_VO10"/>
      <sheetName val="Sum_VIP_VO10"/>
      <sheetName val="SAN_REDUCED_110"/>
      <sheetName val="S3_Architectural10"/>
      <sheetName val="สรุปเพิ่ม-ลด"/>
      <sheetName val="3.มุงหลังคา"/>
      <sheetName val="4.ฝ้าเพดาน"/>
      <sheetName val="5.ผนัง"/>
      <sheetName val="6.งานประตู-หน้าต่าง"/>
      <sheetName val="7.งานพื้นและผิวพื้น"/>
      <sheetName val="8.งานบันได"/>
      <sheetName val="9.งานเบ็ดเตล็ด"/>
      <sheetName val="10.งานไฟฟ้าและสื่อสาร"/>
      <sheetName val="11.นิทรรศการและตกแต่ง"/>
      <sheetName val="6"/>
      <sheetName val="5"/>
      <sheetName val="ปร4"/>
      <sheetName val="หา FACTORF"/>
      <sheetName val="OHCทาง"/>
      <sheetName val="ค่าขนส่ง(กรอก)"/>
      <sheetName val="CABLE"/>
      <sheetName val="RACK WAY"/>
      <sheetName val="Ratio_Quantities7"/>
      <sheetName val="Column_VE_(Coppper)7"/>
      <sheetName val="CORE_WALL_(GL_38-39_I-R)VE7"/>
      <sheetName val="CORE_WALL_(GL_14-19_I-R)VE7"/>
      <sheetName val="CORE_WALL_(GL_27-28_C-F)VE7"/>
      <sheetName val="CORE_WALL_(GL_53-54_J)VE7"/>
      <sheetName val="CORE_WALL_(GL_56-57_J-P)VE7"/>
      <sheetName val="CORE_WALL_(GL_33_C-L)VE7"/>
      <sheetName val="RC_Wall7"/>
      <sheetName val="Struc__Steel7"/>
      <sheetName val="Std_RC_Wall7"/>
      <sheetName val="Std__Column_7"/>
      <sheetName val="Struc_Check_Table_อาคาร_17"/>
      <sheetName val="ข้อมูลประตู_T17"/>
      <sheetName val="ข้อมูลหน้าต่าง_T17"/>
      <sheetName val="ข้อมูลหน้าต่าง_T37"/>
      <sheetName val="ข้อมูลประตู_T27"/>
      <sheetName val="Data_Sheet7"/>
      <sheetName val="EST-FOOTING_(G)7"/>
      <sheetName val="Cost_per_SQM_M&amp;E7"/>
      <sheetName val="_FS7"/>
      <sheetName val="Sch_2_SN7"/>
      <sheetName val="Sch_3_FP7"/>
      <sheetName val="Sch_4_AC7"/>
      <sheetName val="Sch_6_Prelim7"/>
      <sheetName val="TOTAL_-BUILDING_E17"/>
      <sheetName val="SUM_-_MEP(E1)_7"/>
      <sheetName val="Air(E1_)7"/>
      <sheetName val="Fp(E1)___7"/>
      <sheetName val="SUMMARY_MEP7"/>
      <sheetName val="SUM_-_MEP_BUILDING7"/>
      <sheetName val="Electrical_System_7"/>
      <sheetName val="Commuication_System7"/>
      <sheetName val="Air_Conditioning__System__7"/>
      <sheetName val="Sanitary_System_7"/>
      <sheetName val="Fire_Protection_System_7"/>
      <sheetName val="ปี_25627"/>
      <sheetName val="รายการ_VE7"/>
      <sheetName val="Type_A-17"/>
      <sheetName val="Type_A-1M7"/>
      <sheetName val="Type_B-17"/>
      <sheetName val="Type_C17"/>
      <sheetName val="Type_C-27"/>
      <sheetName val="Type_C-37"/>
      <sheetName val="Type_C-57"/>
      <sheetName val="Type_DP-57"/>
      <sheetName val="Type_LOFT-17"/>
      <sheetName val="Type_LOFT-2_7"/>
      <sheetName val="Type_LOFT-2M7"/>
      <sheetName val="Type_LOFT_37"/>
      <sheetName val="Type_LOFT-47"/>
      <sheetName val="Type_LOFT-57"/>
      <sheetName val="Type_LOFT-67"/>
      <sheetName val="Type_LOFT-77"/>
      <sheetName val="Type_PH-A7"/>
      <sheetName val="Type_PH-B7"/>
      <sheetName val="Type_PH-C7"/>
      <sheetName val="Type_PH-D7"/>
      <sheetName val="Type_PH-E7"/>
      <sheetName val="Sum_LAND7"/>
      <sheetName val="SUM_M&amp;E7"/>
      <sheetName val="Grand_Summary_(_Variation)7"/>
      <sheetName val="ST_work_con_M7"/>
      <sheetName val="ST_work_con_carpark7"/>
      <sheetName val="ST_work_M7"/>
      <sheetName val="ST_work_Facad(M)_7"/>
      <sheetName val="ST_work_carpark7"/>
      <sheetName val="back_up_arc_Car_Park7"/>
      <sheetName val="backup_str_carpark7"/>
      <sheetName val="back_up_arc__M7"/>
      <sheetName val="แยกงาน_ผนัง_พื้น_ฝ้า_สี7"/>
      <sheetName val="Grand_SUMMARY_MEP_7"/>
      <sheetName val="แยกงาน_(2)7"/>
      <sheetName val="KKC_Brkdwn7"/>
      <sheetName val="Factor_F_Data7"/>
      <sheetName val="Garph_Work-Cost7"/>
      <sheetName val="Discounted_Cash_Flow7"/>
      <sheetName val="Fee_Rate_Summary7"/>
      <sheetName val="Bill_No__2_-_Carpark7"/>
      <sheetName val="back_up_FL_47"/>
      <sheetName val="King_17"/>
      <sheetName val="10_ข้อมูลวัสดุ-ค่าดำเนิน7"/>
      <sheetName val="REF_ONLY27"/>
      <sheetName val="แผนงาน_อบต_ท่าลาน(ส่งเทศบาล)7"/>
      <sheetName val="OR21_Final_Forecast_Rev_27"/>
      <sheetName val="Summary_Forecast_Budget_1&amp;27"/>
      <sheetName val="Summary_Forecast_Budget_Rev_27"/>
      <sheetName val="Backup_OR21_7"/>
      <sheetName val="BOQ__VI_03_09_19_7"/>
      <sheetName val="Backup_BR_BMA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IMP_OR21_2019_07_117"/>
      <sheetName val="A1_27"/>
      <sheetName val="detail_7"/>
      <sheetName val="Car_7"/>
      <sheetName val="TDC_COA_Sumry7"/>
      <sheetName val="COA_Sumry_by_Area7"/>
      <sheetName val="COA_Sumry_by_Contr7"/>
      <sheetName val="COA_Sumry_by_RG7"/>
      <sheetName val="TDC_COA_Grp_Sumry7"/>
      <sheetName val="TDC_Item_Dets-Full7"/>
      <sheetName val="TDC_Item_Dets-IPM-Full7"/>
      <sheetName val="TDC_Item_Dets7"/>
      <sheetName val="TDC_Item_Sumry7"/>
      <sheetName val="TDC_Key_Qty_Sumry7"/>
      <sheetName val="List_-_Components7"/>
      <sheetName val="List_-_Equipment7"/>
      <sheetName val="Project_Metrics7"/>
      <sheetName val="COA_Sumry_-_Std_Imp7"/>
      <sheetName val="Contr_TDC_-_Std_Imp7"/>
      <sheetName val="Item_Sumry_-_Std_Imp7"/>
      <sheetName val="Proj_TIC_-_Std_Imp7"/>
      <sheetName val="Unit_Costs_-_Std_Imp7"/>
      <sheetName val="Unit_MH_-_Std_Imp7"/>
      <sheetName val="Construction_cost_assumption7"/>
      <sheetName val="JLL_Assumption7"/>
      <sheetName val="Retail_Program&amp;Rev_Assumption7"/>
      <sheetName val="BOX_Cryostat_Details7"/>
      <sheetName val="Driver_Linac_Layout7"/>
      <sheetName val="Magnet_Details7"/>
      <sheetName val="Factor_F_งาน_DB_4"/>
      <sheetName val="Site_OH-Main_Construction4"/>
      <sheetName val="Site_OH-HMA4"/>
      <sheetName val="Para_Slurry_Seal4"/>
      <sheetName val="Agg__for_Para_Type_III4"/>
      <sheetName val="Agg__for_Para_TypeIII_Haulage4"/>
      <sheetName val="Tack_Coat-16+400A,B4"/>
      <sheetName val="Earth_Excavation4"/>
      <sheetName val="B1_Selected_Mat4"/>
      <sheetName val="B1_CTB_In-Plant4"/>
      <sheetName val="Tack_Coat-17+100B4"/>
      <sheetName val="Milling_5cm-ทางลงเชียงราก4"/>
      <sheetName val="Tack_Coat-ทางลงเชียงราก4"/>
      <sheetName val="Toll_Fee4"/>
      <sheetName val="Traffic_Management4"/>
      <sheetName val="Attach1(สรุปรวม)_4"/>
      <sheetName val="Attach2(BOQ_Detail)_4"/>
      <sheetName val="Attach3(Measurement)_(Topping)4"/>
      <sheetName val="Attach3(Measurement)_(FL_FINIS4"/>
      <sheetName val="Attach3(Check_Sheet)4"/>
      <sheetName val="_(FL_Finis)4"/>
      <sheetName val="11_ข้อมูลงานCon4"/>
      <sheetName val="12_ข้อมูลงานไม้แบบ4"/>
      <sheetName val="ทำนบดิน_47"/>
      <sheetName val="Purchase_Order7"/>
      <sheetName val="Customize_Your_Purchase_Order7"/>
      <sheetName val="bp_bill-mark4"/>
      <sheetName val="ตกแต่ง-อาคาร_A4"/>
      <sheetName val="ตกแต่ง-อาคาร_B4"/>
      <sheetName val="ตกแต่ง-อาคาร_C4"/>
      <sheetName val="ตกแต่ง-อาคาร_E4"/>
      <sheetName val="basic_rate4"/>
      <sheetName val="bk_unit_rate4"/>
      <sheetName val="3-145_input_plan4"/>
      <sheetName val="MS_Box4"/>
      <sheetName val="MOLP_C4"/>
      <sheetName val="Sch_24"/>
      <sheetName val="PRICE_LIST4"/>
      <sheetName val="36_rc__pipe(2หน้า)4"/>
      <sheetName val="A_O_R_"/>
      <sheetName val="หน้าปกล่าสุด_(2)"/>
      <sheetName val="Cover_(2)"/>
      <sheetName val="งานตกแต่งภายใน_(ตัดSCOPE)"/>
      <sheetName val="หมวดงานสถาปัตยกรรม_(พาส)ต้นฉบับ"/>
      <sheetName val="EE_"/>
      <sheetName val="AC_(2)"/>
      <sheetName val="สรุปราคา_(EMC)1"/>
      <sheetName val="Status_Budget1"/>
      <sheetName val="bill_2"/>
      <sheetName val="입찰내역_발주처_양식"/>
      <sheetName val="price_per_model"/>
      <sheetName val="Cost_Data"/>
      <sheetName val="book_1_summary"/>
      <sheetName val="construction_cost_summary"/>
      <sheetName val="sum_1-4"/>
      <sheetName val="Land_Dev't__Ph-1"/>
      <sheetName val="worksheet_inchican"/>
      <sheetName val="combined_9-30"/>
      <sheetName val="COMPARATIVE_SUMMARY"/>
      <sheetName val="BOQ_(typ-accent)"/>
      <sheetName val="summary_sn_fp"/>
      <sheetName val="Category_List"/>
      <sheetName val="5a__Code_E"/>
      <sheetName val="Executive_Summary_Buil"/>
      <sheetName val="Backup_Rev"/>
      <sheetName val="?????@?????_x0002"/>
      <sheetName val="___合同台账__"/>
      <sheetName val="ประมาณการประตูหน้าต่าง_"/>
      <sheetName val="DMD_Office"/>
      <sheetName val="ADMIN_OFFICE_(2)"/>
      <sheetName val="exec_summary"/>
      <sheetName val="3-CAPARS_Log"/>
      <sheetName val="Ratio_Quantities8"/>
      <sheetName val="Column_VE_(Coppper)8"/>
      <sheetName val="CORE_WALL_(GL_38-39_I-R)VE8"/>
      <sheetName val="CORE_WALL_(GL_14-19_I-R)VE8"/>
      <sheetName val="CORE_WALL_(GL_27-28_C-F)VE8"/>
      <sheetName val="CORE_WALL_(GL_53-54_J)VE8"/>
      <sheetName val="CORE_WALL_(GL_56-57_J-P)VE8"/>
      <sheetName val="CORE_WALL_(GL_33_C-L)VE8"/>
      <sheetName val="RC_Wall8"/>
      <sheetName val="Struc__Steel8"/>
      <sheetName val="Std_RC_Wall8"/>
      <sheetName val="Std__Column_8"/>
      <sheetName val="Struc_Check_Table_อาคาร_18"/>
      <sheetName val="ข้อมูลประตู_T18"/>
      <sheetName val="ข้อมูลหน้าต่าง_T18"/>
      <sheetName val="ข้อมูลหน้าต่าง_T38"/>
      <sheetName val="ข้อมูลประตู_T28"/>
      <sheetName val="Data_Sheet8"/>
      <sheetName val="EST-FOOTING_(G)8"/>
      <sheetName val="Cost_per_SQM_M&amp;E8"/>
      <sheetName val="_FS8"/>
      <sheetName val="Sch_2_SN8"/>
      <sheetName val="Sch_3_FP8"/>
      <sheetName val="Sch_4_AC8"/>
      <sheetName val="Sch_6_Prelim8"/>
      <sheetName val="TOTAL_-BUILDING_E18"/>
      <sheetName val="SUM_-_MEP(E1)_8"/>
      <sheetName val="Air(E1_)8"/>
      <sheetName val="Fp(E1)___8"/>
      <sheetName val="SUMMARY_MEP8"/>
      <sheetName val="SUM_-_MEP_BUILDING8"/>
      <sheetName val="Electrical_System_8"/>
      <sheetName val="Commuication_System8"/>
      <sheetName val="Air_Conditioning__System__8"/>
      <sheetName val="Sanitary_System_8"/>
      <sheetName val="Fire_Protection_System_8"/>
      <sheetName val="ปี_25628"/>
      <sheetName val="รายการ_VE8"/>
      <sheetName val="Type_A-18"/>
      <sheetName val="Type_A-1M8"/>
      <sheetName val="Type_B-18"/>
      <sheetName val="Type_C18"/>
      <sheetName val="Type_C-28"/>
      <sheetName val="Type_C-38"/>
      <sheetName val="Type_C-58"/>
      <sheetName val="Type_DP-58"/>
      <sheetName val="Type_LOFT-18"/>
      <sheetName val="Type_LOFT-2_8"/>
      <sheetName val="Type_LOFT-2M8"/>
      <sheetName val="Type_LOFT_38"/>
      <sheetName val="Type_LOFT-48"/>
      <sheetName val="Type_LOFT-58"/>
      <sheetName val="Type_LOFT-68"/>
      <sheetName val="Type_LOFT-78"/>
      <sheetName val="Type_PH-A8"/>
      <sheetName val="Type_PH-B8"/>
      <sheetName val="Type_PH-C8"/>
      <sheetName val="Type_PH-D8"/>
      <sheetName val="Type_PH-E8"/>
      <sheetName val="Sum_LAND8"/>
      <sheetName val="SUM_M&amp;E8"/>
      <sheetName val="Grand_Summary_(_Variation)8"/>
      <sheetName val="ST_work_con_M8"/>
      <sheetName val="ST_work_con_carpark8"/>
      <sheetName val="ST_work_M8"/>
      <sheetName val="ST_work_Facad(M)_8"/>
      <sheetName val="ST_work_carpark8"/>
      <sheetName val="back_up_arc_Car_Park8"/>
      <sheetName val="backup_str_carpark8"/>
      <sheetName val="back_up_arc__M8"/>
      <sheetName val="แยกงาน_ผนัง_พื้น_ฝ้า_สี8"/>
      <sheetName val="Grand_SUMMARY_MEP_8"/>
      <sheetName val="แยกงาน_(2)8"/>
      <sheetName val="KKC_Brkdwn8"/>
      <sheetName val="Factor_F_Data8"/>
      <sheetName val="Garph_Work-Cost8"/>
      <sheetName val="Discounted_Cash_Flow8"/>
      <sheetName val="Fee_Rate_Summary8"/>
      <sheetName val="Bill_No__2_-_Carpark8"/>
      <sheetName val="back_up_FL_48"/>
      <sheetName val="King_18"/>
      <sheetName val="10_ข้อมูลวัสดุ-ค่าดำเนิน8"/>
      <sheetName val="REF_ONLY28"/>
      <sheetName val="แผนงาน_อบต_ท่าลาน(ส่งเทศบาล)8"/>
      <sheetName val="OR21_Final_Forecast_Rev_28"/>
      <sheetName val="Summary_Forecast_Budget_1&amp;28"/>
      <sheetName val="Summary_Forecast_Budget_Rev_28"/>
      <sheetName val="Backup_OR21_8"/>
      <sheetName val="BOQ__VI_03_09_19_8"/>
      <sheetName val="Backup_BR_BMA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IMP_OR21_2019_07_118"/>
      <sheetName val="A1_28"/>
      <sheetName val="detail_8"/>
      <sheetName val="Car_8"/>
      <sheetName val="TDC_COA_Sumry8"/>
      <sheetName val="COA_Sumry_by_Area8"/>
      <sheetName val="COA_Sumry_by_Contr8"/>
      <sheetName val="COA_Sumry_by_RG8"/>
      <sheetName val="TDC_COA_Grp_Sumry8"/>
      <sheetName val="TDC_Item_Dets-Full8"/>
      <sheetName val="TDC_Item_Dets-IPM-Full8"/>
      <sheetName val="TDC_Item_Dets8"/>
      <sheetName val="TDC_Item_Sumry8"/>
      <sheetName val="TDC_Key_Qty_Sumry8"/>
      <sheetName val="List_-_Components8"/>
      <sheetName val="List_-_Equipment8"/>
      <sheetName val="Project_Metrics8"/>
      <sheetName val="COA_Sumry_-_Std_Imp8"/>
      <sheetName val="Contr_TDC_-_Std_Imp8"/>
      <sheetName val="Item_Sumry_-_Std_Imp8"/>
      <sheetName val="Proj_TIC_-_Std_Imp8"/>
      <sheetName val="Unit_Costs_-_Std_Imp8"/>
      <sheetName val="Unit_MH_-_Std_Imp8"/>
      <sheetName val="Construction_cost_assumption8"/>
      <sheetName val="JLL_Assumption8"/>
      <sheetName val="Retail_Program&amp;Rev_Assumption8"/>
      <sheetName val="BOX_Cryostat_Details8"/>
      <sheetName val="Driver_Linac_Layout8"/>
      <sheetName val="Magnet_Details8"/>
      <sheetName val="Factor_F_งาน_DB_5"/>
      <sheetName val="Site_OH-Main_Construction5"/>
      <sheetName val="Site_OH-HMA5"/>
      <sheetName val="Para_Slurry_Seal5"/>
      <sheetName val="Agg__for_Para_Type_III5"/>
      <sheetName val="Agg__for_Para_TypeIII_Haulage5"/>
      <sheetName val="Tack_Coat-16+400A,B5"/>
      <sheetName val="Earth_Excavation5"/>
      <sheetName val="B1_Selected_Mat5"/>
      <sheetName val="B1_CTB_In-Plant5"/>
      <sheetName val="Tack_Coat-17+100B5"/>
      <sheetName val="Milling_5cm-ทางลงเชียงราก5"/>
      <sheetName val="Tack_Coat-ทางลงเชียงราก5"/>
      <sheetName val="Toll_Fee5"/>
      <sheetName val="Traffic_Management5"/>
      <sheetName val="Attach1(สรุปรวม)_5"/>
      <sheetName val="Attach2(BOQ_Detail)_5"/>
      <sheetName val="Attach3(Measurement)_(Topping)5"/>
      <sheetName val="Attach3(Measurement)_(FL_FINIS5"/>
      <sheetName val="Attach3(Check_Sheet)5"/>
      <sheetName val="_(FL_Finis)5"/>
      <sheetName val="11_ข้อมูลงานCon5"/>
      <sheetName val="12_ข้อมูลงานไม้แบบ5"/>
      <sheetName val="ทำนบดิน_48"/>
      <sheetName val="Purchase_Order8"/>
      <sheetName val="Customize_Your_Purchase_Order8"/>
      <sheetName val="bp_bill-mark5"/>
      <sheetName val="ตกแต่ง-อาคาร_A5"/>
      <sheetName val="ตกแต่ง-อาคาร_B5"/>
      <sheetName val="ตกแต่ง-อาคาร_C5"/>
      <sheetName val="ตกแต่ง-อาคาร_E5"/>
      <sheetName val="basic_rate5"/>
      <sheetName val="bk_unit_rate5"/>
      <sheetName val="3-145_input_plan5"/>
      <sheetName val="MS_Box5"/>
      <sheetName val="MOLP_C5"/>
      <sheetName val="Sch_25"/>
      <sheetName val="PRICE_LIST5"/>
      <sheetName val="36_rc__pipe(2หน้า)5"/>
      <sheetName val="A_O_R_1"/>
      <sheetName val="หน้าปกล่าสุด_(2)1"/>
      <sheetName val="Cover_(2)1"/>
      <sheetName val="งานตกแต่งภายใน_(ตัดSCOPE)1"/>
      <sheetName val="หมวดงานสถาปัตยกรรม_(พาส)ต้นฉบั1"/>
      <sheetName val="EE_1"/>
      <sheetName val="AC_(2)1"/>
      <sheetName val="สรุปราคา_(EMC)2"/>
      <sheetName val="Status_Budget2"/>
      <sheetName val="bill_21"/>
      <sheetName val="입찰내역_발주처_양식1"/>
      <sheetName val="price_per_model1"/>
      <sheetName val="Cost_Data1"/>
      <sheetName val="book_1_summary1"/>
      <sheetName val="construction_cost_summary1"/>
      <sheetName val="sum_1-41"/>
      <sheetName val="Land_Dev't__Ph-11"/>
      <sheetName val="worksheet_inchican1"/>
      <sheetName val="combined_9-301"/>
      <sheetName val="COMPARATIVE_SUMMARY1"/>
      <sheetName val="BOQ_(typ-accent)1"/>
      <sheetName val="summary_sn_fp1"/>
      <sheetName val="Category_List1"/>
      <sheetName val="5a__Code_E1"/>
      <sheetName val="Executive_Summary_Buil1"/>
      <sheetName val="Backup_Rev1"/>
      <sheetName val="___合同台账__1"/>
      <sheetName val="ประมาณการประตูหน้าต่าง_1"/>
      <sheetName val="DMD_Office1"/>
      <sheetName val="ADMIN_OFFICE_(2)1"/>
      <sheetName val="exec_summary1"/>
      <sheetName val="3-CAPARS_Log1"/>
      <sheetName val="area_converter"/>
      <sheetName val="Link_ห้ามลบ"/>
      <sheetName val="Drop_Down"/>
      <sheetName val="Summary_cal"/>
      <sheetName val="d_makan"/>
      <sheetName val="area_converter1"/>
      <sheetName val="Link_ห้ามลบ1"/>
      <sheetName val="Drop_Down1"/>
      <sheetName val="Summary_cal1"/>
      <sheetName val="d_makan1"/>
      <sheetName val="Ratio_Quantities9"/>
      <sheetName val="Column_VE_(Coppper)9"/>
      <sheetName val="CORE_WALL_(GL_38-39_I-R)VE9"/>
      <sheetName val="CORE_WALL_(GL_14-19_I-R)VE9"/>
      <sheetName val="CORE_WALL_(GL_27-28_C-F)VE9"/>
      <sheetName val="CORE_WALL_(GL_53-54_J)VE9"/>
      <sheetName val="CORE_WALL_(GL_56-57_J-P)VE9"/>
      <sheetName val="CORE_WALL_(GL_33_C-L)VE9"/>
      <sheetName val="RC_Wall9"/>
      <sheetName val="Struc__Steel9"/>
      <sheetName val="Std_RC_Wall9"/>
      <sheetName val="Std__Column_9"/>
      <sheetName val="Struc_Check_Table_อาคาร_19"/>
      <sheetName val="ข้อมูลประตู_T19"/>
      <sheetName val="ข้อมูลหน้าต่าง_T19"/>
      <sheetName val="ข้อมูลหน้าต่าง_T39"/>
      <sheetName val="ข้อมูลประตู_T29"/>
      <sheetName val="_FS9"/>
      <sheetName val="Sch_2_SN9"/>
      <sheetName val="Sch_3_FP9"/>
      <sheetName val="Sch_4_AC9"/>
      <sheetName val="Sch_6_Prelim9"/>
      <sheetName val="ปี_25629"/>
      <sheetName val="TOTAL_-BUILDING_E19"/>
      <sheetName val="SUM_-_MEP(E1)_9"/>
      <sheetName val="Air(E1_)9"/>
      <sheetName val="Fp(E1)___9"/>
      <sheetName val="Data_Sheet9"/>
      <sheetName val="SUMMARY_MEP9"/>
      <sheetName val="SUM_-_MEP_BUILDING9"/>
      <sheetName val="Electrical_System_9"/>
      <sheetName val="Commuication_System9"/>
      <sheetName val="Air_Conditioning__System__9"/>
      <sheetName val="Sanitary_System_9"/>
      <sheetName val="Fire_Protection_System_9"/>
      <sheetName val="EST-FOOTING_(G)9"/>
      <sheetName val="Cost_per_SQM_M&amp;E9"/>
      <sheetName val="รายการ_VE9"/>
      <sheetName val="Type_A-19"/>
      <sheetName val="Type_A-1M9"/>
      <sheetName val="Type_B-19"/>
      <sheetName val="Type_C19"/>
      <sheetName val="Type_C-29"/>
      <sheetName val="Type_C-39"/>
      <sheetName val="Type_C-59"/>
      <sheetName val="Type_DP-59"/>
      <sheetName val="Type_LOFT-19"/>
      <sheetName val="Type_LOFT-2_9"/>
      <sheetName val="Type_LOFT-2M9"/>
      <sheetName val="Type_LOFT_39"/>
      <sheetName val="Type_LOFT-49"/>
      <sheetName val="Type_LOFT-59"/>
      <sheetName val="Type_LOFT-69"/>
      <sheetName val="Type_LOFT-79"/>
      <sheetName val="Type_PH-A9"/>
      <sheetName val="Type_PH-B9"/>
      <sheetName val="Type_PH-C9"/>
      <sheetName val="Type_PH-D9"/>
      <sheetName val="Type_PH-E9"/>
      <sheetName val="Sum_LAND9"/>
      <sheetName val="SUM_M&amp;E9"/>
      <sheetName val="KKC_Brkdwn9"/>
      <sheetName val="Factor_F_Data9"/>
      <sheetName val="Grand_Summary_(_Variation)9"/>
      <sheetName val="ST_work_con_M9"/>
      <sheetName val="ST_work_con_carpark9"/>
      <sheetName val="ST_work_M9"/>
      <sheetName val="ST_work_Facad(M)_9"/>
      <sheetName val="ST_work_carpark9"/>
      <sheetName val="back_up_arc_Car_Park9"/>
      <sheetName val="backup_str_carpark9"/>
      <sheetName val="back_up_arc__M9"/>
      <sheetName val="แยกงาน_ผนัง_พื้น_ฝ้า_สี9"/>
      <sheetName val="Grand_SUMMARY_MEP_9"/>
      <sheetName val="แยกงาน_(2)9"/>
      <sheetName val="Discounted_Cash_Flow9"/>
      <sheetName val="แผนงาน_อบต_ท่าลาน(ส่งเทศบาล)9"/>
      <sheetName val="Bill_No__2_-_Carpark9"/>
      <sheetName val="Garph_Work-Cost9"/>
      <sheetName val="Fee_Rate_Summary9"/>
      <sheetName val="OR21_Final_Forecast_Rev_29"/>
      <sheetName val="Summary_Forecast_Budget_1&amp;29"/>
      <sheetName val="Summary_Forecast_Budget_Rev_29"/>
      <sheetName val="Backup_OR21_9"/>
      <sheetName val="BOQ__VI_03_09_19_9"/>
      <sheetName val="Backup_BR_BMA9"/>
      <sheetName val="Budget_for_ENT9"/>
      <sheetName val="ADJ__D-Wall&amp;BR_Ent__Rev_2_19"/>
      <sheetName val="Rebar+Conพื้น_Waste10%9"/>
      <sheetName val="Backup_D-Wall_Ent__13_07_199"/>
      <sheetName val="Backup_BR_ENT__13_07_199"/>
      <sheetName val="IMP_OR21_2019_07_119"/>
      <sheetName val="10_ข้อมูลวัสดุ-ค่าดำเนิน9"/>
      <sheetName val="REF_ONLY29"/>
      <sheetName val="King_19"/>
      <sheetName val="A1_29"/>
      <sheetName val="detail_9"/>
      <sheetName val="Car_9"/>
      <sheetName val="TDC_COA_Sumry9"/>
      <sheetName val="COA_Sumry_by_Area9"/>
      <sheetName val="COA_Sumry_by_Contr9"/>
      <sheetName val="COA_Sumry_by_RG9"/>
      <sheetName val="TDC_COA_Grp_Sumry9"/>
      <sheetName val="TDC_Item_Dets-Full9"/>
      <sheetName val="TDC_Item_Dets-IPM-Full9"/>
      <sheetName val="TDC_Item_Dets9"/>
      <sheetName val="TDC_Item_Sumry9"/>
      <sheetName val="TDC_Key_Qty_Sumry9"/>
      <sheetName val="List_-_Components9"/>
      <sheetName val="List_-_Equipment9"/>
      <sheetName val="Project_Metrics9"/>
      <sheetName val="COA_Sumry_-_Std_Imp9"/>
      <sheetName val="Contr_TDC_-_Std_Imp9"/>
      <sheetName val="Item_Sumry_-_Std_Imp9"/>
      <sheetName val="Proj_TIC_-_Std_Imp9"/>
      <sheetName val="Unit_Costs_-_Std_Imp9"/>
      <sheetName val="Unit_MH_-_Std_Imp9"/>
      <sheetName val="back_up_FL_49"/>
      <sheetName val="Construction_cost_assumption9"/>
      <sheetName val="JLL_Assumption9"/>
      <sheetName val="Retail_Program&amp;Rev_Assumption9"/>
      <sheetName val="BOX_Cryostat_Details9"/>
      <sheetName val="Driver_Linac_Layout9"/>
      <sheetName val="Magnet_Details9"/>
      <sheetName val="ทำนบดิน_49"/>
      <sheetName val="Purchase_Order9"/>
      <sheetName val="Customize_Your_Purchase_Order9"/>
      <sheetName val="bk_unit_rate6"/>
      <sheetName val="Factor_F_งาน_DB_6"/>
      <sheetName val="Site_OH-Main_Construction6"/>
      <sheetName val="Site_OH-HMA6"/>
      <sheetName val="Para_Slurry_Seal6"/>
      <sheetName val="Agg__for_Para_Type_III6"/>
      <sheetName val="Agg__for_Para_TypeIII_Haulage6"/>
      <sheetName val="Tack_Coat-16+400A,B6"/>
      <sheetName val="Earth_Excavation6"/>
      <sheetName val="B1_Selected_Mat6"/>
      <sheetName val="B1_CTB_In-Plant6"/>
      <sheetName val="Tack_Coat-17+100B6"/>
      <sheetName val="Milling_5cm-ทางลงเชียงราก6"/>
      <sheetName val="Tack_Coat-ทางลงเชียงราก6"/>
      <sheetName val="Toll_Fee6"/>
      <sheetName val="Traffic_Management6"/>
      <sheetName val="Attach1(สรุปรวม)_6"/>
      <sheetName val="Attach2(BOQ_Detail)_6"/>
      <sheetName val="Attach3(Measurement)_(Topping)6"/>
      <sheetName val="Attach3(Measurement)_(FL_FINIS6"/>
      <sheetName val="Attach3(Check_Sheet)6"/>
      <sheetName val="_(FL_Finis)6"/>
      <sheetName val="11_ข้อมูลงานCon6"/>
      <sheetName val="12_ข้อมูลงานไม้แบบ6"/>
      <sheetName val="bp_bill-mark6"/>
      <sheetName val="ตกแต่ง-อาคาร_A6"/>
      <sheetName val="ตกแต่ง-อาคาร_B6"/>
      <sheetName val="ตกแต่ง-อาคาร_C6"/>
      <sheetName val="ตกแต่ง-อาคาร_E6"/>
      <sheetName val="basic_rate6"/>
      <sheetName val="3-145_input_plan6"/>
      <sheetName val="MS_Box6"/>
      <sheetName val="MOLP_C6"/>
      <sheetName val="Sch_26"/>
      <sheetName val="PRICE_LIST6"/>
      <sheetName val="36_rc__pipe(2หน้า)6"/>
      <sheetName val="book_1_summary2"/>
      <sheetName val="construction_cost_summary2"/>
      <sheetName val="sum_1-42"/>
      <sheetName val="สรุปราคา_(EMC)3"/>
      <sheetName val="Status_Budget3"/>
      <sheetName val="A_O_R_2"/>
      <sheetName val="summary_sn_fp2"/>
      <sheetName val="หน้าปกล่าสุด_(2)2"/>
      <sheetName val="Cover_(2)2"/>
      <sheetName val="งานตกแต่งภายใน_(ตัดSCOPE)2"/>
      <sheetName val="หมวดงานสถาปัตยกรรม_(พาส)ต้นฉบั2"/>
      <sheetName val="EE_2"/>
      <sheetName val="AC_(2)2"/>
      <sheetName val="bill_22"/>
      <sheetName val="입찰내역_발주처_양식2"/>
      <sheetName val="price_per_model2"/>
      <sheetName val="Cost_Data2"/>
      <sheetName val="Land_Dev't__Ph-12"/>
      <sheetName val="worksheet_inchican2"/>
      <sheetName val="combined_9-302"/>
      <sheetName val="COMPARATIVE_SUMMARY2"/>
      <sheetName val="BOQ_(typ-accent)2"/>
      <sheetName val="Executive_Summary_Buil2"/>
      <sheetName val="Category_List2"/>
      <sheetName val="5a__Code_E2"/>
      <sheetName val="Backup_Rev2"/>
      <sheetName val="DMD_Office2"/>
      <sheetName val="ADMIN_OFFICE_(2)2"/>
      <sheetName val="exec_summary2"/>
      <sheetName val="3-CAPARS_Log2"/>
      <sheetName val="___合同台账__2"/>
      <sheetName val="ประมาณการประตูหน้าต่าง_2"/>
      <sheetName val="area_converter2"/>
      <sheetName val="Link_ห้ามลบ2"/>
      <sheetName val="Drop_Down2"/>
      <sheetName val="Summary_cal2"/>
      <sheetName val="d_makan2"/>
      <sheetName val="Main Summary"/>
      <sheetName val="Tableau"/>
      <sheetName val="Coef et données"/>
      <sheetName val="Unit_rate_Architecture"/>
      <sheetName val="Demand"/>
      <sheetName val="Occ"/>
      <sheetName val="Summ"/>
      <sheetName val="KABULLER.XLS"/>
      <sheetName val="1,2,3,4,5단위수량"/>
      <sheetName val="수입"/>
      <sheetName val="NPV"/>
      <sheetName val="Order List"/>
      <sheetName val="cover page"/>
      <sheetName val="hvac boq"/>
      <sheetName val="loans"/>
      <sheetName val="allowances"/>
      <sheetName val="@_x001c__x0014__x0002__x0011__x0014_ñCe__x0001_0"/>
      <sheetName val="Sum Main"/>
      <sheetName val="004 Frame "/>
      <sheetName val="@ñCe_0`"/>
      <sheetName val="封面_18"/>
      <sheetName val="SUMMERY_(BOQ)17"/>
      <sheetName val="FIRST_FLOOR16"/>
      <sheetName val="SECOND_FLOOR16"/>
      <sheetName val="3RD_FLOOR16"/>
      <sheetName val="4_TH_FLOOR16"/>
      <sheetName val="1ST-4TH_DOOR_WORK16"/>
      <sheetName val="1ST-4TH_MAIL&amp;FEMALE_TOILET16"/>
      <sheetName val="5THFLOOR_LIFT_LOBBY&amp;CORRIDOR16"/>
      <sheetName val="Back_Up16"/>
      <sheetName val="Concrete_Beam16"/>
      <sheetName val="ส่งมอบงาน_12"/>
      <sheetName val="Grand_Summary_(2)12"/>
      <sheetName val="Grand_Summary_12"/>
      <sheetName val="_BOQ_WELCOME_12"/>
      <sheetName val="Grand_Sum_VO12"/>
      <sheetName val="Sum_VIP_VO12"/>
      <sheetName val="SAN_REDUCED_112"/>
      <sheetName val="S3_Architectural12"/>
      <sheetName val="Ratio_Quantities12"/>
      <sheetName val="Column_VE_(Coppper)12"/>
      <sheetName val="CORE_WALL_(GL_38-39_I-R)VE12"/>
      <sheetName val="CORE_WALL_(GL_14-19_I-R)VE12"/>
      <sheetName val="CORE_WALL_(GL_27-28_C-F)VE12"/>
      <sheetName val="CORE_WALL_(GL_53-54_J)VE12"/>
      <sheetName val="CORE_WALL_(GL_56-57_J-P)VE12"/>
      <sheetName val="CORE_WALL_(GL_33_C-L)VE12"/>
      <sheetName val="RC_Wall12"/>
      <sheetName val="Struc__Steel12"/>
      <sheetName val="Std_RC_Wall12"/>
      <sheetName val="Std__Column_12"/>
      <sheetName val="Struc_Check_Table_อาคาร_112"/>
      <sheetName val="ข้อมูลประตู_T112"/>
      <sheetName val="ข้อมูลหน้าต่าง_T112"/>
      <sheetName val="ข้อมูลหน้าต่าง_T312"/>
      <sheetName val="Data_Sheet12"/>
      <sheetName val="EST-FOOTING_(G)12"/>
      <sheetName val="ข้อมูลประตู_T212"/>
      <sheetName val="Cost_per_SQM_M&amp;E10"/>
      <sheetName val="KKC_Brkdwn10"/>
      <sheetName val="Factor_F_Data10"/>
      <sheetName val="TOTAL_-BUILDING_E110"/>
      <sheetName val="SUM_-_MEP(E1)_10"/>
      <sheetName val="Air(E1_)10"/>
      <sheetName val="Fp(E1)___10"/>
      <sheetName val="SUMMARY_MEP10"/>
      <sheetName val="SUM_-_MEP_BUILDING10"/>
      <sheetName val="Electrical_System_10"/>
      <sheetName val="Commuication_System10"/>
      <sheetName val="Air_Conditioning__System__10"/>
      <sheetName val="Sanitary_System_10"/>
      <sheetName val="Fire_Protection_System_10"/>
      <sheetName val="_FS12"/>
      <sheetName val="Sch_2_SN12"/>
      <sheetName val="Sch_3_FP12"/>
      <sheetName val="Sch_4_AC12"/>
      <sheetName val="Sch_6_Prelim12"/>
      <sheetName val="ปี_256210"/>
      <sheetName val="รายการ_VE10"/>
      <sheetName val="Type_A-110"/>
      <sheetName val="Type_A-1M10"/>
      <sheetName val="Type_B-110"/>
      <sheetName val="Type_C110"/>
      <sheetName val="Type_C-210"/>
      <sheetName val="Type_C-310"/>
      <sheetName val="Type_C-510"/>
      <sheetName val="Type_DP-510"/>
      <sheetName val="Type_LOFT-110"/>
      <sheetName val="Type_LOFT-2_10"/>
      <sheetName val="Type_LOFT-2M10"/>
      <sheetName val="Type_LOFT_310"/>
      <sheetName val="Type_LOFT-410"/>
      <sheetName val="Type_LOFT-510"/>
      <sheetName val="Type_LOFT-610"/>
      <sheetName val="Type_LOFT-710"/>
      <sheetName val="Type_PH-A10"/>
      <sheetName val="Type_PH-B10"/>
      <sheetName val="Type_PH-C10"/>
      <sheetName val="Type_PH-D10"/>
      <sheetName val="Type_PH-E10"/>
      <sheetName val="Sum_LAND10"/>
      <sheetName val="SUM_M&amp;E10"/>
      <sheetName val="Grand_Summary_(_Variation)10"/>
      <sheetName val="ST_work_con_M10"/>
      <sheetName val="ST_work_con_carpark10"/>
      <sheetName val="ST_work_M10"/>
      <sheetName val="ST_work_Facad(M)_10"/>
      <sheetName val="ST_work_carpark10"/>
      <sheetName val="back_up_arc_Car_Park10"/>
      <sheetName val="backup_str_carpark10"/>
      <sheetName val="back_up_arc__M10"/>
      <sheetName val="แยกงาน_ผนัง_พื้น_ฝ้า_สี10"/>
      <sheetName val="Grand_SUMMARY_MEP_10"/>
      <sheetName val="แยกงาน_(2)10"/>
      <sheetName val="Fee_Rate_Summary10"/>
      <sheetName val="Discounted_Cash_Flow10"/>
      <sheetName val="Garph_Work-Cost10"/>
      <sheetName val="10_ข้อมูลวัสดุ-ค่าดำเนิน10"/>
      <sheetName val="REF_ONLY210"/>
      <sheetName val="OR21_Final_Forecast_Rev_210"/>
      <sheetName val="Summary_Forecast_Budget_1&amp;210"/>
      <sheetName val="Summary_Forecast_Budget_Rev_210"/>
      <sheetName val="Backup_OR21_10"/>
      <sheetName val="BOQ__VI_03_09_19_10"/>
      <sheetName val="Backup_BR_BMA10"/>
      <sheetName val="Budget_for_ENT10"/>
      <sheetName val="ADJ__D-Wall&amp;BR_Ent__Rev_2_110"/>
      <sheetName val="Rebar+Conพื้น_Waste10%10"/>
      <sheetName val="Backup_D-Wall_Ent__13_07_1910"/>
      <sheetName val="Backup_BR_ENT__13_07_1910"/>
      <sheetName val="IMP_OR21_2019_07_1110"/>
      <sheetName val="A1_210"/>
      <sheetName val="Bill_No__2_-_Carpark10"/>
      <sheetName val="Car_10"/>
      <sheetName val="TDC_COA_Sumry10"/>
      <sheetName val="COA_Sumry_by_Area10"/>
      <sheetName val="COA_Sumry_by_Contr10"/>
      <sheetName val="COA_Sumry_by_RG10"/>
      <sheetName val="TDC_COA_Grp_Sumry10"/>
      <sheetName val="TDC_Item_Dets-Full10"/>
      <sheetName val="TDC_Item_Dets-IPM-Full10"/>
      <sheetName val="TDC_Item_Dets10"/>
      <sheetName val="TDC_Item_Sumry10"/>
      <sheetName val="TDC_Key_Qty_Sumry10"/>
      <sheetName val="List_-_Components10"/>
      <sheetName val="List_-_Equipment10"/>
      <sheetName val="Project_Metrics10"/>
      <sheetName val="COA_Sumry_-_Std_Imp10"/>
      <sheetName val="Contr_TDC_-_Std_Imp10"/>
      <sheetName val="Item_Sumry_-_Std_Imp10"/>
      <sheetName val="Proj_TIC_-_Std_Imp10"/>
      <sheetName val="Unit_Costs_-_Std_Imp10"/>
      <sheetName val="Unit_MH_-_Std_Imp10"/>
      <sheetName val="King_110"/>
      <sheetName val="แผนงาน_อบต_ท่าลาน(ส่งเทศบาล)10"/>
      <sheetName val="Construction_cost_assumption10"/>
      <sheetName val="JLL_Assumption10"/>
      <sheetName val="Retail_Program&amp;Rev_Assumption10"/>
      <sheetName val="back_up_FL_410"/>
      <sheetName val="detail_10"/>
      <sheetName val="BOX_Cryostat_Details10"/>
      <sheetName val="Driver_Linac_Layout10"/>
      <sheetName val="Magnet_Details10"/>
      <sheetName val="ทำนบดิน_410"/>
      <sheetName val="Purchase_Order10"/>
      <sheetName val="Customize_Your_Purchase_Order10"/>
      <sheetName val="Factor_F_งาน_DB_7"/>
      <sheetName val="Site_OH-Main_Construction7"/>
      <sheetName val="Site_OH-HMA7"/>
      <sheetName val="Para_Slurry_Seal7"/>
      <sheetName val="Agg__for_Para_Type_III7"/>
      <sheetName val="Agg__for_Para_TypeIII_Haulage7"/>
      <sheetName val="Tack_Coat-16+400A,B7"/>
      <sheetName val="Earth_Excavation7"/>
      <sheetName val="B1_Selected_Mat7"/>
      <sheetName val="B1_CTB_In-Plant7"/>
      <sheetName val="Tack_Coat-17+100B7"/>
      <sheetName val="Milling_5cm-ทางลงเชียงราก7"/>
      <sheetName val="Tack_Coat-ทางลงเชียงราก7"/>
      <sheetName val="Toll_Fee7"/>
      <sheetName val="Traffic_Management7"/>
      <sheetName val="11_ข้อมูลงานCon7"/>
      <sheetName val="12_ข้อมูลงานไม้แบบ7"/>
      <sheetName val="ตกแต่ง-อาคาร_A7"/>
      <sheetName val="ตกแต่ง-อาคาร_B7"/>
      <sheetName val="ตกแต่ง-อาคาร_C7"/>
      <sheetName val="ตกแต่ง-อาคาร_E7"/>
      <sheetName val="MS_Box7"/>
      <sheetName val="MOLP_C7"/>
      <sheetName val="Sch_27"/>
      <sheetName val="Attach1(สรุปรวม)_7"/>
      <sheetName val="Attach2(BOQ_Detail)_7"/>
      <sheetName val="Attach3(Measurement)_(Topping)7"/>
      <sheetName val="Attach3(Measurement)_(FL_FINIS7"/>
      <sheetName val="Attach3(Check_Sheet)7"/>
      <sheetName val="_(FL_Finis)7"/>
      <sheetName val="bp_bill-mark7"/>
      <sheetName val="PRICE_LIST7"/>
      <sheetName val="bk_unit_rate7"/>
      <sheetName val="basic_rate7"/>
      <sheetName val="3-145_input_plan7"/>
      <sheetName val="สรุปราคา_(EMC)7"/>
      <sheetName val="Status_Budget7"/>
      <sheetName val="A_O_R_6"/>
      <sheetName val="หน้าปกล่าสุด_(2)6"/>
      <sheetName val="Cover_(2)6"/>
      <sheetName val="งานตกแต่งภายใน_(ตัดSCOPE)6"/>
      <sheetName val="หมวดงานสถาปัตยกรรม_(พาส)ต้นฉบั6"/>
      <sheetName val="EE_6"/>
      <sheetName val="AC_(2)6"/>
      <sheetName val="36_rc__pipe(2หน้า)7"/>
      <sheetName val="bill_26"/>
      <sheetName val="입찰내역_발주처_양식6"/>
      <sheetName val="price_per_model6"/>
      <sheetName val="summary_sn_fp6"/>
      <sheetName val="book_1_summary6"/>
      <sheetName val="construction_cost_summary6"/>
      <sheetName val="sum_1-46"/>
      <sheetName val="Cost_Data6"/>
      <sheetName val="Backup_Rev6"/>
      <sheetName val="Executive_Summary_Buil6"/>
      <sheetName val="Category_List6"/>
      <sheetName val="5a__Code_E6"/>
      <sheetName val="ประมาณการประตูหน้าต่าง_6"/>
      <sheetName val="Land_Dev't__Ph-13"/>
      <sheetName val="worksheet_inchican3"/>
      <sheetName val="combined_9-303"/>
      <sheetName val="COMPARATIVE_SUMMARY3"/>
      <sheetName val="BOQ_(typ-accent)3"/>
      <sheetName val="area_converter3"/>
      <sheetName val="DMD_Office3"/>
      <sheetName val="ADMIN_OFFICE_(2)3"/>
      <sheetName val="exec_summary3"/>
      <sheetName val="3-CAPARS_Log3"/>
      <sheetName val="___合同台账__3"/>
      <sheetName val="_____@_x0014"/>
      <sheetName val="_____@"/>
      <sheetName val="?????@_x0014"/>
      <sheetName val="d_makan3"/>
      <sheetName val="Link_ห้ามลบ3"/>
      <sheetName val="Drop_Down3"/>
      <sheetName val="Summary_cal3"/>
      <sheetName val="Bill_4-Guard_House3"/>
      <sheetName val="Bill_2-Condo(138_units)3"/>
      <sheetName val="Bill_3-Carpark,Services3"/>
      <sheetName val="Bill_5-_External_Work3"/>
      <sheetName val="Bill_6-Landscape3"/>
      <sheetName val="FlatBottomClarifier_(Not_used)3"/>
      <sheetName val="Lookup_data3"/>
      <sheetName val="Follow_Dwg_3"/>
      <sheetName val="สรุปราคา_(EMC)4"/>
      <sheetName val="Status_Budget4"/>
      <sheetName val="A_O_R_3"/>
      <sheetName val="หน้าปกล่าสุด_(2)3"/>
      <sheetName val="Cover_(2)3"/>
      <sheetName val="งานตกแต่งภายใน_(ตัดSCOPE)3"/>
      <sheetName val="หมวดงานสถาปัตยกรรม_(พาส)ต้นฉบั3"/>
      <sheetName val="EE_3"/>
      <sheetName val="AC_(2)3"/>
      <sheetName val="bill_23"/>
      <sheetName val="입찰내역_발주처_양식3"/>
      <sheetName val="price_per_model3"/>
      <sheetName val="summary_sn_fp3"/>
      <sheetName val="book_1_summary3"/>
      <sheetName val="construction_cost_summary3"/>
      <sheetName val="sum_1-43"/>
      <sheetName val="Cost_Data3"/>
      <sheetName val="Backup_Rev3"/>
      <sheetName val="Executive_Summary_Buil3"/>
      <sheetName val="Category_List3"/>
      <sheetName val="5a__Code_E3"/>
      <sheetName val="ประมาณการประตูหน้าต่าง_3"/>
      <sheetName val="Bill_4-Guard_House"/>
      <sheetName val="Bill_2-Condo(138_units)"/>
      <sheetName val="Bill_3-Carpark,Services"/>
      <sheetName val="Bill_5-_External_Work"/>
      <sheetName val="Bill_6-Landscape"/>
      <sheetName val="FlatBottomClarifier_(Not_used)"/>
      <sheetName val="Lookup_data"/>
      <sheetName val="Follow_Dwg_"/>
      <sheetName val="封面_16"/>
      <sheetName val="SUMMERY_(BOQ)15"/>
      <sheetName val="Ratio_Quantities10"/>
      <sheetName val="Column_VE_(Coppper)10"/>
      <sheetName val="CORE_WALL_(GL_38-39_I-R)VE10"/>
      <sheetName val="CORE_WALL_(GL_14-19_I-R)VE10"/>
      <sheetName val="CORE_WALL_(GL_27-28_C-F)VE10"/>
      <sheetName val="CORE_WALL_(GL_53-54_J)VE10"/>
      <sheetName val="CORE_WALL_(GL_56-57_J-P)VE10"/>
      <sheetName val="CORE_WALL_(GL_33_C-L)VE10"/>
      <sheetName val="RC_Wall10"/>
      <sheetName val="Struc__Steel10"/>
      <sheetName val="Std_RC_Wall10"/>
      <sheetName val="Std__Column_10"/>
      <sheetName val="Struc_Check_Table_อาคาร_110"/>
      <sheetName val="ข้อมูลประตู_T110"/>
      <sheetName val="ข้อมูลหน้าต่าง_T110"/>
      <sheetName val="ข้อมูลหน้าต่าง_T310"/>
      <sheetName val="Data_Sheet10"/>
      <sheetName val="EST-FOOTING_(G)10"/>
      <sheetName val="ข้อมูลประตู_T210"/>
      <sheetName val="_FS10"/>
      <sheetName val="Sch_2_SN10"/>
      <sheetName val="Sch_3_FP10"/>
      <sheetName val="Sch_4_AC10"/>
      <sheetName val="Sch_6_Prelim10"/>
      <sheetName val="สรุปราคา_(EMC)5"/>
      <sheetName val="Status_Budget5"/>
      <sheetName val="A_O_R_4"/>
      <sheetName val="หน้าปกล่าสุด_(2)4"/>
      <sheetName val="Cover_(2)4"/>
      <sheetName val="งานตกแต่งภายใน_(ตัดSCOPE)4"/>
      <sheetName val="หมวดงานสถาปัตยกรรม_(พาส)ต้นฉบั4"/>
      <sheetName val="EE_4"/>
      <sheetName val="AC_(2)4"/>
      <sheetName val="bill_24"/>
      <sheetName val="입찰내역_발주처_양식4"/>
      <sheetName val="price_per_model4"/>
      <sheetName val="summary_sn_fp4"/>
      <sheetName val="book_1_summary4"/>
      <sheetName val="construction_cost_summary4"/>
      <sheetName val="sum_1-44"/>
      <sheetName val="Cost_Data4"/>
      <sheetName val="Backup_Rev4"/>
      <sheetName val="Executive_Summary_Buil4"/>
      <sheetName val="Category_List4"/>
      <sheetName val="5a__Code_E4"/>
      <sheetName val="ประมาณการประตูหน้าต่าง_4"/>
      <sheetName val="Bill_4-Guard_House1"/>
      <sheetName val="Bill_2-Condo(138_units)1"/>
      <sheetName val="Bill_3-Carpark,Services1"/>
      <sheetName val="Bill_5-_External_Work1"/>
      <sheetName val="Bill_6-Landscape1"/>
      <sheetName val="FlatBottomClarifier_(Not_used)1"/>
      <sheetName val="Lookup_data1"/>
      <sheetName val="Follow_Dwg_1"/>
      <sheetName val="封面_17"/>
      <sheetName val="SUMMERY_(BOQ)16"/>
      <sheetName val="FIRST_FLOOR15"/>
      <sheetName val="SECOND_FLOOR15"/>
      <sheetName val="3RD_FLOOR15"/>
      <sheetName val="4_TH_FLOOR15"/>
      <sheetName val="1ST-4TH_DOOR_WORK15"/>
      <sheetName val="1ST-4TH_MAIL&amp;FEMALE_TOILET15"/>
      <sheetName val="5THFLOOR_LIFT_LOBBY&amp;CORRIDOR15"/>
      <sheetName val="Back_Up15"/>
      <sheetName val="Concrete_Beam15"/>
      <sheetName val="ส่งมอบงาน_11"/>
      <sheetName val="Grand_Summary_(2)11"/>
      <sheetName val="Grand_Summary_11"/>
      <sheetName val="_BOQ_WELCOME_11"/>
      <sheetName val="Grand_Sum_VO11"/>
      <sheetName val="Sum_VIP_VO11"/>
      <sheetName val="SAN_REDUCED_111"/>
      <sheetName val="S3_Architectural11"/>
      <sheetName val="Ratio_Quantities11"/>
      <sheetName val="Column_VE_(Coppper)11"/>
      <sheetName val="CORE_WALL_(GL_38-39_I-R)VE11"/>
      <sheetName val="CORE_WALL_(GL_14-19_I-R)VE11"/>
      <sheetName val="CORE_WALL_(GL_27-28_C-F)VE11"/>
      <sheetName val="CORE_WALL_(GL_53-54_J)VE11"/>
      <sheetName val="CORE_WALL_(GL_56-57_J-P)VE11"/>
      <sheetName val="CORE_WALL_(GL_33_C-L)VE11"/>
      <sheetName val="RC_Wall11"/>
      <sheetName val="Struc__Steel11"/>
      <sheetName val="Std_RC_Wall11"/>
      <sheetName val="Std__Column_11"/>
      <sheetName val="Struc_Check_Table_อาคาร_111"/>
      <sheetName val="ข้อมูลประตู_T111"/>
      <sheetName val="ข้อมูลหน้าต่าง_T111"/>
      <sheetName val="ข้อมูลหน้าต่าง_T311"/>
      <sheetName val="Data_Sheet11"/>
      <sheetName val="EST-FOOTING_(G)11"/>
      <sheetName val="ข้อมูลประตู_T211"/>
      <sheetName val="_FS11"/>
      <sheetName val="Sch_2_SN11"/>
      <sheetName val="Sch_3_FP11"/>
      <sheetName val="Sch_4_AC11"/>
      <sheetName val="Sch_6_Prelim11"/>
      <sheetName val="สรุปราคา_(EMC)6"/>
      <sheetName val="Status_Budget6"/>
      <sheetName val="A_O_R_5"/>
      <sheetName val="หน้าปกล่าสุด_(2)5"/>
      <sheetName val="Cover_(2)5"/>
      <sheetName val="งานตกแต่งภายใน_(ตัดSCOPE)5"/>
      <sheetName val="หมวดงานสถาปัตยกรรม_(พาส)ต้นฉบั5"/>
      <sheetName val="EE_5"/>
      <sheetName val="AC_(2)5"/>
      <sheetName val="bill_25"/>
      <sheetName val="입찰내역_발주처_양식5"/>
      <sheetName val="price_per_model5"/>
      <sheetName val="summary_sn_fp5"/>
      <sheetName val="book_1_summary5"/>
      <sheetName val="construction_cost_summary5"/>
      <sheetName val="sum_1-45"/>
      <sheetName val="Cost_Data5"/>
      <sheetName val="Backup_Rev5"/>
      <sheetName val="Executive_Summary_Buil5"/>
      <sheetName val="Category_List5"/>
      <sheetName val="5a__Code_E5"/>
      <sheetName val="ประมาณการประตูหน้าต่าง_5"/>
      <sheetName val="Bill_4-Guard_House2"/>
      <sheetName val="Bill_2-Condo(138_units)2"/>
      <sheetName val="Bill_3-Carpark,Services2"/>
      <sheetName val="Bill_5-_External_Work2"/>
      <sheetName val="Bill_6-Landscape2"/>
      <sheetName val="FlatBottomClarifier_(Not_used)2"/>
      <sheetName val="Lookup_data2"/>
      <sheetName val="Follow_Dwg_2"/>
      <sheetName val="งานเพิ่ม-ลด"/>
      <sheetName val="ภูมิทัศน์"/>
      <sheetName val="Z"/>
      <sheetName val="Cash2"/>
      <sheetName val="ตารางส่วนลด EE."/>
      <sheetName val="DWi"/>
      <sheetName val="GB1"/>
      <sheetName val="Key_Data"/>
      <sheetName val="cover_page"/>
      <sheetName val="รถพ่วงขนส่ง"/>
      <sheetName val="ราคาวัสดุ-ค่าแรง"/>
      <sheetName val="สิบล้อขนส่ง"/>
      <sheetName val="ข้อมูลคำนวณ1"/>
      <sheetName val="Multi_Box 1"/>
      <sheetName val="ค่างานต้นทุน"/>
      <sheetName val="หกล้อขนส่ง"/>
      <sheetName val="ข้อมูลสะพาน1"/>
      <sheetName val="ค่างานต้นทุนสะพาน1"/>
      <sheetName val="ราคาราง"/>
      <sheetName val="ดินตัด-ถม"/>
      <sheetName val="ทางเชื่อม"/>
      <sheetName val="ปร.4สะพาน1"/>
      <sheetName val="sh_vpm_fr"/>
      <sheetName val="建築工事費"/>
      <sheetName val="bq"/>
      <sheetName val="Definition_Table"/>
      <sheetName val="Unit_rate_Architecture1"/>
      <sheetName val="Definition_Table1"/>
      <sheetName val="List data adj."/>
      <sheetName val="LEGEND"/>
      <sheetName val="EE PRICE"/>
      <sheetName val="10. Sturcture wall"/>
      <sheetName val="1.Executive"/>
      <sheetName val="sheetNO"/>
      <sheetName val="Quotation"/>
      <sheetName val="backup"/>
      <sheetName val="U_P BASE"/>
      <sheetName val="ดัชนีราคา"/>
      <sheetName val="กรอกราคา"/>
      <sheetName val="概総括1"/>
      <sheetName val="BM"/>
      <sheetName val="Project_Data"/>
      <sheetName val="hvac_boq"/>
      <sheetName val="Equip_Item_Dets"/>
      <sheetName val="Pipe_Item_Dets"/>
      <sheetName val="Civil_Item_Dets"/>
      <sheetName val="Inst_Item_Dets"/>
      <sheetName val="Elec_Item_Dets"/>
      <sheetName val="Paint_Item_Dets"/>
      <sheetName val="By_Branch"/>
      <sheetName val="summary all"/>
      <sheetName val="기성내역"/>
      <sheetName val="Sheet9"/>
      <sheetName val="ค่าขนส่ง(6ล้อ)"/>
      <sheetName val="BOQ건축"/>
      <sheetName val="Cost Summary"/>
      <sheetName val="TTL"/>
      <sheetName val="ส.อุดร (2)"/>
      <sheetName val="开办费估算简表"/>
      <sheetName val="4-机械及周转料具"/>
      <sheetName val="main"/>
      <sheetName val="말뚝물량"/>
      <sheetName val="Cost_per_SQM_M&amp;E11"/>
      <sheetName val="TOTAL_-BUILDING_E111"/>
      <sheetName val="SUM_-_MEP(E1)_11"/>
      <sheetName val="Air(E1_)11"/>
      <sheetName val="Fp(E1)___11"/>
      <sheetName val="SUMMARY_MEP11"/>
      <sheetName val="SUM_-_MEP_BUILDING11"/>
      <sheetName val="Electrical_System_11"/>
      <sheetName val="Commuication_System11"/>
      <sheetName val="Air_Conditioning__System__11"/>
      <sheetName val="Sanitary_System_11"/>
      <sheetName val="Fire_Protection_System_11"/>
      <sheetName val="ปี_256211"/>
      <sheetName val="รายการ_VE11"/>
      <sheetName val="Type_A-111"/>
      <sheetName val="Type_A-1M11"/>
      <sheetName val="Type_B-111"/>
      <sheetName val="Type_C111"/>
      <sheetName val="Type_C-211"/>
      <sheetName val="Type_C-311"/>
      <sheetName val="Type_C-511"/>
      <sheetName val="Type_DP-511"/>
      <sheetName val="Type_LOFT-111"/>
      <sheetName val="Type_LOFT-2_11"/>
      <sheetName val="Type_LOFT-2M11"/>
      <sheetName val="Type_LOFT_311"/>
      <sheetName val="Type_LOFT-411"/>
      <sheetName val="Type_LOFT-511"/>
      <sheetName val="Type_LOFT-611"/>
      <sheetName val="Type_LOFT-711"/>
      <sheetName val="Type_PH-A11"/>
      <sheetName val="Type_PH-B11"/>
      <sheetName val="Type_PH-C11"/>
      <sheetName val="Type_PH-D11"/>
      <sheetName val="Type_PH-E11"/>
      <sheetName val="Sum_LAND11"/>
      <sheetName val="SUM_M&amp;E11"/>
      <sheetName val="Grand_Summary_(_Variation)11"/>
      <sheetName val="ST_work_con_M11"/>
      <sheetName val="ST_work_con_carpark11"/>
      <sheetName val="ST_work_M11"/>
      <sheetName val="ST_work_Facad(M)_11"/>
      <sheetName val="ST_work_carpark11"/>
      <sheetName val="back_up_arc_Car_Park11"/>
      <sheetName val="backup_str_carpark11"/>
      <sheetName val="back_up_arc__M11"/>
      <sheetName val="แยกงาน_ผนัง_พื้น_ฝ้า_สี11"/>
      <sheetName val="Grand_SUMMARY_MEP_11"/>
      <sheetName val="แยกงาน_(2)11"/>
      <sheetName val="KKC_Brkdwn11"/>
      <sheetName val="Factor_F_Data11"/>
      <sheetName val="Fee_Rate_Summary11"/>
      <sheetName val="Discounted_Cash_Flow11"/>
      <sheetName val="A1_211"/>
      <sheetName val="Bill_No__2_-_Carpark11"/>
      <sheetName val="Garph_Work-Cost11"/>
      <sheetName val="OR21_Final_Forecast_Rev_211"/>
      <sheetName val="Summary_Forecast_Budget_1&amp;211"/>
      <sheetName val="Summary_Forecast_Budget_Rev_211"/>
      <sheetName val="Backup_OR21_11"/>
      <sheetName val="BOQ__VI_03_09_19_11"/>
      <sheetName val="Backup_BR_BMA11"/>
      <sheetName val="Budget_for_ENT11"/>
      <sheetName val="ADJ__D-Wall&amp;BR_Ent__Rev_2_111"/>
      <sheetName val="Rebar+Conพื้น_Waste10%11"/>
      <sheetName val="Backup_D-Wall_Ent__13_07_1911"/>
      <sheetName val="Backup_BR_ENT__13_07_1911"/>
      <sheetName val="IMP_OR21_2019_07_1111"/>
      <sheetName val="Car_11"/>
      <sheetName val="TDC_COA_Sumry11"/>
      <sheetName val="COA_Sumry_by_Area11"/>
      <sheetName val="COA_Sumry_by_Contr11"/>
      <sheetName val="COA_Sumry_by_RG11"/>
      <sheetName val="TDC_COA_Grp_Sumry11"/>
      <sheetName val="TDC_Item_Dets-Full11"/>
      <sheetName val="TDC_Item_Dets-IPM-Full11"/>
      <sheetName val="TDC_Item_Dets11"/>
      <sheetName val="TDC_Item_Sumry11"/>
      <sheetName val="TDC_Key_Qty_Sumry11"/>
      <sheetName val="List_-_Components11"/>
      <sheetName val="List_-_Equipment11"/>
      <sheetName val="Project_Metrics11"/>
      <sheetName val="COA_Sumry_-_Std_Imp11"/>
      <sheetName val="Contr_TDC_-_Std_Imp11"/>
      <sheetName val="Item_Sumry_-_Std_Imp11"/>
      <sheetName val="Proj_TIC_-_Std_Imp11"/>
      <sheetName val="Unit_Costs_-_Std_Imp11"/>
      <sheetName val="Unit_MH_-_Std_Imp11"/>
      <sheetName val="10_ข้อมูลวัสดุ-ค่าดำเนิน11"/>
      <sheetName val="REF_ONLY211"/>
      <sheetName val="BOX_Cryostat_Details11"/>
      <sheetName val="Driver_Linac_Layout11"/>
      <sheetName val="Magnet_Details11"/>
      <sheetName val="King_111"/>
      <sheetName val="แผนงาน_อบต_ท่าลาน(ส่งเทศบาล)11"/>
      <sheetName val="detail_11"/>
      <sheetName val="Construction_cost_assumption11"/>
      <sheetName val="JLL_Assumption11"/>
      <sheetName val="Retail_Program&amp;Rev_Assumption11"/>
      <sheetName val="Factor_F_งาน_DB_8"/>
      <sheetName val="Site_OH-Main_Construction8"/>
      <sheetName val="Site_OH-HMA8"/>
      <sheetName val="Para_Slurry_Seal8"/>
      <sheetName val="Agg__for_Para_Type_III8"/>
      <sheetName val="Agg__for_Para_TypeIII_Haulage8"/>
      <sheetName val="Tack_Coat-16+400A,B8"/>
      <sheetName val="Earth_Excavation8"/>
      <sheetName val="B1_Selected_Mat8"/>
      <sheetName val="B1_CTB_In-Plant8"/>
      <sheetName val="Tack_Coat-17+100B8"/>
      <sheetName val="Milling_5cm-ทางลงเชียงราก8"/>
      <sheetName val="Tack_Coat-ทางลงเชียงราก8"/>
      <sheetName val="Toll_Fee8"/>
      <sheetName val="Traffic_Management8"/>
      <sheetName val="ทำนบดิน_411"/>
      <sheetName val="Purchase_Order11"/>
      <sheetName val="Customize_Your_Purchase_Order11"/>
      <sheetName val="back_up_FL_411"/>
      <sheetName val="bk_unit_rate8"/>
      <sheetName val="11_ข้อมูลงานCon8"/>
      <sheetName val="12_ข้อมูลงานไม้แบบ8"/>
      <sheetName val="ตกแต่ง-อาคาร_A8"/>
      <sheetName val="ตกแต่ง-อาคาร_B8"/>
      <sheetName val="ตกแต่ง-อาคาร_C8"/>
      <sheetName val="ตกแต่ง-อาคาร_E8"/>
      <sheetName val="MS_Box8"/>
      <sheetName val="MOLP_C8"/>
      <sheetName val="36_rc__pipe(2หน้า)8"/>
      <sheetName val="bp_bill-mark8"/>
      <sheetName val="Sch_28"/>
      <sheetName val="Attach1(สรุปรวม)_8"/>
      <sheetName val="Attach2(BOQ_Detail)_8"/>
      <sheetName val="Attach3(Measurement)_(Topping)8"/>
      <sheetName val="Attach3(Measurement)_(FL_FINIS8"/>
      <sheetName val="Attach3(Check_Sheet)8"/>
      <sheetName val="_(FL_Finis)8"/>
      <sheetName val="PRICE_LIST8"/>
      <sheetName val="basic_rate8"/>
      <sheetName val="3-145_input_plan8"/>
      <sheetName val="Land_Dev't__Ph-14"/>
      <sheetName val="worksheet_inchican4"/>
      <sheetName val="combined_9-304"/>
      <sheetName val="COMPARATIVE_SUMMARY4"/>
      <sheetName val="BOQ_(typ-accent)4"/>
      <sheetName val="DMD_Office4"/>
      <sheetName val="ADMIN_OFFICE_(2)4"/>
      <sheetName val="exec_summary4"/>
      <sheetName val="3-CAPARS_Log4"/>
      <sheetName val="area_converter4"/>
      <sheetName val="___合同台账__4"/>
      <sheetName val="Link_ห้ามลบ4"/>
      <sheetName val="Drop_Down4"/>
      <sheetName val="Summary_cal4"/>
      <sheetName val="d_makan4"/>
      <sheetName val="Unit_rate_Architecture2"/>
      <sheetName val="FIRST_FLOOR17"/>
      <sheetName val="SECOND_FLOOR17"/>
      <sheetName val="3RD_FLOOR17"/>
      <sheetName val="4_TH_FLOOR17"/>
      <sheetName val="1ST-4TH_DOOR_WORK17"/>
      <sheetName val="1ST-4TH_MAIL&amp;FEMALE_TOILET17"/>
      <sheetName val="5THFLOOR_LIFT_LOBBY&amp;CORRIDOR17"/>
      <sheetName val="Back_Up17"/>
      <sheetName val="Concrete_Beam17"/>
      <sheetName val="ส่งมอบงาน_13"/>
      <sheetName val="Grand_Summary_(2)13"/>
      <sheetName val="Grand_Summary_13"/>
      <sheetName val="_BOQ_WELCOME_13"/>
      <sheetName val="Grand_Sum_VO13"/>
      <sheetName val="Sum_VIP_VO13"/>
      <sheetName val="SAN_REDUCED_113"/>
      <sheetName val="S3_Architectural13"/>
      <sheetName val="TOTAL_-BUILDING_E112"/>
      <sheetName val="SUM_-_MEP(E1)_12"/>
      <sheetName val="Air(E1_)12"/>
      <sheetName val="Fp(E1)___12"/>
      <sheetName val="SUMMARY_MEP12"/>
      <sheetName val="SUM_-_MEP_BUILDING12"/>
      <sheetName val="Electrical_System_12"/>
      <sheetName val="Commuication_System12"/>
      <sheetName val="Air_Conditioning__System__12"/>
      <sheetName val="Sanitary_System_12"/>
      <sheetName val="Fire_Protection_System_12"/>
      <sheetName val="Cost_per_SQM_M&amp;E12"/>
      <sheetName val="KKC_Brkdwn12"/>
      <sheetName val="Factor_F_Data12"/>
      <sheetName val="รายการ_VE12"/>
      <sheetName val="Type_A-112"/>
      <sheetName val="Type_A-1M12"/>
      <sheetName val="Type_B-112"/>
      <sheetName val="Type_C112"/>
      <sheetName val="Type_C-212"/>
      <sheetName val="Type_C-312"/>
      <sheetName val="Type_C-512"/>
      <sheetName val="Type_DP-512"/>
      <sheetName val="Type_LOFT-112"/>
      <sheetName val="Type_LOFT-2_12"/>
      <sheetName val="Type_LOFT-2M12"/>
      <sheetName val="Type_LOFT_312"/>
      <sheetName val="Type_LOFT-412"/>
      <sheetName val="Type_LOFT-512"/>
      <sheetName val="Type_LOFT-612"/>
      <sheetName val="Type_LOFT-712"/>
      <sheetName val="Type_PH-A12"/>
      <sheetName val="Type_PH-B12"/>
      <sheetName val="Type_PH-C12"/>
      <sheetName val="Type_PH-D12"/>
      <sheetName val="Type_PH-E12"/>
      <sheetName val="Sum_LAND12"/>
      <sheetName val="SUM_M&amp;E12"/>
      <sheetName val="Grand_Summary_(_Variation)12"/>
      <sheetName val="ST_work_con_M12"/>
      <sheetName val="ST_work_con_carpark12"/>
      <sheetName val="ST_work_M12"/>
      <sheetName val="ST_work_Facad(M)_12"/>
      <sheetName val="ST_work_carpark12"/>
      <sheetName val="back_up_arc_Car_Park12"/>
      <sheetName val="backup_str_carpark12"/>
      <sheetName val="back_up_arc__M12"/>
      <sheetName val="แยกงาน_ผนัง_พื้น_ฝ้า_สี12"/>
      <sheetName val="Grand_SUMMARY_MEP_12"/>
      <sheetName val="แยกงาน_(2)12"/>
      <sheetName val="ปี_256212"/>
      <sheetName val="King_112"/>
      <sheetName val="Discounted_Cash_Flow12"/>
      <sheetName val="Garph_Work-Cost12"/>
      <sheetName val="Fee_Rate_Summary12"/>
      <sheetName val="OR21_Final_Forecast_Rev_212"/>
      <sheetName val="Summary_Forecast_Budget_1&amp;212"/>
      <sheetName val="Summary_Forecast_Budget_Rev_212"/>
      <sheetName val="Backup_OR21_12"/>
      <sheetName val="BOQ__VI_03_09_19_12"/>
      <sheetName val="Backup_BR_BMA12"/>
      <sheetName val="Budget_for_ENT12"/>
      <sheetName val="ADJ__D-Wall&amp;BR_Ent__Rev_2_112"/>
      <sheetName val="Rebar+Conพื้น_Waste10%12"/>
      <sheetName val="Backup_D-Wall_Ent__13_07_1912"/>
      <sheetName val="Backup_BR_ENT__13_07_1912"/>
      <sheetName val="IMP_OR21_2019_07_1112"/>
      <sheetName val="10_ข้อมูลวัสดุ-ค่าดำเนิน12"/>
      <sheetName val="REF_ONLY212"/>
      <sheetName val="Bill_No__2_-_Carpark12"/>
      <sheetName val="Car_12"/>
      <sheetName val="TDC_COA_Sumry12"/>
      <sheetName val="COA_Sumry_by_Area12"/>
      <sheetName val="COA_Sumry_by_Contr12"/>
      <sheetName val="COA_Sumry_by_RG12"/>
      <sheetName val="TDC_COA_Grp_Sumry12"/>
      <sheetName val="TDC_Item_Dets-Full12"/>
      <sheetName val="TDC_Item_Dets-IPM-Full12"/>
      <sheetName val="TDC_Item_Dets12"/>
      <sheetName val="TDC_Item_Sumry12"/>
      <sheetName val="TDC_Key_Qty_Sumry12"/>
      <sheetName val="List_-_Components12"/>
      <sheetName val="List_-_Equipment12"/>
      <sheetName val="Project_Metrics12"/>
      <sheetName val="COA_Sumry_-_Std_Imp12"/>
      <sheetName val="Contr_TDC_-_Std_Imp12"/>
      <sheetName val="Item_Sumry_-_Std_Imp12"/>
      <sheetName val="Proj_TIC_-_Std_Imp12"/>
      <sheetName val="Unit_Costs_-_Std_Imp12"/>
      <sheetName val="Unit_MH_-_Std_Imp12"/>
      <sheetName val="แผนงาน_อบต_ท่าลาน(ส่งเทศบาล)12"/>
      <sheetName val="A1_212"/>
      <sheetName val="Construction_cost_assumption12"/>
      <sheetName val="JLL_Assumption12"/>
      <sheetName val="Retail_Program&amp;Rev_Assumption12"/>
      <sheetName val="detail_12"/>
      <sheetName val="BOX_Cryostat_Details12"/>
      <sheetName val="Driver_Linac_Layout12"/>
      <sheetName val="Magnet_Details12"/>
      <sheetName val="ทำนบดิน_412"/>
      <sheetName val="Purchase_Order12"/>
      <sheetName val="Customize_Your_Purchase_Order12"/>
      <sheetName val="back_up_FL_412"/>
      <sheetName val="Factor_F_งาน_DB_9"/>
      <sheetName val="Site_OH-Main_Construction9"/>
      <sheetName val="Site_OH-HMA9"/>
      <sheetName val="Para_Slurry_Seal9"/>
      <sheetName val="Agg__for_Para_Type_III9"/>
      <sheetName val="Agg__for_Para_TypeIII_Haulage9"/>
      <sheetName val="Tack_Coat-16+400A,B9"/>
      <sheetName val="Earth_Excavation9"/>
      <sheetName val="B1_Selected_Mat9"/>
      <sheetName val="B1_CTB_In-Plant9"/>
      <sheetName val="Tack_Coat-17+100B9"/>
      <sheetName val="Milling_5cm-ทางลงเชียงราก9"/>
      <sheetName val="Tack_Coat-ทางลงเชียงราก9"/>
      <sheetName val="Toll_Fee9"/>
      <sheetName val="Traffic_Management9"/>
      <sheetName val="ตกแต่ง-อาคาร_A9"/>
      <sheetName val="ตกแต่ง-อาคาร_B9"/>
      <sheetName val="ตกแต่ง-อาคาร_C9"/>
      <sheetName val="ตกแต่ง-อาคาร_E9"/>
      <sheetName val="Attach1(สรุปรวม)_9"/>
      <sheetName val="Attach2(BOQ_Detail)_9"/>
      <sheetName val="Attach3(Measurement)_(Topping)9"/>
      <sheetName val="Attach3(Measurement)_(FL_FINIS9"/>
      <sheetName val="Attach3(Check_Sheet)9"/>
      <sheetName val="_(FL_Finis)9"/>
      <sheetName val="bp_bill-mark9"/>
      <sheetName val="11_ข้อมูลงานCon9"/>
      <sheetName val="12_ข้อมูลงานไม้แบบ9"/>
      <sheetName val="MS_Box9"/>
      <sheetName val="MOLP_C9"/>
      <sheetName val="3-145_input_plan9"/>
      <sheetName val="Sch_29"/>
      <sheetName val="bk_unit_rate9"/>
      <sheetName val="basic_rate9"/>
      <sheetName val="PRICE_LIST9"/>
      <sheetName val="36_rc__pipe(2หน้า)9"/>
      <sheetName val="Land_Dev't__Ph-15"/>
      <sheetName val="worksheet_inchican5"/>
      <sheetName val="combined_9-305"/>
      <sheetName val="COMPARATIVE_SUMMARY5"/>
      <sheetName val="BOQ_(typ-accent)5"/>
      <sheetName val="DMD_Office5"/>
      <sheetName val="ADMIN_OFFICE_(2)5"/>
      <sheetName val="exec_summary5"/>
      <sheetName val="3-CAPARS_Log5"/>
      <sheetName val="area_converter5"/>
      <sheetName val="___合同台账__5"/>
      <sheetName val="Link_ห้ามลบ5"/>
      <sheetName val="Drop_Down5"/>
      <sheetName val="Summary_cal5"/>
      <sheetName val="d_makan5"/>
      <sheetName val="Unit_rate_Architecture3"/>
      <sheetName val="O3 Struct"/>
      <sheetName val="S-curve"/>
      <sheetName val="ค่าขนส่ง(พ่วง)"/>
      <sheetName val="DPVT"/>
      <sheetName val="รวม"/>
      <sheetName val="สรุปราคา_(EMC)8"/>
      <sheetName val="Status_Budget8"/>
      <sheetName val="A_O_R_7"/>
      <sheetName val="bill_27"/>
      <sheetName val="입찰내역_발주처_양식7"/>
      <sheetName val="price_per_model7"/>
      <sheetName val="Cost_Data7"/>
      <sheetName val="summary_sn_fp7"/>
      <sheetName val="หน้าปกล่าสุด_(2)7"/>
      <sheetName val="Cover_(2)7"/>
      <sheetName val="งานตกแต่งภายใน_(ตัดSCOPE)7"/>
      <sheetName val="หมวดงานสถาปัตยกรรม_(พาส)ต้นฉบั7"/>
      <sheetName val="EE_7"/>
      <sheetName val="AC_(2)7"/>
      <sheetName val="Backup_Rev7"/>
      <sheetName val="book_1_summary7"/>
      <sheetName val="construction_cost_summary7"/>
      <sheetName val="sum_1-47"/>
      <sheetName val="Executive_Summary_Buil7"/>
      <sheetName val="Category_List7"/>
      <sheetName val="5a__Code_E7"/>
      <sheetName val="สรุปราคา_(EMC)9"/>
      <sheetName val="Status_Budget9"/>
      <sheetName val="A_O_R_8"/>
      <sheetName val="bill_28"/>
      <sheetName val="입찰내역_발주처_양식8"/>
      <sheetName val="price_per_model8"/>
      <sheetName val="Cost_Data8"/>
      <sheetName val="summary_sn_fp8"/>
      <sheetName val="หน้าปกล่าสุด_(2)8"/>
      <sheetName val="Cover_(2)8"/>
      <sheetName val="งานตกแต่งภายใน_(ตัดSCOPE)8"/>
      <sheetName val="หมวดงานสถาปัตยกรรม_(พาส)ต้นฉบั8"/>
      <sheetName val="EE_8"/>
      <sheetName val="AC_(2)8"/>
      <sheetName val="Backup_Rev8"/>
      <sheetName val="book_1_summary8"/>
      <sheetName val="construction_cost_summary8"/>
      <sheetName val="sum_1-48"/>
      <sheetName val="Executive_Summary_Buil8"/>
      <sheetName val="Category_List8"/>
      <sheetName val="5a__Code_E8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Exp"/>
      <sheetName val="BPI-LOP"/>
      <sheetName val="P-Air"/>
      <sheetName val="งานบริหารโครงสร้างและดำเนินการ"/>
      <sheetName val="Ratio_Quantities13"/>
      <sheetName val="Column_VE_(Coppper)13"/>
      <sheetName val="CORE_WALL_(GL_38-39_I-R)VE13"/>
      <sheetName val="CORE_WALL_(GL_14-19_I-R)VE13"/>
      <sheetName val="CORE_WALL_(GL_27-28_C-F)VE13"/>
      <sheetName val="CORE_WALL_(GL_53-54_J)VE13"/>
      <sheetName val="CORE_WALL_(GL_56-57_J-P)VE13"/>
      <sheetName val="CORE_WALL_(GL_33_C-L)VE13"/>
      <sheetName val="RC_Wall13"/>
      <sheetName val="Struc__Steel13"/>
      <sheetName val="Std_RC_Wall13"/>
      <sheetName val="Std__Column_13"/>
      <sheetName val="Struc_Check_Table_อาคาร_113"/>
      <sheetName val="ปี_256213"/>
      <sheetName val="ข้อมูลประตู_T113"/>
      <sheetName val="ข้อมูลหน้าต่าง_T113"/>
      <sheetName val="ข้อมูลหน้าต่าง_T313"/>
      <sheetName val="ข้อมูลประตู_T213"/>
      <sheetName val="Data_Sheet13"/>
      <sheetName val="EST-FOOTING_(G)13"/>
      <sheetName val="Cost_per_SQM_M&amp;E13"/>
      <sheetName val="_FS13"/>
      <sheetName val="Sch_2_SN13"/>
      <sheetName val="Sch_3_FP13"/>
      <sheetName val="Sch_4_AC13"/>
      <sheetName val="Sch_6_Prelim13"/>
      <sheetName val="TOTAL_-BUILDING_E113"/>
      <sheetName val="SUM_-_MEP(E1)_13"/>
      <sheetName val="Air(E1_)13"/>
      <sheetName val="Fp(E1)___13"/>
      <sheetName val="SUMMARY_MEP13"/>
      <sheetName val="SUM_-_MEP_BUILDING13"/>
      <sheetName val="Electrical_System_13"/>
      <sheetName val="Commuication_System13"/>
      <sheetName val="Air_Conditioning__System__13"/>
      <sheetName val="Sanitary_System_13"/>
      <sheetName val="Fire_Protection_System_13"/>
      <sheetName val="KKC_Brkdwn13"/>
      <sheetName val="Factor_F_Data13"/>
      <sheetName val="Grand_Summary_(_Variation)13"/>
      <sheetName val="ST_work_con_M13"/>
      <sheetName val="ST_work_con_carpark13"/>
      <sheetName val="ST_work_M13"/>
      <sheetName val="ST_work_Facad(M)_13"/>
      <sheetName val="ST_work_carpark13"/>
      <sheetName val="back_up_arc_Car_Park13"/>
      <sheetName val="backup_str_carpark13"/>
      <sheetName val="back_up_arc__M13"/>
      <sheetName val="แยกงาน_ผนัง_พื้น_ฝ้า_สี13"/>
      <sheetName val="Grand_SUMMARY_MEP_13"/>
      <sheetName val="แยกงาน_(2)13"/>
      <sheetName val="รายการ_VE13"/>
      <sheetName val="Type_A-113"/>
      <sheetName val="Type_A-1M13"/>
      <sheetName val="Type_B-113"/>
      <sheetName val="Type_C113"/>
      <sheetName val="Type_C-213"/>
      <sheetName val="Type_C-313"/>
      <sheetName val="Type_C-513"/>
      <sheetName val="Type_DP-513"/>
      <sheetName val="Type_LOFT-113"/>
      <sheetName val="Type_LOFT-2_13"/>
      <sheetName val="Type_LOFT-2M13"/>
      <sheetName val="Type_LOFT_313"/>
      <sheetName val="Type_LOFT-413"/>
      <sheetName val="Type_LOFT-513"/>
      <sheetName val="Type_LOFT-613"/>
      <sheetName val="Type_LOFT-713"/>
      <sheetName val="Type_PH-A13"/>
      <sheetName val="Type_PH-B13"/>
      <sheetName val="Type_PH-C13"/>
      <sheetName val="Type_PH-D13"/>
      <sheetName val="Type_PH-E13"/>
      <sheetName val="Sum_LAND13"/>
      <sheetName val="SUM_M&amp;E13"/>
      <sheetName val="Fee_Rate_Summary13"/>
      <sheetName val="Discounted_Cash_Flow13"/>
      <sheetName val="Garph_Work-Cost13"/>
      <sheetName val="detail_13"/>
      <sheetName val="10_ข้อมูลวัสดุ-ค่าดำเนิน13"/>
      <sheetName val="REF_ONLY213"/>
      <sheetName val="King_113"/>
      <sheetName val="A1_213"/>
      <sheetName val="Bill_No__2_-_Carpark13"/>
      <sheetName val="แผนงาน_อบต_ท่าลาน(ส่งเทศบาล)13"/>
      <sheetName val="OR21_Final_Forecast_Rev_213"/>
      <sheetName val="Summary_Forecast_Budget_1&amp;213"/>
      <sheetName val="Summary_Forecast_Budget_Rev_213"/>
      <sheetName val="Backup_OR21_13"/>
      <sheetName val="BOQ__VI_03_09_19_13"/>
      <sheetName val="Backup_BR_BMA13"/>
      <sheetName val="Budget_for_ENT13"/>
      <sheetName val="ADJ__D-Wall&amp;BR_Ent__Rev_2_113"/>
      <sheetName val="Rebar+Conพื้น_Waste10%13"/>
      <sheetName val="Backup_D-Wall_Ent__13_07_1913"/>
      <sheetName val="Backup_BR_ENT__13_07_1913"/>
      <sheetName val="IMP_OR21_2019_07_1113"/>
      <sheetName val="back_up_FL_413"/>
      <sheetName val="Car_13"/>
      <sheetName val="TDC_COA_Sumry13"/>
      <sheetName val="COA_Sumry_by_Area13"/>
      <sheetName val="COA_Sumry_by_Contr13"/>
      <sheetName val="COA_Sumry_by_RG13"/>
      <sheetName val="TDC_COA_Grp_Sumry13"/>
      <sheetName val="TDC_Item_Dets-Full13"/>
      <sheetName val="TDC_Item_Dets-IPM-Full13"/>
      <sheetName val="TDC_Item_Dets13"/>
      <sheetName val="TDC_Item_Sumry13"/>
      <sheetName val="TDC_Key_Qty_Sumry13"/>
      <sheetName val="List_-_Components13"/>
      <sheetName val="List_-_Equipment13"/>
      <sheetName val="Project_Metrics13"/>
      <sheetName val="COA_Sumry_-_Std_Imp13"/>
      <sheetName val="Contr_TDC_-_Std_Imp13"/>
      <sheetName val="Item_Sumry_-_Std_Imp13"/>
      <sheetName val="Proj_TIC_-_Std_Imp13"/>
      <sheetName val="Unit_Costs_-_Std_Imp13"/>
      <sheetName val="Unit_MH_-_Std_Imp13"/>
      <sheetName val="Construction_cost_assumption13"/>
      <sheetName val="JLL_Assumption13"/>
      <sheetName val="Retail_Program&amp;Rev_Assumption13"/>
      <sheetName val="BOX_Cryostat_Details13"/>
      <sheetName val="Driver_Linac_Layout13"/>
      <sheetName val="Magnet_Details13"/>
      <sheetName val="Factor_F_งาน_DB_10"/>
      <sheetName val="Site_OH-Main_Construction10"/>
      <sheetName val="Site_OH-HMA10"/>
      <sheetName val="Para_Slurry_Seal10"/>
      <sheetName val="Agg__for_Para_Type_III10"/>
      <sheetName val="Agg__for_Para_TypeIII_Haulage10"/>
      <sheetName val="Tack_Coat-16+400A,B10"/>
      <sheetName val="Earth_Excavation10"/>
      <sheetName val="B1_Selected_Mat10"/>
      <sheetName val="B1_CTB_In-Plant10"/>
      <sheetName val="Tack_Coat-17+100B10"/>
      <sheetName val="Milling_5cm-ทางลงเชียงราก10"/>
      <sheetName val="Tack_Coat-ทางลงเชียงราก10"/>
      <sheetName val="Toll_Fee10"/>
      <sheetName val="Traffic_Management10"/>
      <sheetName val="ทำนบดิน_413"/>
      <sheetName val="Purchase_Order13"/>
      <sheetName val="Customize_Your_Purchase_Order13"/>
      <sheetName val="Attach1(สรุปรวม)_10"/>
      <sheetName val="Attach2(BOQ_Detail)_10"/>
      <sheetName val="Attach3(Measurement)_(Topping10"/>
      <sheetName val="Attach3(Measurement)_(FL_FINI10"/>
      <sheetName val="Attach3(Check_Sheet)10"/>
      <sheetName val="_(FL_Finis)10"/>
      <sheetName val="11_ข้อมูลงานCon10"/>
      <sheetName val="12_ข้อมูลงานไม้แบบ10"/>
      <sheetName val="bp_bill-mark10"/>
      <sheetName val="ตกแต่ง-อาคาร_A10"/>
      <sheetName val="ตกแต่ง-อาคาร_B10"/>
      <sheetName val="ตกแต่ง-อาคาร_C10"/>
      <sheetName val="ตกแต่ง-อาคาร_E10"/>
      <sheetName val="basic_rate10"/>
      <sheetName val="bk_unit_rate10"/>
      <sheetName val="MS_Box10"/>
      <sheetName val="MOLP_C10"/>
      <sheetName val="Sch_210"/>
      <sheetName val="PRICE_LIST10"/>
      <sheetName val="3-145_input_plan10"/>
      <sheetName val="36_rc__pipe(2หน้า)10"/>
      <sheetName val="Land_Dev't__Ph-16"/>
      <sheetName val="worksheet_inchican6"/>
      <sheetName val="combined_9-306"/>
      <sheetName val="COMPARATIVE_SUMMARY6"/>
      <sheetName val="BOQ_(typ-accent)6"/>
      <sheetName val="___合同台账__6"/>
      <sheetName val="DMD_Office6"/>
      <sheetName val="ADMIN_OFFICE_(2)6"/>
      <sheetName val="exec_summary6"/>
      <sheetName val="3-CAPARS_Log6"/>
      <sheetName val="area_converter6"/>
      <sheetName val="Link_ห้ามลบ6"/>
      <sheetName val="Drop_Down6"/>
      <sheetName val="Summary_cal6"/>
      <sheetName val="d_makan6"/>
      <sheetName val="CIF COST ITEM"/>
      <sheetName val="สระน้ำหลัง BO"/>
      <sheetName val="สระน้ำ(ด้านทิศใต้อาคาร B)"/>
      <sheetName val="concretor"/>
      <sheetName val="SqlSource"/>
      <sheetName val="หา FACTOR F"/>
      <sheetName val="unitcost"/>
      <sheetName val="เงินกู้ธนชาติ"/>
      <sheetName val="Trial Balance"/>
      <sheetName val="สรุปราคา_(EMC)10"/>
      <sheetName val="Status_Budget10"/>
      <sheetName val="A_O_R_9"/>
      <sheetName val="bill_29"/>
      <sheetName val="입찰내역_발주처_양식9"/>
      <sheetName val="price_per_model9"/>
      <sheetName val="Cost_Data9"/>
      <sheetName val="summary_sn_fp9"/>
      <sheetName val="หน้าปกล่าสุด_(2)9"/>
      <sheetName val="Cover_(2)9"/>
      <sheetName val="งานตกแต่งภายใน_(ตัดSCOPE)9"/>
      <sheetName val="หมวดงานสถาปัตยกรรม_(พาส)ต้นฉบั9"/>
      <sheetName val="EE_9"/>
      <sheetName val="AC_(2)9"/>
      <sheetName val="Backup_Rev9"/>
      <sheetName val="book_1_summary9"/>
      <sheetName val="construction_cost_summary9"/>
      <sheetName val="sum_1-49"/>
      <sheetName val="Executive_Summary_Buil9"/>
      <sheetName val="Category_List9"/>
      <sheetName val="5a__Code_E9"/>
      <sheetName val="main_sum_(hotel_&amp;_residences)"/>
      <sheetName val="หา_FACTORF"/>
      <sheetName val="RACK_WAY"/>
      <sheetName val="3_มุงหลังคา"/>
      <sheetName val="4_ฝ้าเพดาน"/>
      <sheetName val="5_ผนัง"/>
      <sheetName val="6_งานประตู-หน้าต่าง"/>
      <sheetName val="7_งานพื้นและผิวพื้น"/>
      <sheetName val="8_งานบันได"/>
      <sheetName val="9_งานเบ็ดเตล็ด"/>
      <sheetName val="10_งานไฟฟ้าและสื่อสาร"/>
      <sheetName val="11_นิทรรศการและตกแต่ง"/>
      <sheetName val="KABULLER_XLS"/>
      <sheetName val="Order_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/>
      <sheetData sheetId="1727" refreshError="1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 refreshError="1"/>
      <sheetData sheetId="2447"/>
      <sheetData sheetId="2448"/>
      <sheetData sheetId="2449" refreshError="1"/>
      <sheetData sheetId="2450"/>
      <sheetData sheetId="2451"/>
      <sheetData sheetId="2452" refreshError="1"/>
      <sheetData sheetId="2453" refreshError="1"/>
      <sheetData sheetId="2454" refreshError="1"/>
      <sheetData sheetId="2455" refreshError="1"/>
      <sheetData sheetId="2456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 refreshError="1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 refreshError="1"/>
      <sheetData sheetId="3231"/>
      <sheetData sheetId="3232" refreshError="1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/>
      <sheetData sheetId="3474"/>
      <sheetData sheetId="3475" refreshError="1"/>
      <sheetData sheetId="3476" refreshError="1"/>
      <sheetData sheetId="3477"/>
      <sheetData sheetId="3478"/>
      <sheetData sheetId="3479"/>
      <sheetData sheetId="3480"/>
      <sheetData sheetId="3481"/>
      <sheetData sheetId="3482"/>
      <sheetData sheetId="3483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Backup trial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0.5฿"/>
      <sheetName val="ตารางค่าขนส่ง (2)"/>
      <sheetName val="ค่าดำเนินการ+ค่าเสื่อมฯ20.50฿"/>
      <sheetName val="ราคาวัสดุ"/>
      <sheetName val="ราคา จ.ภูเก็ต'ธค.59"/>
      <sheetName val="ราคา จ.ภูเก็ต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งวดงานงวดเงิน"/>
      <sheetName val="ปร.5"/>
      <sheetName val="ปร.4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BOQ"/>
      <sheetName val="คำนวณF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EE_SIM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Backup BOQ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8.5฿"/>
      <sheetName val="ตารางค่าขนส่ง (2)"/>
      <sheetName val="ค่าดำเนินการ+ค่าเสื่อมฯ28.5฿"/>
      <sheetName val="ราคาวัสดุ"/>
      <sheetName val="ราคา กทม.'ม.ค.61"/>
      <sheetName val="ราคา จ.สมุทรปราการ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.AR."/>
      <sheetName val="Update Sheet"/>
      <sheetName val="1. ST"/>
      <sheetName val="สรุปงานโครงสร้าง"/>
      <sheetName val="1.ฐานราก "/>
      <sheetName val="2.เสา"/>
      <sheetName val="3.ลิฟต์  "/>
      <sheetName val="4.CL"/>
      <sheetName val="5.คาน "/>
      <sheetName val="6.พื้นวางบนคาน"/>
      <sheetName val="พื้นวางบนคาน"/>
      <sheetName val="7.บันได&amp;Ramp"/>
      <sheetName val="8.Flat Slab"/>
      <sheetName val="8.Flat slab "/>
      <sheetName val="9.APPROCH SLAB"/>
      <sheetName val="10.FIN A"/>
      <sheetName val="11.GS 1"/>
      <sheetName val="12.ถังเก็บน้ำใต้ดิน1 "/>
      <sheetName val="13.ถังเก็บน้ำใต้ดิน2"/>
      <sheetName val="14.ถังเก็บน้ำบนดาดฟ้า"/>
      <sheetName val="15.ถังบำบัดน้ำเสีย"/>
      <sheetName val="1.ST FEC"/>
      <sheetName val="16.เหล็กรูปพรรณลิฟต์"/>
      <sheetName val="17.เหล็กรูปพรรณหลังคา 1"/>
      <sheetName val="24.CORBEL"/>
      <sheetName val="ห้องพักขยะ"/>
      <sheetName val="Canopy"/>
      <sheetName val="ระแนงกันแดด TYP-1"/>
      <sheetName val="ระแนงกันแดด TYP-2"/>
      <sheetName val="Check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-Curve รวม (Vat%) (4)"/>
      <sheetName val="S-Curve รวม (Vat%) (3)"/>
      <sheetName val="S-Curve รวม (Vat%)"/>
      <sheetName val="S-Curve รวม (Vat%) (2)"/>
      <sheetName val="S-Curve Center 1 (Vat%) Weekly"/>
      <sheetName val="S-Curve Center 1 (Vat%) month"/>
      <sheetName val="S-Curve Center 1 (Vat%)"/>
      <sheetName val="BOQ RC1"/>
      <sheetName val="S-Curve Center 2 (Vat%) (3)"/>
      <sheetName val="S-Curve Center 2 (Vat%) (2)"/>
      <sheetName val="รายละเอียดงวดงานงวดเงิน  C2"/>
      <sheetName val="S-Curve Center 2 (Vat%)"/>
      <sheetName val="S-Curve Civil+MEP (No Vat)"/>
      <sheetName val="S-Curve Civil (No Vat)"/>
      <sheetName val="S-Curve MEP (No Vat)"/>
      <sheetName val="รายละเอียดงวดงานงวดเงิน C1 &amp; C2"/>
      <sheetName val="รายละเอียดงวดงานงวดเงิน C1"/>
      <sheetName val="รายละเอียดงวดงานงวดเงิน C2-0"/>
      <sheetName val="ครุภัณฑ์"/>
      <sheetName val="รายละเอียดงวดงานงวดเงิน (ต้นฉบั"/>
      <sheetName val="แผนก่อสร้างตาม(Master)"/>
      <sheetName val="รายละเอียดงวดงานงวดเงิน  C2 (2)"/>
      <sheetName val="รายละเอียดงวดงานงวดเงิน  C2 (3)"/>
      <sheetName val="สรุป%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DE118"/>
  <sheetViews>
    <sheetView showGridLines="0" tabSelected="1" zoomScale="80" zoomScaleNormal="80" zoomScaleSheetLayoutView="55" workbookViewId="0">
      <pane xSplit="12" ySplit="11" topLeftCell="M52" activePane="bottomRight" state="frozen"/>
      <selection pane="topRight" activeCell="K1" sqref="K1"/>
      <selection pane="bottomLeft" activeCell="A12" sqref="A12"/>
      <selection pane="bottomRight" activeCell="S16" sqref="S16"/>
    </sheetView>
  </sheetViews>
  <sheetFormatPr defaultColWidth="9.33203125" defaultRowHeight="23.25" outlineLevelRow="1" outlineLevelCol="1" x14ac:dyDescent="0.5"/>
  <cols>
    <col min="1" max="2" width="12.1640625" style="3" customWidth="1"/>
    <col min="3" max="3" width="61" style="3" customWidth="1"/>
    <col min="4" max="4" width="42.1640625" style="3" customWidth="1"/>
    <col min="5" max="6" width="23.6640625" style="3" customWidth="1"/>
    <col min="7" max="7" width="13.1640625" style="3" customWidth="1"/>
    <col min="8" max="8" width="13.1640625" style="183" customWidth="1"/>
    <col min="9" max="9" width="22.1640625" style="183" customWidth="1"/>
    <col min="10" max="10" width="16.33203125" style="183" customWidth="1"/>
    <col min="11" max="11" width="13.1640625" style="3" customWidth="1"/>
    <col min="12" max="12" width="25.83203125" style="3" customWidth="1"/>
    <col min="13" max="59" width="8.83203125" style="3" customWidth="1"/>
    <col min="60" max="94" width="8.83203125" style="3" customWidth="1" outlineLevel="1"/>
    <col min="95" max="106" width="8.83203125" style="3" hidden="1" customWidth="1" outlineLevel="1"/>
    <col min="107" max="107" width="18.83203125" style="3" hidden="1" customWidth="1" outlineLevel="1"/>
    <col min="108" max="108" width="4.33203125" style="3" customWidth="1"/>
    <col min="109" max="16384" width="9.33203125" style="3"/>
  </cols>
  <sheetData>
    <row r="1" spans="1:109" ht="38.25" customHeight="1" x14ac:dyDescent="0.5">
      <c r="A1" s="286" t="s">
        <v>43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6"/>
      <c r="AH1" s="286"/>
      <c r="AI1" s="286"/>
      <c r="AJ1" s="286"/>
      <c r="AK1" s="286"/>
      <c r="AL1" s="286"/>
      <c r="AM1" s="286"/>
      <c r="AN1" s="286"/>
      <c r="AO1" s="286"/>
      <c r="AP1" s="286"/>
      <c r="AQ1" s="286"/>
      <c r="AR1" s="286"/>
      <c r="AS1" s="286"/>
      <c r="AT1" s="286"/>
      <c r="AU1" s="286"/>
      <c r="AV1" s="286"/>
      <c r="AW1" s="286"/>
      <c r="AX1" s="286"/>
      <c r="AY1" s="286"/>
      <c r="AZ1" s="286"/>
      <c r="BA1" s="286"/>
      <c r="BB1" s="286"/>
      <c r="BC1" s="286"/>
      <c r="BD1" s="286"/>
      <c r="BE1" s="286"/>
      <c r="BF1" s="286"/>
      <c r="BG1" s="286"/>
      <c r="BH1" s="286"/>
      <c r="BI1" s="286"/>
      <c r="BJ1" s="286"/>
      <c r="BK1" s="286"/>
      <c r="BL1" s="286"/>
      <c r="BM1" s="286"/>
      <c r="BN1" s="286"/>
      <c r="BO1" s="286"/>
      <c r="BP1" s="286"/>
      <c r="BQ1" s="286"/>
      <c r="BR1" s="286"/>
      <c r="BS1" s="286"/>
      <c r="BT1" s="286"/>
      <c r="BU1" s="286"/>
      <c r="BV1" s="286"/>
      <c r="BW1" s="286"/>
      <c r="BX1" s="286"/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286"/>
      <c r="DB1" s="286"/>
      <c r="DC1" s="286"/>
    </row>
    <row r="2" spans="1:109" s="1" customFormat="1" ht="27" hidden="1" customHeight="1" x14ac:dyDescent="0.55000000000000004">
      <c r="A2" s="4" t="s">
        <v>6</v>
      </c>
      <c r="B2" s="4"/>
      <c r="C2" s="4"/>
      <c r="D2" s="4"/>
      <c r="E2" s="4"/>
      <c r="F2" s="4" t="e">
        <f>TRANSPOSE('NKC2-%'!M109:CP109)</f>
        <v>#VALUE!</v>
      </c>
      <c r="G2" s="4"/>
      <c r="H2" s="175"/>
      <c r="I2" s="175"/>
      <c r="J2" s="17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4"/>
    </row>
    <row r="3" spans="1:109" s="1" customFormat="1" ht="27" hidden="1" customHeight="1" thickBot="1" x14ac:dyDescent="0.6">
      <c r="A3" s="4" t="s">
        <v>7</v>
      </c>
      <c r="B3" s="4"/>
      <c r="C3" s="4"/>
      <c r="D3" s="4"/>
      <c r="E3" s="4"/>
      <c r="F3" s="4"/>
      <c r="G3" s="4"/>
      <c r="H3" s="175"/>
      <c r="I3" s="175"/>
      <c r="J3" s="175"/>
      <c r="K3" s="4"/>
      <c r="L3" s="4"/>
      <c r="M3" s="21" t="s">
        <v>8</v>
      </c>
      <c r="N3" s="21"/>
      <c r="O3" s="21"/>
      <c r="P3" s="21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5"/>
      <c r="AV3" s="5"/>
      <c r="AW3" s="5"/>
      <c r="AX3" s="5"/>
      <c r="AY3" s="5"/>
      <c r="AZ3" s="5"/>
      <c r="BA3" s="5"/>
      <c r="BB3" s="5"/>
      <c r="BC3" s="5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Z3" s="22"/>
      <c r="CA3" s="22"/>
      <c r="CB3" s="22"/>
      <c r="CC3" s="22"/>
      <c r="CD3" s="23" t="s">
        <v>9</v>
      </c>
      <c r="CE3" s="28"/>
      <c r="CF3" s="28"/>
      <c r="CG3" s="28"/>
      <c r="CH3" s="20"/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</row>
    <row r="4" spans="1:109" s="1" customFormat="1" ht="27" hidden="1" customHeight="1" thickBot="1" x14ac:dyDescent="0.6">
      <c r="A4" s="4" t="s">
        <v>10</v>
      </c>
      <c r="B4" s="4"/>
      <c r="C4" s="4"/>
      <c r="D4" s="4"/>
      <c r="E4" s="4"/>
      <c r="F4" s="4"/>
      <c r="G4" s="4"/>
      <c r="H4" s="175"/>
      <c r="I4" s="175"/>
      <c r="J4" s="175"/>
      <c r="K4" s="4"/>
      <c r="L4" s="4"/>
      <c r="M4" s="27"/>
      <c r="N4" s="27"/>
      <c r="O4" s="27"/>
      <c r="P4" s="27"/>
      <c r="Y4" s="6"/>
      <c r="Z4" s="6"/>
      <c r="AA4" s="6"/>
      <c r="AB4" s="6"/>
      <c r="AC4" s="6"/>
      <c r="AD4" s="6"/>
      <c r="AE4" s="6"/>
      <c r="AF4" s="6"/>
      <c r="AG4" s="6"/>
      <c r="AH4" s="287"/>
      <c r="AI4" s="287"/>
      <c r="AJ4" s="287"/>
      <c r="AK4" s="287"/>
      <c r="AL4" s="287"/>
      <c r="AM4" s="287"/>
      <c r="AN4" s="46"/>
      <c r="AO4" s="46"/>
      <c r="AP4" s="46"/>
      <c r="AQ4" s="7"/>
      <c r="AR4" s="7"/>
      <c r="AS4" s="7"/>
      <c r="AT4" s="7"/>
      <c r="AU4" s="5"/>
      <c r="AV4" s="5"/>
      <c r="AW4" s="5"/>
      <c r="AX4" s="5"/>
      <c r="AY4" s="5"/>
      <c r="AZ4" s="5"/>
      <c r="BA4" s="5"/>
      <c r="BB4" s="5"/>
      <c r="BC4" s="5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Z4" s="22"/>
      <c r="CA4" s="22"/>
      <c r="CB4" s="22"/>
      <c r="CC4" s="22"/>
      <c r="CD4" s="20" t="s">
        <v>11</v>
      </c>
      <c r="CE4" s="20"/>
      <c r="CF4" s="20"/>
      <c r="CG4" s="20"/>
      <c r="CH4" s="20"/>
      <c r="CI4" s="20"/>
      <c r="CJ4" s="20"/>
      <c r="CK4" s="20"/>
      <c r="CL4" s="20"/>
      <c r="CM4" s="288">
        <v>45901</v>
      </c>
      <c r="CN4" s="288"/>
      <c r="CO4" s="288"/>
      <c r="CP4" s="288"/>
      <c r="CQ4" s="288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</row>
    <row r="5" spans="1:109" s="1" customFormat="1" ht="27" hidden="1" customHeight="1" thickBot="1" x14ac:dyDescent="0.6">
      <c r="A5" s="4" t="s">
        <v>12</v>
      </c>
      <c r="B5" s="4"/>
      <c r="C5" s="4"/>
      <c r="D5" s="4"/>
      <c r="E5" s="4"/>
      <c r="F5" s="4"/>
      <c r="G5" s="4"/>
      <c r="H5" s="175"/>
      <c r="I5" s="175"/>
      <c r="J5" s="175"/>
      <c r="K5" s="4"/>
      <c r="L5" s="4"/>
      <c r="M5" s="27"/>
      <c r="N5" s="27"/>
      <c r="O5" s="27"/>
      <c r="P5" s="27"/>
      <c r="Y5" s="6"/>
      <c r="Z5" s="6"/>
      <c r="AA5" s="6"/>
      <c r="AB5" s="6"/>
      <c r="AC5" s="6"/>
      <c r="AD5" s="6"/>
      <c r="AE5" s="6"/>
      <c r="AF5" s="6"/>
      <c r="AG5" s="6"/>
      <c r="AH5" s="287"/>
      <c r="AI5" s="287"/>
      <c r="AJ5" s="287"/>
      <c r="AK5" s="287"/>
      <c r="AL5" s="287"/>
      <c r="AM5" s="287"/>
      <c r="AN5" s="46"/>
      <c r="AO5" s="46"/>
      <c r="AP5" s="46"/>
      <c r="AQ5" s="7"/>
      <c r="AR5" s="7"/>
      <c r="AS5" s="7"/>
      <c r="AT5" s="7"/>
      <c r="AU5" s="5"/>
      <c r="AV5" s="5"/>
      <c r="AW5" s="5"/>
      <c r="AX5" s="5"/>
      <c r="AY5" s="5"/>
      <c r="AZ5" s="5"/>
      <c r="BA5" s="5"/>
      <c r="BB5" s="5"/>
      <c r="BC5" s="5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Z5" s="22"/>
      <c r="CA5" s="22"/>
      <c r="CB5" s="22"/>
      <c r="CC5" s="22"/>
      <c r="CD5" s="20" t="s">
        <v>13</v>
      </c>
      <c r="CE5" s="20"/>
      <c r="CF5" s="20"/>
      <c r="CG5" s="20"/>
      <c r="CH5" s="20"/>
      <c r="CI5" s="20"/>
      <c r="CJ5" s="20"/>
      <c r="CK5" s="20"/>
      <c r="CL5" s="20"/>
      <c r="CM5" s="288">
        <f>CM4+840-1</f>
        <v>46740</v>
      </c>
      <c r="CN5" s="288"/>
      <c r="CO5" s="288"/>
      <c r="CP5" s="288"/>
      <c r="CQ5" s="288"/>
      <c r="CR5" s="45"/>
      <c r="CS5" s="45"/>
      <c r="CT5" s="45"/>
      <c r="CU5" s="45"/>
      <c r="CV5" s="45"/>
      <c r="CW5" s="45"/>
      <c r="CX5" s="45"/>
      <c r="CY5" s="45"/>
      <c r="CZ5" s="45"/>
      <c r="DA5" s="45"/>
      <c r="DB5" s="45"/>
    </row>
    <row r="6" spans="1:109" ht="13.5" hidden="1" customHeight="1" thickBot="1" x14ac:dyDescent="0.55000000000000004">
      <c r="A6" s="8"/>
      <c r="B6" s="8"/>
      <c r="C6" s="9"/>
      <c r="D6" s="9"/>
      <c r="E6" s="9"/>
      <c r="F6" s="9"/>
      <c r="G6" s="9"/>
      <c r="H6" s="176"/>
      <c r="I6" s="176"/>
      <c r="J6" s="176"/>
      <c r="K6" s="9"/>
      <c r="L6" s="9"/>
      <c r="M6" s="11"/>
      <c r="N6" s="11"/>
      <c r="O6" s="11"/>
      <c r="P6" s="11"/>
      <c r="Q6" s="11"/>
      <c r="R6" s="11"/>
      <c r="S6" s="11"/>
      <c r="T6" s="11"/>
      <c r="U6" s="12"/>
      <c r="V6" s="12"/>
      <c r="W6" s="12"/>
      <c r="X6" s="12"/>
      <c r="Y6" s="11"/>
      <c r="Z6" s="11"/>
      <c r="AA6" s="11"/>
      <c r="AB6" s="11"/>
      <c r="AC6" s="11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</row>
    <row r="7" spans="1:109" ht="13.5" customHeight="1" thickBot="1" x14ac:dyDescent="0.55000000000000004">
      <c r="A7" s="13"/>
      <c r="B7" s="13"/>
      <c r="C7" s="14"/>
      <c r="D7" s="14"/>
      <c r="E7" s="14"/>
      <c r="F7" s="14"/>
      <c r="G7" s="14"/>
      <c r="H7" s="177"/>
      <c r="I7" s="177"/>
      <c r="J7" s="177"/>
      <c r="K7" s="14"/>
      <c r="L7" s="14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</row>
    <row r="8" spans="1:109" s="2" customFormat="1" ht="27" customHeight="1" thickBot="1" x14ac:dyDescent="0.55000000000000004">
      <c r="A8" s="289" t="s">
        <v>14</v>
      </c>
      <c r="B8" s="321" t="s">
        <v>93</v>
      </c>
      <c r="C8" s="292" t="s">
        <v>15</v>
      </c>
      <c r="D8" s="102"/>
      <c r="E8" s="295" t="s">
        <v>16</v>
      </c>
      <c r="F8" s="63"/>
      <c r="G8" s="298" t="s">
        <v>17</v>
      </c>
      <c r="H8" s="318"/>
      <c r="I8" s="263"/>
      <c r="J8" s="263"/>
      <c r="K8" s="64"/>
      <c r="L8" s="105"/>
      <c r="M8" s="324"/>
      <c r="N8" s="325"/>
      <c r="O8" s="325"/>
      <c r="P8" s="325"/>
      <c r="Q8" s="325"/>
      <c r="R8" s="325"/>
      <c r="S8" s="325"/>
      <c r="T8" s="325"/>
      <c r="U8" s="325"/>
      <c r="V8" s="325"/>
      <c r="W8" s="325"/>
      <c r="X8" s="325"/>
      <c r="Y8" s="325"/>
      <c r="Z8" s="325"/>
      <c r="AA8" s="325"/>
      <c r="AB8" s="325"/>
      <c r="AC8" s="325"/>
      <c r="AD8" s="325"/>
      <c r="AE8" s="325"/>
      <c r="AF8" s="325"/>
      <c r="AG8" s="325"/>
      <c r="AH8" s="325"/>
      <c r="AI8" s="325"/>
      <c r="AJ8" s="325"/>
      <c r="AK8" s="325"/>
      <c r="AL8" s="325"/>
      <c r="AM8" s="325"/>
      <c r="AN8" s="325"/>
      <c r="AO8" s="325"/>
      <c r="AP8" s="325"/>
      <c r="AQ8" s="325"/>
      <c r="AR8" s="325"/>
      <c r="AS8" s="325"/>
      <c r="AT8" s="325"/>
      <c r="AU8" s="325"/>
      <c r="AV8" s="325"/>
      <c r="AW8" s="325"/>
      <c r="AX8" s="325"/>
      <c r="AY8" s="325"/>
      <c r="AZ8" s="325"/>
      <c r="BA8" s="325"/>
      <c r="BB8" s="325"/>
      <c r="BC8" s="325"/>
      <c r="BD8" s="325"/>
      <c r="BE8" s="325"/>
      <c r="BF8" s="325"/>
      <c r="BG8" s="326"/>
      <c r="BH8" s="327">
        <v>2027</v>
      </c>
      <c r="BI8" s="328"/>
      <c r="BJ8" s="328"/>
      <c r="BK8" s="328"/>
      <c r="BL8" s="328"/>
      <c r="BM8" s="328"/>
      <c r="BN8" s="328"/>
      <c r="BO8" s="328"/>
      <c r="BP8" s="328"/>
      <c r="BQ8" s="328"/>
      <c r="BR8" s="328"/>
      <c r="BS8" s="328"/>
      <c r="BT8" s="328"/>
      <c r="BU8" s="328"/>
      <c r="BV8" s="65"/>
      <c r="BW8" s="65"/>
      <c r="BX8" s="65"/>
      <c r="BY8" s="65"/>
      <c r="BZ8" s="66"/>
      <c r="CA8" s="66"/>
      <c r="CB8" s="66"/>
      <c r="CC8" s="66"/>
      <c r="CD8" s="66"/>
      <c r="CE8" s="66"/>
      <c r="CF8" s="66"/>
      <c r="CG8" s="66"/>
      <c r="CH8" s="66"/>
      <c r="CI8" s="66"/>
      <c r="CJ8" s="66"/>
      <c r="CK8" s="66"/>
      <c r="CL8" s="66"/>
      <c r="CM8" s="66"/>
      <c r="CN8" s="66"/>
      <c r="CO8" s="66"/>
      <c r="CP8" s="66"/>
      <c r="CQ8" s="66"/>
      <c r="CR8" s="66"/>
      <c r="CS8" s="66"/>
      <c r="CT8" s="66"/>
      <c r="CU8" s="66"/>
      <c r="CV8" s="66"/>
      <c r="CW8" s="66"/>
      <c r="CX8" s="66"/>
      <c r="CY8" s="66"/>
      <c r="CZ8" s="66"/>
      <c r="DA8" s="66"/>
      <c r="DB8" s="66"/>
      <c r="DC8" s="67"/>
      <c r="DD8" s="68"/>
      <c r="DE8" s="68"/>
    </row>
    <row r="9" spans="1:109" s="2" customFormat="1" ht="27" customHeight="1" thickBot="1" x14ac:dyDescent="0.55000000000000004">
      <c r="A9" s="290"/>
      <c r="B9" s="322"/>
      <c r="C9" s="293"/>
      <c r="D9" s="88"/>
      <c r="E9" s="296"/>
      <c r="F9" s="71"/>
      <c r="G9" s="299"/>
      <c r="H9" s="319"/>
      <c r="I9" s="264"/>
      <c r="J9" s="264"/>
      <c r="K9" s="72" t="s">
        <v>0</v>
      </c>
      <c r="L9" s="106"/>
      <c r="M9" s="268" t="s">
        <v>18</v>
      </c>
      <c r="N9" s="269"/>
      <c r="O9" s="269"/>
      <c r="P9" s="270"/>
      <c r="Q9" s="268" t="s">
        <v>19</v>
      </c>
      <c r="R9" s="269"/>
      <c r="S9" s="269"/>
      <c r="T9" s="271"/>
      <c r="U9" s="268" t="s">
        <v>20</v>
      </c>
      <c r="V9" s="269"/>
      <c r="W9" s="269"/>
      <c r="X9" s="270"/>
      <c r="Y9" s="275" t="s">
        <v>21</v>
      </c>
      <c r="Z9" s="269"/>
      <c r="AA9" s="269"/>
      <c r="AB9" s="269"/>
      <c r="AC9" s="271"/>
      <c r="AD9" s="268" t="s">
        <v>22</v>
      </c>
      <c r="AE9" s="269"/>
      <c r="AF9" s="269"/>
      <c r="AG9" s="271"/>
      <c r="AH9" s="275" t="s">
        <v>23</v>
      </c>
      <c r="AI9" s="269"/>
      <c r="AJ9" s="269"/>
      <c r="AK9" s="269"/>
      <c r="AL9" s="271"/>
      <c r="AM9" s="272" t="s">
        <v>24</v>
      </c>
      <c r="AN9" s="273"/>
      <c r="AO9" s="273"/>
      <c r="AP9" s="274"/>
      <c r="AQ9" s="272" t="s">
        <v>25</v>
      </c>
      <c r="AR9" s="273"/>
      <c r="AS9" s="273"/>
      <c r="AT9" s="274"/>
      <c r="AU9" s="275" t="s">
        <v>26</v>
      </c>
      <c r="AV9" s="269"/>
      <c r="AW9" s="269"/>
      <c r="AX9" s="269"/>
      <c r="AY9" s="271"/>
      <c r="AZ9" s="275" t="s">
        <v>27</v>
      </c>
      <c r="BA9" s="269"/>
      <c r="BB9" s="269"/>
      <c r="BC9" s="271"/>
      <c r="BD9" s="275" t="s">
        <v>28</v>
      </c>
      <c r="BE9" s="269"/>
      <c r="BF9" s="269"/>
      <c r="BG9" s="271"/>
      <c r="BH9" s="279" t="s">
        <v>29</v>
      </c>
      <c r="BI9" s="280"/>
      <c r="BJ9" s="280"/>
      <c r="BK9" s="280"/>
      <c r="BL9" s="281"/>
      <c r="BM9" s="276" t="s">
        <v>30</v>
      </c>
      <c r="BN9" s="277"/>
      <c r="BO9" s="277"/>
      <c r="BP9" s="278"/>
      <c r="BQ9" s="276" t="s">
        <v>31</v>
      </c>
      <c r="BR9" s="277"/>
      <c r="BS9" s="277"/>
      <c r="BT9" s="278"/>
      <c r="BU9" s="279" t="s">
        <v>32</v>
      </c>
      <c r="BV9" s="280"/>
      <c r="BW9" s="280"/>
      <c r="BX9" s="280"/>
      <c r="BY9" s="73"/>
      <c r="BZ9" s="276" t="s">
        <v>33</v>
      </c>
      <c r="CA9" s="277"/>
      <c r="CB9" s="277"/>
      <c r="CC9" s="278"/>
      <c r="CD9" s="276" t="s">
        <v>34</v>
      </c>
      <c r="CE9" s="277"/>
      <c r="CF9" s="277"/>
      <c r="CG9" s="278"/>
      <c r="CH9" s="279" t="s">
        <v>35</v>
      </c>
      <c r="CI9" s="280"/>
      <c r="CJ9" s="280"/>
      <c r="CK9" s="280"/>
      <c r="CL9" s="73"/>
      <c r="CM9" s="276" t="s">
        <v>36</v>
      </c>
      <c r="CN9" s="277"/>
      <c r="CO9" s="277"/>
      <c r="CP9" s="278"/>
      <c r="CQ9" s="276" t="s">
        <v>37</v>
      </c>
      <c r="CR9" s="277"/>
      <c r="CS9" s="277"/>
      <c r="CT9" s="278"/>
      <c r="CU9" s="276" t="s">
        <v>38</v>
      </c>
      <c r="CV9" s="277"/>
      <c r="CW9" s="277"/>
      <c r="CX9" s="278"/>
      <c r="CY9" s="276" t="s">
        <v>39</v>
      </c>
      <c r="CZ9" s="277"/>
      <c r="DA9" s="277"/>
      <c r="DB9" s="278"/>
      <c r="DC9" s="74" t="s">
        <v>40</v>
      </c>
      <c r="DD9" s="68"/>
      <c r="DE9" s="68"/>
    </row>
    <row r="10" spans="1:109" s="2" customFormat="1" ht="27" customHeight="1" thickBot="1" x14ac:dyDescent="0.55000000000000004">
      <c r="A10" s="291"/>
      <c r="B10" s="323"/>
      <c r="C10" s="294"/>
      <c r="D10" s="103"/>
      <c r="E10" s="297"/>
      <c r="F10" s="75"/>
      <c r="G10" s="291"/>
      <c r="H10" s="320"/>
      <c r="I10" s="265"/>
      <c r="J10" s="265"/>
      <c r="K10" s="76"/>
      <c r="L10" s="107"/>
      <c r="M10" s="300">
        <v>46054</v>
      </c>
      <c r="N10" s="301"/>
      <c r="O10" s="301"/>
      <c r="P10" s="302"/>
      <c r="Q10" s="300">
        <v>46082</v>
      </c>
      <c r="R10" s="301"/>
      <c r="S10" s="301"/>
      <c r="T10" s="303"/>
      <c r="U10" s="300">
        <v>46113</v>
      </c>
      <c r="V10" s="301"/>
      <c r="W10" s="301"/>
      <c r="X10" s="302"/>
      <c r="Y10" s="317">
        <v>46143</v>
      </c>
      <c r="Z10" s="301"/>
      <c r="AA10" s="301"/>
      <c r="AB10" s="301"/>
      <c r="AC10" s="303"/>
      <c r="AD10" s="300">
        <v>46174</v>
      </c>
      <c r="AE10" s="301"/>
      <c r="AF10" s="301"/>
      <c r="AG10" s="303"/>
      <c r="AH10" s="317">
        <v>46204</v>
      </c>
      <c r="AI10" s="301"/>
      <c r="AJ10" s="301"/>
      <c r="AK10" s="301"/>
      <c r="AL10" s="303"/>
      <c r="AM10" s="304">
        <v>46235</v>
      </c>
      <c r="AN10" s="305"/>
      <c r="AO10" s="305"/>
      <c r="AP10" s="306"/>
      <c r="AQ10" s="304">
        <v>46266</v>
      </c>
      <c r="AR10" s="305"/>
      <c r="AS10" s="305"/>
      <c r="AT10" s="306"/>
      <c r="AU10" s="317">
        <v>46296</v>
      </c>
      <c r="AV10" s="301"/>
      <c r="AW10" s="301"/>
      <c r="AX10" s="301"/>
      <c r="AY10" s="303"/>
      <c r="AZ10" s="317">
        <v>46327</v>
      </c>
      <c r="BA10" s="301"/>
      <c r="BB10" s="301"/>
      <c r="BC10" s="303"/>
      <c r="BD10" s="317">
        <v>46357</v>
      </c>
      <c r="BE10" s="301"/>
      <c r="BF10" s="301"/>
      <c r="BG10" s="303"/>
      <c r="BH10" s="314">
        <v>46388</v>
      </c>
      <c r="BI10" s="315"/>
      <c r="BJ10" s="315"/>
      <c r="BK10" s="315"/>
      <c r="BL10" s="316"/>
      <c r="BM10" s="307">
        <v>46419</v>
      </c>
      <c r="BN10" s="308"/>
      <c r="BO10" s="308"/>
      <c r="BP10" s="309"/>
      <c r="BQ10" s="307">
        <v>46447</v>
      </c>
      <c r="BR10" s="308"/>
      <c r="BS10" s="308"/>
      <c r="BT10" s="309"/>
      <c r="BU10" s="314">
        <v>46478</v>
      </c>
      <c r="BV10" s="315"/>
      <c r="BW10" s="315"/>
      <c r="BX10" s="315"/>
      <c r="BY10" s="77"/>
      <c r="BZ10" s="307">
        <v>46508</v>
      </c>
      <c r="CA10" s="308"/>
      <c r="CB10" s="308"/>
      <c r="CC10" s="309"/>
      <c r="CD10" s="307">
        <v>46539</v>
      </c>
      <c r="CE10" s="308"/>
      <c r="CF10" s="308"/>
      <c r="CG10" s="309"/>
      <c r="CH10" s="314">
        <v>46569</v>
      </c>
      <c r="CI10" s="315"/>
      <c r="CJ10" s="315"/>
      <c r="CK10" s="315"/>
      <c r="CL10" s="77"/>
      <c r="CM10" s="307">
        <v>46600</v>
      </c>
      <c r="CN10" s="308"/>
      <c r="CO10" s="308"/>
      <c r="CP10" s="309"/>
      <c r="CQ10" s="307">
        <v>46631</v>
      </c>
      <c r="CR10" s="308"/>
      <c r="CS10" s="308"/>
      <c r="CT10" s="309"/>
      <c r="CU10" s="307">
        <v>46661</v>
      </c>
      <c r="CV10" s="308"/>
      <c r="CW10" s="308"/>
      <c r="CX10" s="309"/>
      <c r="CY10" s="307">
        <v>46692</v>
      </c>
      <c r="CZ10" s="308"/>
      <c r="DA10" s="308"/>
      <c r="DB10" s="309"/>
      <c r="DC10" s="78">
        <v>46722</v>
      </c>
      <c r="DD10" s="68"/>
      <c r="DE10" s="68"/>
    </row>
    <row r="11" spans="1:109" s="2" customFormat="1" ht="64.5" customHeight="1" thickBot="1" x14ac:dyDescent="0.55000000000000004">
      <c r="A11" s="69"/>
      <c r="B11" s="186" t="s">
        <v>93</v>
      </c>
      <c r="C11" s="70"/>
      <c r="D11" s="101" t="s">
        <v>94</v>
      </c>
      <c r="E11" s="88"/>
      <c r="F11" s="88" t="s">
        <v>95</v>
      </c>
      <c r="G11" s="69" t="s">
        <v>96</v>
      </c>
      <c r="H11" s="178" t="s">
        <v>106</v>
      </c>
      <c r="I11" s="178" t="s">
        <v>103</v>
      </c>
      <c r="J11" s="178" t="s">
        <v>104</v>
      </c>
      <c r="K11" s="260" t="s">
        <v>0</v>
      </c>
      <c r="L11" s="108" t="s">
        <v>98</v>
      </c>
      <c r="M11" s="262">
        <v>46059</v>
      </c>
      <c r="N11" s="90">
        <f>M11+7</f>
        <v>46066</v>
      </c>
      <c r="O11" s="90">
        <f t="shared" ref="O11:AB11" si="0">N11+7</f>
        <v>46073</v>
      </c>
      <c r="P11" s="91">
        <f t="shared" si="0"/>
        <v>46080</v>
      </c>
      <c r="Q11" s="89">
        <f t="shared" si="0"/>
        <v>46087</v>
      </c>
      <c r="R11" s="90">
        <f t="shared" si="0"/>
        <v>46094</v>
      </c>
      <c r="S11" s="90">
        <f t="shared" si="0"/>
        <v>46101</v>
      </c>
      <c r="T11" s="91">
        <f t="shared" si="0"/>
        <v>46108</v>
      </c>
      <c r="U11" s="89">
        <f t="shared" si="0"/>
        <v>46115</v>
      </c>
      <c r="V11" s="90">
        <f t="shared" si="0"/>
        <v>46122</v>
      </c>
      <c r="W11" s="90">
        <f t="shared" si="0"/>
        <v>46129</v>
      </c>
      <c r="X11" s="91">
        <f t="shared" si="0"/>
        <v>46136</v>
      </c>
      <c r="Y11" s="89">
        <f t="shared" si="0"/>
        <v>46143</v>
      </c>
      <c r="Z11" s="90">
        <f t="shared" si="0"/>
        <v>46150</v>
      </c>
      <c r="AA11" s="90">
        <f t="shared" si="0"/>
        <v>46157</v>
      </c>
      <c r="AB11" s="90">
        <f t="shared" si="0"/>
        <v>46164</v>
      </c>
      <c r="AC11" s="91">
        <f t="shared" ref="AC11:BH11" si="1">AB11+7</f>
        <v>46171</v>
      </c>
      <c r="AD11" s="89">
        <f t="shared" si="1"/>
        <v>46178</v>
      </c>
      <c r="AE11" s="90">
        <f t="shared" si="1"/>
        <v>46185</v>
      </c>
      <c r="AF11" s="90">
        <f t="shared" si="1"/>
        <v>46192</v>
      </c>
      <c r="AG11" s="91">
        <f t="shared" si="1"/>
        <v>46199</v>
      </c>
      <c r="AH11" s="89">
        <f t="shared" si="1"/>
        <v>46206</v>
      </c>
      <c r="AI11" s="90">
        <f t="shared" si="1"/>
        <v>46213</v>
      </c>
      <c r="AJ11" s="90">
        <f t="shared" si="1"/>
        <v>46220</v>
      </c>
      <c r="AK11" s="90">
        <f t="shared" si="1"/>
        <v>46227</v>
      </c>
      <c r="AL11" s="91">
        <f t="shared" si="1"/>
        <v>46234</v>
      </c>
      <c r="AM11" s="89">
        <f t="shared" si="1"/>
        <v>46241</v>
      </c>
      <c r="AN11" s="90">
        <f t="shared" si="1"/>
        <v>46248</v>
      </c>
      <c r="AO11" s="90">
        <f t="shared" si="1"/>
        <v>46255</v>
      </c>
      <c r="AP11" s="91">
        <f t="shared" si="1"/>
        <v>46262</v>
      </c>
      <c r="AQ11" s="89">
        <f t="shared" si="1"/>
        <v>46269</v>
      </c>
      <c r="AR11" s="90">
        <f t="shared" si="1"/>
        <v>46276</v>
      </c>
      <c r="AS11" s="90">
        <f t="shared" si="1"/>
        <v>46283</v>
      </c>
      <c r="AT11" s="91">
        <f t="shared" si="1"/>
        <v>46290</v>
      </c>
      <c r="AU11" s="89">
        <f t="shared" si="1"/>
        <v>46297</v>
      </c>
      <c r="AV11" s="90">
        <f t="shared" si="1"/>
        <v>46304</v>
      </c>
      <c r="AW11" s="90">
        <f t="shared" si="1"/>
        <v>46311</v>
      </c>
      <c r="AX11" s="90">
        <f t="shared" si="1"/>
        <v>46318</v>
      </c>
      <c r="AY11" s="91">
        <f t="shared" si="1"/>
        <v>46325</v>
      </c>
      <c r="AZ11" s="89">
        <f t="shared" si="1"/>
        <v>46332</v>
      </c>
      <c r="BA11" s="90">
        <f t="shared" si="1"/>
        <v>46339</v>
      </c>
      <c r="BB11" s="90">
        <f t="shared" si="1"/>
        <v>46346</v>
      </c>
      <c r="BC11" s="91">
        <f t="shared" si="1"/>
        <v>46353</v>
      </c>
      <c r="BD11" s="89">
        <f t="shared" si="1"/>
        <v>46360</v>
      </c>
      <c r="BE11" s="95">
        <f t="shared" si="1"/>
        <v>46367</v>
      </c>
      <c r="BF11" s="95">
        <f t="shared" si="1"/>
        <v>46374</v>
      </c>
      <c r="BG11" s="96">
        <f t="shared" si="1"/>
        <v>46381</v>
      </c>
      <c r="BH11" s="92">
        <f t="shared" si="1"/>
        <v>46388</v>
      </c>
      <c r="BI11" s="93">
        <f t="shared" ref="BI11:CJ11" si="2">BH11+7</f>
        <v>46395</v>
      </c>
      <c r="BJ11" s="93">
        <f t="shared" si="2"/>
        <v>46402</v>
      </c>
      <c r="BK11" s="93">
        <f t="shared" si="2"/>
        <v>46409</v>
      </c>
      <c r="BL11" s="94">
        <f t="shared" si="2"/>
        <v>46416</v>
      </c>
      <c r="BM11" s="92">
        <f t="shared" si="2"/>
        <v>46423</v>
      </c>
      <c r="BN11" s="93">
        <f t="shared" si="2"/>
        <v>46430</v>
      </c>
      <c r="BO11" s="93">
        <f t="shared" si="2"/>
        <v>46437</v>
      </c>
      <c r="BP11" s="94">
        <f t="shared" si="2"/>
        <v>46444</v>
      </c>
      <c r="BQ11" s="92">
        <f t="shared" si="2"/>
        <v>46451</v>
      </c>
      <c r="BR11" s="93">
        <f t="shared" si="2"/>
        <v>46458</v>
      </c>
      <c r="BS11" s="93">
        <f t="shared" si="2"/>
        <v>46465</v>
      </c>
      <c r="BT11" s="94">
        <f t="shared" si="2"/>
        <v>46472</v>
      </c>
      <c r="BU11" s="93">
        <f t="shared" si="2"/>
        <v>46479</v>
      </c>
      <c r="BV11" s="93">
        <f t="shared" si="2"/>
        <v>46486</v>
      </c>
      <c r="BW11" s="93">
        <f t="shared" si="2"/>
        <v>46493</v>
      </c>
      <c r="BX11" s="93">
        <f t="shared" si="2"/>
        <v>46500</v>
      </c>
      <c r="BY11" s="93">
        <f t="shared" si="2"/>
        <v>46507</v>
      </c>
      <c r="BZ11" s="92">
        <f t="shared" si="2"/>
        <v>46514</v>
      </c>
      <c r="CA11" s="93">
        <f t="shared" si="2"/>
        <v>46521</v>
      </c>
      <c r="CB11" s="93">
        <f t="shared" si="2"/>
        <v>46528</v>
      </c>
      <c r="CC11" s="94">
        <f t="shared" si="2"/>
        <v>46535</v>
      </c>
      <c r="CD11" s="92">
        <f t="shared" si="2"/>
        <v>46542</v>
      </c>
      <c r="CE11" s="93">
        <f t="shared" si="2"/>
        <v>46549</v>
      </c>
      <c r="CF11" s="93">
        <f t="shared" si="2"/>
        <v>46556</v>
      </c>
      <c r="CG11" s="94">
        <f t="shared" si="2"/>
        <v>46563</v>
      </c>
      <c r="CH11" s="93">
        <f t="shared" si="2"/>
        <v>46570</v>
      </c>
      <c r="CI11" s="93">
        <f t="shared" si="2"/>
        <v>46577</v>
      </c>
      <c r="CJ11" s="93">
        <f t="shared" si="2"/>
        <v>46584</v>
      </c>
      <c r="CK11" s="93">
        <f t="shared" ref="CK11:DC11" si="3">CJ11+7</f>
        <v>46591</v>
      </c>
      <c r="CL11" s="93">
        <f>CK11+7</f>
        <v>46598</v>
      </c>
      <c r="CM11" s="92">
        <f>CL11+7</f>
        <v>46605</v>
      </c>
      <c r="CN11" s="93">
        <f>CM11+7</f>
        <v>46612</v>
      </c>
      <c r="CO11" s="93">
        <f>CN11+7</f>
        <v>46619</v>
      </c>
      <c r="CP11" s="94">
        <f>CO11+7</f>
        <v>46626</v>
      </c>
      <c r="CQ11" s="94">
        <f>CO11+7</f>
        <v>46626</v>
      </c>
      <c r="CR11" s="94">
        <f t="shared" si="3"/>
        <v>46633</v>
      </c>
      <c r="CS11" s="94">
        <f t="shared" si="3"/>
        <v>46640</v>
      </c>
      <c r="CT11" s="94">
        <f t="shared" si="3"/>
        <v>46647</v>
      </c>
      <c r="CU11" s="94">
        <f t="shared" si="3"/>
        <v>46654</v>
      </c>
      <c r="CV11" s="94">
        <f t="shared" si="3"/>
        <v>46661</v>
      </c>
      <c r="CW11" s="94">
        <f t="shared" si="3"/>
        <v>46668</v>
      </c>
      <c r="CX11" s="94">
        <f t="shared" si="3"/>
        <v>46675</v>
      </c>
      <c r="CY11" s="94">
        <f t="shared" si="3"/>
        <v>46682</v>
      </c>
      <c r="CZ11" s="94">
        <f t="shared" si="3"/>
        <v>46689</v>
      </c>
      <c r="DA11" s="94">
        <f t="shared" si="3"/>
        <v>46696</v>
      </c>
      <c r="DB11" s="94">
        <f t="shared" si="3"/>
        <v>46703</v>
      </c>
      <c r="DC11" s="94">
        <f t="shared" si="3"/>
        <v>46710</v>
      </c>
      <c r="DD11" s="68"/>
      <c r="DE11" s="68"/>
    </row>
    <row r="12" spans="1:109" ht="24" x14ac:dyDescent="0.55000000000000004">
      <c r="A12" s="310">
        <v>1</v>
      </c>
      <c r="B12" s="193">
        <f>A12</f>
        <v>1</v>
      </c>
      <c r="C12" s="312" t="s">
        <v>146</v>
      </c>
      <c r="D12" s="200" t="str">
        <f>C12</f>
        <v>Okd Co-Working Space</v>
      </c>
      <c r="E12" s="37">
        <f>E14+E16+E44+E54+E74+E76+E92+E98</f>
        <v>141282693.27633795</v>
      </c>
      <c r="F12" s="38">
        <f t="shared" ref="F12" si="4">E12</f>
        <v>141282693.27633795</v>
      </c>
      <c r="G12" s="173" t="s">
        <v>41</v>
      </c>
      <c r="H12" s="187">
        <v>1</v>
      </c>
      <c r="I12" s="187"/>
      <c r="J12" s="187"/>
      <c r="K12" s="261">
        <f t="shared" ref="K12:K41" si="5">SUM(M12:DC12)</f>
        <v>1.0000000000000002</v>
      </c>
      <c r="L12" s="110">
        <f>L14+L16+L44+L54+L74+L76+L92+L98</f>
        <v>141262627.15794361</v>
      </c>
      <c r="M12" s="134" cm="1">
        <f t="array" ref="M12">SUMPRODUCT(($G$14:$G$107="P")*($J$14:$J$107="S")*$F$14:$F$107*M14:M107)/$F$12</f>
        <v>0</v>
      </c>
      <c r="N12" s="135" cm="1">
        <f t="array" ref="N12">SUMPRODUCT(($G$14:$G$107="P")*($J$14:$J$107="S")*$F$14:$F$107*N14:N107)/$F$12</f>
        <v>0</v>
      </c>
      <c r="O12" s="135" cm="1">
        <f t="array" ref="O12">SUMPRODUCT(($G$14:$G$107="P")*($J$14:$J$107="S")*$F$14:$F$107*O14:O107)/$F$12</f>
        <v>0</v>
      </c>
      <c r="P12" s="136" cm="1">
        <f t="array" ref="P12">SUMPRODUCT(($G$14:$G$107="P")*($J$14:$J$107="S")*$F$14:$F$107*P14:P107)/$F$12</f>
        <v>0</v>
      </c>
      <c r="Q12" s="137" cm="1">
        <f t="array" ref="Q12">SUMPRODUCT(($G$14:$G$107="P")*($J$14:$J$107="S")*$F$14:$F$107*Q14:Q107)/$F$12</f>
        <v>0</v>
      </c>
      <c r="R12" s="135" cm="1">
        <f t="array" ref="R12">SUMPRODUCT(($G$14:$G$107="P")*($J$14:$J$107="S")*$F$14:$F$107*R14:R107)/$F$12</f>
        <v>0</v>
      </c>
      <c r="S12" s="135" cm="1">
        <f t="array" ref="S12">SUMPRODUCT(($G$14:$G$107="P")*($J$14:$J$107="S")*$F$14:$F$107*S14:S107)/$F$12</f>
        <v>0</v>
      </c>
      <c r="T12" s="136" cm="1">
        <f t="array" ref="T12">SUMPRODUCT(($G$14:$G$107="P")*($J$14:$J$107="S")*$F$14:$F$107*T14:T107)/$F$12</f>
        <v>0</v>
      </c>
      <c r="U12" s="138" cm="1">
        <f t="array" ref="U12">SUMPRODUCT(($G$14:$G$107="P")*($J$14:$J$107="S")*$F$14:$F$107*U14:U107)/$F$12</f>
        <v>0</v>
      </c>
      <c r="V12" s="135" cm="1">
        <f t="array" ref="V12">SUMPRODUCT(($G$14:$G$107="P")*($J$14:$J$107="S")*$F$14:$F$107*V14:V107)/$F$12</f>
        <v>0</v>
      </c>
      <c r="W12" s="135" cm="1">
        <f t="array" ref="W12">SUMPRODUCT(($G$14:$G$107="P")*($J$14:$J$107="S")*$F$14:$F$107*W14:W107)/$F$12</f>
        <v>1.2678716525798311E-4</v>
      </c>
      <c r="X12" s="136" cm="1">
        <f t="array" ref="X12">SUMPRODUCT(($G$14:$G$107="P")*($J$14:$J$107="S")*$F$14:$F$107*X14:X107)/$F$12</f>
        <v>1.2678716525798311E-4</v>
      </c>
      <c r="Y12" s="137" cm="1">
        <f t="array" ref="Y12">SUMPRODUCT(($G$14:$G$107="P")*($J$14:$J$107="S")*$F$14:$F$107*Y14:Y107)/$F$12</f>
        <v>1.2678716525798311E-4</v>
      </c>
      <c r="Z12" s="135" cm="1">
        <f t="array" ref="Z12">SUMPRODUCT(($G$14:$G$107="P")*($J$14:$J$107="S")*$F$14:$F$107*Z14:Z107)/$F$12</f>
        <v>1.2678716525798311E-4</v>
      </c>
      <c r="AA12" s="135" cm="1">
        <f t="array" ref="AA12">SUMPRODUCT(($G$14:$G$107="P")*($J$14:$J$107="S")*$F$14:$F$107*AA14:AA107)/$F$12</f>
        <v>1.2678716525798311E-4</v>
      </c>
      <c r="AB12" s="139" cm="1">
        <f t="array" ref="AB12">SUMPRODUCT(($G$14:$G$107="P")*($J$14:$J$107="S")*$F$14:$F$107*AB14:AB107)/$F$12</f>
        <v>1.2678716525798311E-4</v>
      </c>
      <c r="AC12" s="136" cm="1">
        <f t="array" ref="AC12">SUMPRODUCT(($G$14:$G$107="P")*($J$14:$J$107="S")*$F$14:$F$107*AC14:AC107)/$F$12</f>
        <v>3.803614957739493E-4</v>
      </c>
      <c r="AD12" s="137" cm="1">
        <f t="array" ref="AD12">SUMPRODUCT(($G$14:$G$107="P")*($J$14:$J$107="S")*$F$14:$F$107*AD14:AD107)/$F$12</f>
        <v>2.5357433051596622E-4</v>
      </c>
      <c r="AE12" s="135" cm="1">
        <f t="array" ref="AE12">SUMPRODUCT(($G$14:$G$107="P")*($J$14:$J$107="S")*$F$14:$F$107*AE14:AE107)/$F$12</f>
        <v>2.5357433051596622E-4</v>
      </c>
      <c r="AF12" s="135" cm="1">
        <f t="array" ref="AF12">SUMPRODUCT(($G$14:$G$107="P")*($J$14:$J$107="S")*$F$14:$F$107*AF14:AF107)/$F$12</f>
        <v>1.2678716525798311E-4</v>
      </c>
      <c r="AG12" s="136" cm="1">
        <f t="array" ref="AG12">SUMPRODUCT(($G$14:$G$107="P")*($J$14:$J$107="S")*$F$14:$F$107*AG14:AG107)/$F$12</f>
        <v>4.3871552872570358E-4</v>
      </c>
      <c r="AH12" s="138" cm="1">
        <f t="array" ref="AH12">SUMPRODUCT(($G$14:$G$107="P")*($J$14:$J$107="S")*$F$14:$F$107*AH14:AH107)/$F$12</f>
        <v>4.3871552872570358E-4</v>
      </c>
      <c r="AI12" s="135" cm="1">
        <f t="array" ref="AI12">SUMPRODUCT(($G$14:$G$107="P")*($J$14:$J$107="S")*$F$14:$F$107*AI14:AI107)/$F$12</f>
        <v>4.3871552872570358E-4</v>
      </c>
      <c r="AJ12" s="135" cm="1">
        <f t="array" ref="AJ12">SUMPRODUCT(($G$14:$G$107="P")*($J$14:$J$107="S")*$F$14:$F$107*AJ14:AJ107)/$F$12</f>
        <v>7.5064389219342391E-4</v>
      </c>
      <c r="AK12" s="135" cm="1">
        <f t="array" ref="AK12">SUMPRODUCT(($G$14:$G$107="P")*($J$14:$J$107="S")*$F$14:$F$107*AK14:AK107)/$F$12</f>
        <v>3.4345247403829602E-3</v>
      </c>
      <c r="AL12" s="140" cm="1">
        <f t="array" ref="AL12">SUMPRODUCT(($G$14:$G$107="P")*($J$14:$J$107="S")*$F$14:$F$107*AL14:AL107)/$F$12</f>
        <v>4.0583814673184017E-3</v>
      </c>
      <c r="AM12" s="137" cm="1">
        <f t="array" ref="AM12">SUMPRODUCT(($G$14:$G$107="P")*($J$14:$J$107="S")*$F$14:$F$107*AM14:AM107)/$F$12</f>
        <v>5.4982583490295065E-3</v>
      </c>
      <c r="AN12" s="135" cm="1">
        <f t="array" ref="AN12">SUMPRODUCT(($G$14:$G$107="P")*($J$14:$J$107="S")*$F$14:$F$107*AN14:AN107)/$F$12</f>
        <v>7.0385884432070606E-3</v>
      </c>
      <c r="AO12" s="135" cm="1">
        <f t="array" ref="AO12">SUMPRODUCT(($G$14:$G$107="P")*($J$14:$J$107="S")*$F$14:$F$107*AO14:AO107)/$F$12</f>
        <v>1.0748516399834497E-2</v>
      </c>
      <c r="AP12" s="136" cm="1">
        <f t="array" ref="AP12">SUMPRODUCT(($G$14:$G$107="P")*($J$14:$J$107="S")*$F$14:$F$107*AP14:AP107)/$F$12</f>
        <v>1.12672704913328E-2</v>
      </c>
      <c r="AQ12" s="137" cm="1">
        <f t="array" ref="AQ12">SUMPRODUCT(($G$14:$G$107="P")*($J$14:$J$107="S")*$F$14:$F$107*AQ14:AQ107)/$F$12</f>
        <v>1.0843397768229516E-2</v>
      </c>
      <c r="AR12" s="135" cm="1">
        <f t="array" ref="AR12">SUMPRODUCT(($G$14:$G$107="P")*($J$14:$J$107="S")*$F$14:$F$107*AR14:AR107)/$F$12</f>
        <v>1.0992122085360856E-2</v>
      </c>
      <c r="AS12" s="135" cm="1">
        <f t="array" ref="AS12">SUMPRODUCT(($G$14:$G$107="P")*($J$14:$J$107="S")*$F$14:$F$107*AS14:AS107)/$F$12</f>
        <v>1.2232208037824261E-2</v>
      </c>
      <c r="AT12" s="136" cm="1">
        <f t="array" ref="AT12">SUMPRODUCT(($G$14:$G$107="P")*($J$14:$J$107="S")*$F$14:$F$107*AT14:AT107)/$F$12</f>
        <v>1.08795373861276E-2</v>
      </c>
      <c r="AU12" s="137" cm="1">
        <f t="array" ref="AU12">SUMPRODUCT(($G$14:$G$107="P")*($J$14:$J$107="S")*$F$14:$F$107*AU14:AU107)/$F$12</f>
        <v>1.1919389244980899E-2</v>
      </c>
      <c r="AV12" s="135" cm="1">
        <f t="array" ref="AV12">SUMPRODUCT(($G$14:$G$107="P")*($J$14:$J$107="S")*$F$14:$F$107*AV14:AV107)/$F$12</f>
        <v>2.2290499612005767E-2</v>
      </c>
      <c r="AW12" s="135" cm="1">
        <f t="array" ref="AW12">SUMPRODUCT(($G$14:$G$107="P")*($J$14:$J$107="S")*$F$14:$F$107*AW14:AW107)/$F$12</f>
        <v>1.7739558751559956E-2</v>
      </c>
      <c r="AX12" s="135" cm="1">
        <f t="array" ref="AX12">SUMPRODUCT(($G$14:$G$107="P")*($J$14:$J$107="S")*$F$14:$F$107*AX14:AX107)/$F$12</f>
        <v>1.7501362054967849E-2</v>
      </c>
      <c r="AY12" s="140" cm="1">
        <f t="array" ref="AY12">SUMPRODUCT(($G$14:$G$107="P")*($J$14:$J$107="S")*$F$14:$F$107*AY14:AY107)/$F$12</f>
        <v>1.4296687290112657E-2</v>
      </c>
      <c r="AZ12" s="137" cm="1">
        <f t="array" ref="AZ12">SUMPRODUCT(($G$14:$G$107="P")*($J$14:$J$107="S")*$F$14:$F$107*AZ14:AZ107)/$F$12</f>
        <v>1.386084669845348E-2</v>
      </c>
      <c r="BA12" s="135" cm="1">
        <f t="array" ref="BA12">SUMPRODUCT(($G$14:$G$107="P")*($J$14:$J$107="S")*$F$14:$F$107*BA14:BA107)/$F$12</f>
        <v>1.3580228855331276E-2</v>
      </c>
      <c r="BB12" s="135" cm="1">
        <f t="array" ref="BB12">SUMPRODUCT(($G$14:$G$107="P")*($J$14:$J$107="S")*$F$14:$F$107*BB14:BB107)/$F$12</f>
        <v>1.5491985009263631E-2</v>
      </c>
      <c r="BC12" s="139" cm="1">
        <f t="array" ref="BC12">SUMPRODUCT(($G$14:$G$107="P")*($J$14:$J$107="S")*$F$14:$F$107*BC14:BC107)/$F$12</f>
        <v>1.4174296420037128E-2</v>
      </c>
      <c r="BD12" s="137" cm="1">
        <f t="array" ref="BD12">SUMPRODUCT(($G$14:$G$107="P")*($J$14:$J$107="S")*$F$14:$F$107*BD14:BD107)/$F$12</f>
        <v>1.7224777555729924E-2</v>
      </c>
      <c r="BE12" s="135" cm="1">
        <f t="array" ref="BE12">SUMPRODUCT(($G$14:$G$107="P")*($J$14:$J$107="S")*$F$14:$F$107*BE14:BE107)/$F$12</f>
        <v>1.9365391369229379E-2</v>
      </c>
      <c r="BF12" s="135" cm="1">
        <f t="array" ref="BF12">SUMPRODUCT(($G$14:$G$107="P")*($J$14:$J$107="S")*$F$14:$F$107*BF14:BF107)/$F$12</f>
        <v>2.6384261324133119E-2</v>
      </c>
      <c r="BG12" s="136" cm="1">
        <f t="array" ref="BG12">SUMPRODUCT(($G$14:$G$107="P")*($J$14:$J$107="S")*$F$14:$F$107*BG14:BG107)/$F$12</f>
        <v>2.7086742192960058E-2</v>
      </c>
      <c r="BH12" s="137" cm="1">
        <f t="array" ref="BH12">SUMPRODUCT(($G$14:$G$107="P")*($J$14:$J$107="S")*$F$14:$F$107*BH14:BH107)/$F$12</f>
        <v>2.7041586913850953E-2</v>
      </c>
      <c r="BI12" s="135" cm="1">
        <f t="array" ref="BI12">SUMPRODUCT(($G$14:$G$107="P")*($J$14:$J$107="S")*$F$14:$F$107*BI14:BI107)/$F$12</f>
        <v>3.5184705291745902E-2</v>
      </c>
      <c r="BJ12" s="135" cm="1">
        <f t="array" ref="BJ12">SUMPRODUCT(($G$14:$G$107="P")*($J$14:$J$107="S")*$F$14:$F$107*BJ14:BJ107)/$F$12</f>
        <v>3.6695629236564158E-2</v>
      </c>
      <c r="BK12" s="135" cm="1">
        <f t="array" ref="BK12">SUMPRODUCT(($G$14:$G$107="P")*($J$14:$J$107="S")*$F$14:$F$107*BK14:BK107)/$F$12</f>
        <v>4.2709142591461309E-2</v>
      </c>
      <c r="BL12" s="140" cm="1">
        <f t="array" ref="BL12">SUMPRODUCT(($G$14:$G$107="P")*($J$14:$J$107="S")*$F$14:$F$107*BL14:BL107)/$F$12</f>
        <v>3.6828415985290748E-2</v>
      </c>
      <c r="BM12" s="137" cm="1">
        <f t="array" ref="BM12">SUMPRODUCT(($G$14:$G$107="P")*($J$14:$J$107="S")*$F$14:$F$107*BM14:BM107)/$F$12</f>
        <v>3.6222487584735751E-2</v>
      </c>
      <c r="BN12" s="135" cm="1">
        <f t="array" ref="BN12">SUMPRODUCT(($G$14:$G$107="P")*($J$14:$J$107="S")*$F$14:$F$107*BN14:BN107)/$F$12</f>
        <v>4.0087657605309766E-2</v>
      </c>
      <c r="BO12" s="135" cm="1">
        <f t="array" ref="BO12">SUMPRODUCT(($G$14:$G$107="P")*($J$14:$J$107="S")*$F$14:$F$107*BO14:BO107)/$F$12</f>
        <v>3.4948939950448628E-2</v>
      </c>
      <c r="BP12" s="136" cm="1">
        <f t="array" ref="BP12">SUMPRODUCT(($G$14:$G$107="P")*($J$14:$J$107="S")*$F$14:$F$107*BP14:BP107)/$F$12</f>
        <v>2.7568420524007462E-2</v>
      </c>
      <c r="BQ12" s="137" cm="1">
        <f t="array" ref="BQ12">SUMPRODUCT(($G$14:$G$107="P")*($J$14:$J$107="S")*$F$14:$F$107*BQ14:BQ107)/$F$12</f>
        <v>2.7304950877393288E-2</v>
      </c>
      <c r="BR12" s="135" cm="1">
        <f t="array" ref="BR12">SUMPRODUCT(($G$14:$G$107="P")*($J$14:$J$107="S")*$F$14:$F$107*BR14:BR107)/$F$12</f>
        <v>2.2909828497812697E-2</v>
      </c>
      <c r="BS12" s="135" cm="1">
        <f t="array" ref="BS12">SUMPRODUCT(($G$14:$G$107="P")*($J$14:$J$107="S")*$F$14:$F$107*BS14:BS107)/$F$12</f>
        <v>1.6846461780108849E-2</v>
      </c>
      <c r="BT12" s="136" cm="1">
        <f t="array" ref="BT12">SUMPRODUCT(($G$14:$G$107="P")*($J$14:$J$107="S")*$F$14:$F$107*BT14:BT107)/$F$12</f>
        <v>1.6819871235747571E-2</v>
      </c>
      <c r="BU12" s="137" cm="1">
        <f t="array" ref="BU12">SUMPRODUCT(($G$14:$G$107="P")*($J$14:$J$107="S")*$F$14:$F$107*BU14:BU107)/$F$12</f>
        <v>2.0735475098430895E-2</v>
      </c>
      <c r="BV12" s="135" cm="1">
        <f t="array" ref="BV12">SUMPRODUCT(($G$14:$G$107="P")*($J$14:$J$107="S")*$F$14:$F$107*BV14:BV107)/$F$12</f>
        <v>1.3335930652189541E-2</v>
      </c>
      <c r="BW12" s="135" cm="1">
        <f t="array" ref="BW12">SUMPRODUCT(($G$14:$G$107="P")*($J$14:$J$107="S")*$F$14:$F$107*BW14:BW107)/$F$12</f>
        <v>1.3320088003206339E-2</v>
      </c>
      <c r="BX12" s="139" cm="1">
        <f t="array" ref="BX12">SUMPRODUCT(($G$14:$G$107="P")*($J$14:$J$107="S")*$F$14:$F$107*BX14:BX107)/$F$12</f>
        <v>1.6080437873110157E-2</v>
      </c>
      <c r="BY12" s="140" cm="1">
        <f t="array" ref="BY12">SUMPRODUCT(($G$14:$G$107="P")*($J$14:$J$107="S")*$F$14:$F$107*BY14:BY107)/$F$12</f>
        <v>1.700264453970441E-2</v>
      </c>
      <c r="BZ12" s="137" cm="1">
        <f t="array" ref="BZ12">SUMPRODUCT(($G$14:$G$107="P")*($J$14:$J$107="S")*$F$14:$F$107*BZ14:BZ107)/$F$12</f>
        <v>3.325975720645704E-2</v>
      </c>
      <c r="CA12" s="135" cm="1">
        <f t="array" ref="CA12">SUMPRODUCT(($G$14:$G$107="P")*($J$14:$J$107="S")*$F$14:$F$107*CA14:CA107)/$F$12</f>
        <v>3.0571487412399824E-2</v>
      </c>
      <c r="CB12" s="135" cm="1">
        <f t="array" ref="CB12">SUMPRODUCT(($G$14:$G$107="P")*($J$14:$J$107="S")*$F$14:$F$107*CB14:CB107)/$F$12</f>
        <v>3.0144617698073788E-2</v>
      </c>
      <c r="CC12" s="136" cm="1">
        <f t="array" ref="CC12">SUMPRODUCT(($G$14:$G$107="P")*($J$14:$J$107="S")*$F$14:$F$107*CC14:CC107)/$F$12</f>
        <v>3.0144617698073788E-2</v>
      </c>
      <c r="CD12" s="137" cm="1">
        <f t="array" ref="CD12">SUMPRODUCT(($G$14:$G$107="P")*($J$14:$J$107="S")*$F$14:$F$107*CD14:CD107)/$F$12</f>
        <v>2.6302958115012636E-2</v>
      </c>
      <c r="CE12" s="135" cm="1">
        <f t="array" ref="CE12">SUMPRODUCT(($G$14:$G$107="P")*($J$14:$J$107="S")*$F$14:$F$107*CE14:CE107)/$F$12</f>
        <v>1.8694195012348876E-2</v>
      </c>
      <c r="CF12" s="135" cm="1">
        <f t="array" ref="CF12">SUMPRODUCT(($G$14:$G$107="P")*($J$14:$J$107="S")*$F$14:$F$107*CF14:CF107)/$F$12</f>
        <v>1.3744525138560469E-2</v>
      </c>
      <c r="CG12" s="136" cm="1">
        <f t="array" ref="CG12">SUMPRODUCT(($G$14:$G$107="P")*($J$14:$J$107="S")*$F$14:$F$107*CG14:CG107)/$F$12</f>
        <v>1.3744525138560469E-2</v>
      </c>
      <c r="CH12" s="137" cm="1">
        <f t="array" ref="CH12">SUMPRODUCT(($G$14:$G$107="P")*($J$14:$J$107="S")*$F$14:$F$107*CH14:CH107)/$F$12</f>
        <v>0</v>
      </c>
      <c r="CI12" s="135" cm="1">
        <f t="array" ref="CI12">SUMPRODUCT(($G$14:$G$107="P")*($J$14:$J$107="S")*$F$14:$F$107*CI14:CI107)/$F$12</f>
        <v>0</v>
      </c>
      <c r="CJ12" s="135" cm="1">
        <f t="array" ref="CJ12">SUMPRODUCT(($G$14:$G$107="P")*($J$14:$J$107="S")*$F$14:$F$107*CJ14:CJ107)/$F$12</f>
        <v>0</v>
      </c>
      <c r="CK12" s="135" cm="1">
        <f t="array" ref="CK12">SUMPRODUCT(($G$14:$G$107="P")*($J$14:$J$107="S")*$F$14:$F$107*CK14:CK107)/$F$12</f>
        <v>0</v>
      </c>
      <c r="CL12" s="140" cm="1">
        <f t="array" ref="CL12">SUMPRODUCT(($G$14:$G$107="P")*($J$14:$J$107="S")*$F$14:$F$107*CL14:CL107)/$F$12</f>
        <v>0</v>
      </c>
      <c r="CM12" s="137" cm="1">
        <f t="array" ref="CM12">SUMPRODUCT(($G$14:$G$107="P")*($J$14:$J$107="S")*$F$14:$F$107*CM14:CM107)/$F$12</f>
        <v>0</v>
      </c>
      <c r="CN12" s="135" cm="1">
        <f t="array" ref="CN12">SUMPRODUCT(($G$14:$G$107="P")*($J$14:$J$107="S")*$F$14:$F$107*CN14:CN107)/$F$12</f>
        <v>0</v>
      </c>
      <c r="CO12" s="135" cm="1">
        <f t="array" ref="CO12">SUMPRODUCT(($G$14:$G$107="P")*($J$14:$J$107="S")*$F$14:$F$107*CO14:CO107)/$F$12</f>
        <v>0</v>
      </c>
      <c r="CP12" s="136" cm="1">
        <f t="array" ref="CP12">SUMPRODUCT(($G$14:$G$107="P")*($J$14:$J$107="S")*$F$14:$F$107*CP14:CP107)/$F$12</f>
        <v>0</v>
      </c>
      <c r="CQ12" s="133"/>
      <c r="CR12" s="131"/>
      <c r="CS12" s="131"/>
      <c r="CT12" s="132"/>
      <c r="CU12" s="133"/>
      <c r="CV12" s="131"/>
      <c r="CW12" s="131"/>
      <c r="CX12" s="132"/>
      <c r="CY12" s="133"/>
      <c r="CZ12" s="131"/>
      <c r="DA12" s="131"/>
      <c r="DB12" s="132"/>
      <c r="DC12" s="82"/>
      <c r="DD12" s="79"/>
      <c r="DE12" s="79"/>
    </row>
    <row r="13" spans="1:109" ht="24.95" customHeight="1" x14ac:dyDescent="0.55000000000000004">
      <c r="A13" s="311"/>
      <c r="B13" s="194">
        <f>B12</f>
        <v>1</v>
      </c>
      <c r="C13" s="313"/>
      <c r="D13" s="201" t="str">
        <f>D12</f>
        <v>Okd Co-Working Space</v>
      </c>
      <c r="E13" s="37"/>
      <c r="F13" s="38">
        <f t="shared" ref="F13" si="6">E12</f>
        <v>141282693.27633795</v>
      </c>
      <c r="G13" s="126" t="s">
        <v>42</v>
      </c>
      <c r="H13" s="188">
        <v>1</v>
      </c>
      <c r="I13" s="188"/>
      <c r="J13" s="188"/>
      <c r="K13" s="127">
        <f t="shared" si="5"/>
        <v>6.5892714091067589E-2</v>
      </c>
      <c r="L13" s="110">
        <f>L15+L17+L45+L55+L75+L77+L93+L99</f>
        <v>9309500.114073731</v>
      </c>
      <c r="M13" s="141" cm="1">
        <f t="array" ref="M13">SUMPRODUCT(($G$14:$G$107="A")*($J$14:$J$107="S")*$F$14:$F$107*M14:M107)/$F$12</f>
        <v>0</v>
      </c>
      <c r="N13" s="142" cm="1">
        <f t="array" ref="N13">SUMPRODUCT(($G$14:$G$107="A")*($J$14:$J$107="S")*$F$14:$F$107*N14:N107)/$F$12</f>
        <v>0</v>
      </c>
      <c r="O13" s="142" cm="1">
        <f t="array" ref="O13">SUMPRODUCT(($G$14:$G$107="A")*($J$14:$J$107="S")*$F$14:$F$107*O14:O107)/$F$12</f>
        <v>0</v>
      </c>
      <c r="P13" s="143" cm="1">
        <f t="array" ref="P13">SUMPRODUCT(($G$14:$G$107="A")*($J$14:$J$107="S")*$F$14:$F$107*P14:P107)/$F$12</f>
        <v>0</v>
      </c>
      <c r="Q13" s="144" cm="1">
        <f t="array" ref="Q13">SUMPRODUCT(($G$14:$G$107="A")*($J$14:$J$107="S")*$F$14:$F$107*Q14:Q107)/$F$12</f>
        <v>0</v>
      </c>
      <c r="R13" s="142" cm="1">
        <f t="array" ref="R13">SUMPRODUCT(($G$14:$G$107="A")*($J$14:$J$107="S")*$F$14:$F$107*R14:R107)/$F$12</f>
        <v>0</v>
      </c>
      <c r="S13" s="142" cm="1">
        <f t="array" ref="S13">SUMPRODUCT(($G$14:$G$107="A")*($J$14:$J$107="S")*$F$14:$F$107*S14:S107)/$F$12</f>
        <v>0</v>
      </c>
      <c r="T13" s="143" cm="1">
        <f t="array" ref="T13">SUMPRODUCT(($G$14:$G$107="A")*($J$14:$J$107="S")*$F$14:$F$107*T14:T107)/$F$12</f>
        <v>0</v>
      </c>
      <c r="U13" s="145" cm="1">
        <f t="array" ref="U13">SUMPRODUCT(($G$14:$G$107="A")*($J$14:$J$107="S")*$F$14:$F$107*U14:U107)/$F$12</f>
        <v>5.0714866103193243E-5</v>
      </c>
      <c r="V13" s="142" cm="1">
        <f t="array" ref="V13">SUMPRODUCT(($G$14:$G$107="A")*($J$14:$J$107="S")*$F$14:$F$107*V14:V107)/$F$12</f>
        <v>1.2678716525798311E-4</v>
      </c>
      <c r="W13" s="142" cm="1">
        <f t="array" ref="W13">SUMPRODUCT(($G$14:$G$107="A")*($J$14:$J$107="S")*$F$14:$F$107*W14:W107)/$F$12</f>
        <v>1.2678716525798311E-4</v>
      </c>
      <c r="X13" s="143" cm="1">
        <f t="array" ref="X13">SUMPRODUCT(($G$14:$G$107="A")*($J$14:$J$107="S")*$F$14:$F$107*X14:X107)/$F$12</f>
        <v>2.0285946441277297E-4</v>
      </c>
      <c r="Y13" s="144" cm="1">
        <f t="array" ref="Y13">SUMPRODUCT(($G$14:$G$107="A")*($J$14:$J$107="S")*$F$14:$F$107*Y14:Y107)/$F$12</f>
        <v>2.0285946441277297E-4</v>
      </c>
      <c r="Z13" s="142" cm="1">
        <f t="array" ref="Z13">SUMPRODUCT(($G$14:$G$107="A")*($J$14:$J$107="S")*$F$14:$F$107*Z14:Z107)/$F$12</f>
        <v>1.2678716525798311E-4</v>
      </c>
      <c r="AA13" s="142" cm="1">
        <f t="array" ref="AA13">SUMPRODUCT(($G$14:$G$107="A")*($J$14:$J$107="S")*$F$14:$F$107*AA14:AA107)/$F$12</f>
        <v>1.2678716525798311E-4</v>
      </c>
      <c r="AB13" s="146" cm="1">
        <f t="array" ref="AB13">SUMPRODUCT(($G$14:$G$107="A")*($J$14:$J$107="S")*$F$14:$F$107*AB14:AB107)/$F$12</f>
        <v>1.2678716525798311E-4</v>
      </c>
      <c r="AC13" s="143" cm="1">
        <f t="array" ref="AC13">SUMPRODUCT(($G$14:$G$107="A")*($J$14:$J$107="S")*$F$14:$F$107*AC14:AC107)/$F$12</f>
        <v>1.2678716525798311E-4</v>
      </c>
      <c r="AD13" s="144" cm="1">
        <f t="array" ref="AD13">SUMPRODUCT(($G$14:$G$107="A")*($J$14:$J$107="S")*$F$14:$F$107*AD14:AD107)/$F$12</f>
        <v>2.0285946441277297E-4</v>
      </c>
      <c r="AE13" s="142" cm="1">
        <f t="array" ref="AE13">SUMPRODUCT(($G$14:$G$107="A")*($J$14:$J$107="S")*$F$14:$F$107*AE14:AE107)/$F$12</f>
        <v>2.0285946441277297E-4</v>
      </c>
      <c r="AF13" s="142" cm="1">
        <f t="array" ref="AF13">SUMPRODUCT(($G$14:$G$107="A")*($J$14:$J$107="S")*$F$14:$F$107*AF14:AF107)/$F$12</f>
        <v>2.0285946441277297E-4</v>
      </c>
      <c r="AG13" s="143" cm="1">
        <f t="array" ref="AG13">SUMPRODUCT(($G$14:$G$107="A")*($J$14:$J$107="S")*$F$14:$F$107*AG14:AG107)/$F$12</f>
        <v>4.1335809567410694E-4</v>
      </c>
      <c r="AH13" s="145" cm="1">
        <f t="array" ref="AH13">SUMPRODUCT(($G$14:$G$107="A")*($J$14:$J$107="S")*$F$14:$F$107*AH14:AH107)/$F$12</f>
        <v>7.5265971206431878E-4</v>
      </c>
      <c r="AI13" s="142" cm="1">
        <f t="array" ref="AI13">SUMPRODUCT(($G$14:$G$107="A")*($J$14:$J$107="S")*$F$14:$F$107*AI14:AI107)/$F$12</f>
        <v>8.5207362439981046E-4</v>
      </c>
      <c r="AJ13" s="142" cm="1">
        <f t="array" ref="AJ13">SUMPRODUCT(($G$14:$G$107="A")*($J$14:$J$107="S")*$F$14:$F$107*AJ14:AJ107)/$F$12</f>
        <v>1.0625722556611443E-3</v>
      </c>
      <c r="AK13" s="142" cm="1">
        <f t="array" ref="AK13">SUMPRODUCT(($G$14:$G$107="A")*($J$14:$J$107="S")*$F$14:$F$107*AK14:AK107)/$F$12</f>
        <v>2.4468566726275572E-3</v>
      </c>
      <c r="AL13" s="147" cm="1">
        <f t="array" ref="AL13">SUMPRODUCT(($G$14:$G$107="A")*($J$14:$J$107="S")*$F$14:$F$107*AL14:AL107)/$F$12</f>
        <v>2.7587850360952775E-3</v>
      </c>
      <c r="AM13" s="144" cm="1">
        <f t="array" ref="AM13">SUMPRODUCT(($G$14:$G$107="A")*($J$14:$J$107="S")*$F$14:$F$107*AM14:AM107)/$F$12</f>
        <v>3.4325089205120649E-3</v>
      </c>
      <c r="AN13" s="142" cm="1">
        <f t="array" ref="AN13">SUMPRODUCT(($G$14:$G$107="A")*($J$14:$J$107="S")*$F$14:$F$107*AN14:AN107)/$F$12</f>
        <v>4.177737588570261E-3</v>
      </c>
      <c r="AO13" s="142" cm="1">
        <f t="array" ref="AO13">SUMPRODUCT(($G$14:$G$107="A")*($J$14:$J$107="S")*$F$14:$F$107*AO14:AO107)/$F$12</f>
        <v>5.0649524438592169E-3</v>
      </c>
      <c r="AP13" s="143" cm="1">
        <f t="array" ref="AP13">SUMPRODUCT(($G$14:$G$107="A")*($J$14:$J$107="S")*$F$14:$F$107*AP14:AP107)/$F$12</f>
        <v>5.9557950215189323E-3</v>
      </c>
      <c r="AQ13" s="144" cm="1">
        <f t="array" ref="AQ13">SUMPRODUCT(($G$14:$G$107="A")*($J$14:$J$107="S")*$F$14:$F$107*AQ14:AQ107)/$F$12</f>
        <v>5.6273709973021528E-3</v>
      </c>
      <c r="AR13" s="142" cm="1">
        <f t="array" ref="AR13">SUMPRODUCT(($G$14:$G$107="A")*($J$14:$J$107="S")*$F$14:$F$107*AR14:AR107)/$F$12</f>
        <v>5.7786042605880421E-3</v>
      </c>
      <c r="AS13" s="142" cm="1">
        <f t="array" ref="AS13">SUMPRODUCT(($G$14:$G$107="A")*($J$14:$J$107="S")*$F$14:$F$107*AS14:AS107)/$F$12</f>
        <v>1.3241485435452748E-2</v>
      </c>
      <c r="AT13" s="143" cm="1">
        <f t="array" ref="AT13">SUMPRODUCT(($G$14:$G$107="A")*($J$14:$J$107="S")*$F$14:$F$107*AT14:AT107)/$F$12</f>
        <v>1.2502218847026998E-2</v>
      </c>
      <c r="AU13" s="144" cm="1">
        <f t="array" ref="AU13">SUMPRODUCT(($G$14:$G$107="A")*($J$14:$J$107="S")*$F$14:$F$107*AU14:AU107)/$F$12</f>
        <v>0</v>
      </c>
      <c r="AV13" s="142" cm="1">
        <f t="array" ref="AV13">SUMPRODUCT(($G$14:$G$107="A")*($J$14:$J$107="S")*$F$14:$F$107*AV14:AV107)/$F$12</f>
        <v>0</v>
      </c>
      <c r="AW13" s="142" cm="1">
        <f t="array" ref="AW13">SUMPRODUCT(($G$14:$G$107="A")*($J$14:$J$107="S")*$F$14:$F$107*AW14:AW107)/$F$12</f>
        <v>0</v>
      </c>
      <c r="AX13" s="142" cm="1">
        <f t="array" ref="AX13">SUMPRODUCT(($G$14:$G$107="A")*($J$14:$J$107="S")*$F$14:$F$107*AX14:AX107)/$F$12</f>
        <v>0</v>
      </c>
      <c r="AY13" s="147" cm="1">
        <f t="array" ref="AY13">SUMPRODUCT(($G$14:$G$107="A")*($J$14:$J$107="S")*$F$14:$F$107*AY14:AY107)/$F$12</f>
        <v>0</v>
      </c>
      <c r="AZ13" s="144" cm="1">
        <f t="array" ref="AZ13">SUMPRODUCT(($G$14:$G$107="A")*($J$14:$J$107="S")*$F$14:$F$107*AZ14:AZ107)/$F$12</f>
        <v>0</v>
      </c>
      <c r="BA13" s="142" cm="1">
        <f t="array" ref="BA13">SUMPRODUCT(($G$14:$G$107="A")*($J$14:$J$107="S")*$F$14:$F$107*BA14:BA107)/$F$12</f>
        <v>0</v>
      </c>
      <c r="BB13" s="142" cm="1">
        <f t="array" ref="BB13">SUMPRODUCT(($G$14:$G$107="A")*($J$14:$J$107="S")*$F$14:$F$107*BB14:BB107)/$F$12</f>
        <v>0</v>
      </c>
      <c r="BC13" s="146" cm="1">
        <f t="array" ref="BC13">SUMPRODUCT(($G$14:$G$107="A")*($J$14:$J$107="S")*$F$14:$F$107*BC14:BC107)/$F$12</f>
        <v>0</v>
      </c>
      <c r="BD13" s="144" cm="1">
        <f t="array" ref="BD13">SUMPRODUCT(($G$14:$G$107="A")*($J$14:$J$107="S")*$F$14:$F$107*BD14:BD107)/$F$12</f>
        <v>0</v>
      </c>
      <c r="BE13" s="142" cm="1">
        <f t="array" ref="BE13">SUMPRODUCT(($G$14:$G$107="A")*($J$14:$J$107="S")*$F$14:$F$107*BE14:BE107)/$F$12</f>
        <v>0</v>
      </c>
      <c r="BF13" s="142" cm="1">
        <f t="array" ref="BF13">SUMPRODUCT(($G$14:$G$107="A")*($J$14:$J$107="S")*$F$14:$F$107*BF14:BF107)/$F$12</f>
        <v>0</v>
      </c>
      <c r="BG13" s="143" cm="1">
        <f t="array" ref="BG13">SUMPRODUCT(($G$14:$G$107="A")*($J$14:$J$107="S")*$F$14:$F$107*BG14:BG107)/$F$12</f>
        <v>0</v>
      </c>
      <c r="BH13" s="144" cm="1">
        <f t="array" ref="BH13">SUMPRODUCT(($G$14:$G$107="A")*($J$14:$J$107="S")*$F$14:$F$107*BH14:BH107)/$F$12</f>
        <v>0</v>
      </c>
      <c r="BI13" s="142" cm="1">
        <f t="array" ref="BI13">SUMPRODUCT(($G$14:$G$107="A")*($J$14:$J$107="S")*$F$14:$F$107*BI14:BI107)/$F$12</f>
        <v>0</v>
      </c>
      <c r="BJ13" s="142" cm="1">
        <f t="array" ref="BJ13">SUMPRODUCT(($G$14:$G$107="A")*($J$14:$J$107="S")*$F$14:$F$107*BJ14:BJ107)/$F$12</f>
        <v>0</v>
      </c>
      <c r="BK13" s="142" cm="1">
        <f t="array" ref="BK13">SUMPRODUCT(($G$14:$G$107="A")*($J$14:$J$107="S")*$F$14:$F$107*BK14:BK107)/$F$12</f>
        <v>0</v>
      </c>
      <c r="BL13" s="147" cm="1">
        <f t="array" ref="BL13">SUMPRODUCT(($G$14:$G$107="A")*($J$14:$J$107="S")*$F$14:$F$107*BL14:BL107)/$F$12</f>
        <v>0</v>
      </c>
      <c r="BM13" s="144" cm="1">
        <f t="array" ref="BM13">SUMPRODUCT(($G$14:$G$107="A")*($J$14:$J$107="S")*$F$14:$F$107*BM14:BM107)/$F$12</f>
        <v>0</v>
      </c>
      <c r="BN13" s="142" cm="1">
        <f t="array" ref="BN13">SUMPRODUCT(($G$14:$G$107="A")*($J$14:$J$107="S")*$F$14:$F$107*BN14:BN107)/$F$12</f>
        <v>0</v>
      </c>
      <c r="BO13" s="142" cm="1">
        <f t="array" ref="BO13">SUMPRODUCT(($G$14:$G$107="A")*($J$14:$J$107="S")*$F$14:$F$107*BO14:BO107)/$F$12</f>
        <v>0</v>
      </c>
      <c r="BP13" s="143" cm="1">
        <f t="array" ref="BP13">SUMPRODUCT(($G$14:$G$107="A")*($J$14:$J$107="S")*$F$14:$F$107*BP14:BP107)/$F$12</f>
        <v>0</v>
      </c>
      <c r="BQ13" s="144" cm="1">
        <f t="array" ref="BQ13">SUMPRODUCT(($G$14:$G$107="A")*($J$14:$J$107="S")*$F$14:$F$107*BQ14:BQ107)/$F$12</f>
        <v>0</v>
      </c>
      <c r="BR13" s="142" cm="1">
        <f t="array" ref="BR13">SUMPRODUCT(($G$14:$G$107="A")*($J$14:$J$107="S")*$F$14:$F$107*BR14:BR107)/$F$12</f>
        <v>0</v>
      </c>
      <c r="BS13" s="142" cm="1">
        <f t="array" ref="BS13">SUMPRODUCT(($G$14:$G$107="A")*($J$14:$J$107="S")*$F$14:$F$107*BS14:BS107)/$F$12</f>
        <v>0</v>
      </c>
      <c r="BT13" s="143" cm="1">
        <f t="array" ref="BT13">SUMPRODUCT(($G$14:$G$107="A")*($J$14:$J$107="S")*$F$14:$F$107*BT14:BT107)/$F$12</f>
        <v>0</v>
      </c>
      <c r="BU13" s="144" cm="1">
        <f t="array" ref="BU13">SUMPRODUCT(($G$14:$G$107="A")*($J$14:$J$107="S")*$F$14:$F$107*BU14:BU107)/$F$12</f>
        <v>0</v>
      </c>
      <c r="BV13" s="142" cm="1">
        <f t="array" ref="BV13">SUMPRODUCT(($G$14:$G$107="A")*($J$14:$J$107="S")*$F$14:$F$107*BV14:BV107)/$F$12</f>
        <v>0</v>
      </c>
      <c r="BW13" s="142" cm="1">
        <f t="array" ref="BW13">SUMPRODUCT(($G$14:$G$107="A")*($J$14:$J$107="S")*$F$14:$F$107*BW14:BW107)/$F$12</f>
        <v>0</v>
      </c>
      <c r="BX13" s="146" cm="1">
        <f t="array" ref="BX13">SUMPRODUCT(($G$14:$G$107="A")*($J$14:$J$107="S")*$F$14:$F$107*BX14:BX107)/$F$12</f>
        <v>0</v>
      </c>
      <c r="BY13" s="147" cm="1">
        <f t="array" ref="BY13">SUMPRODUCT(($G$14:$G$107="A")*($J$14:$J$107="S")*$F$14:$F$107*BY14:BY107)/$F$12</f>
        <v>0</v>
      </c>
      <c r="BZ13" s="144" cm="1">
        <f t="array" ref="BZ13">SUMPRODUCT(($G$14:$G$107="A")*($J$14:$J$107="S")*$F$14:$F$107*BZ14:BZ107)/$F$12</f>
        <v>0</v>
      </c>
      <c r="CA13" s="142" cm="1">
        <f t="array" ref="CA13">SUMPRODUCT(($G$14:$G$107="A")*($J$14:$J$107="S")*$F$14:$F$107*CA14:CA107)/$F$12</f>
        <v>0</v>
      </c>
      <c r="CB13" s="142" cm="1">
        <f t="array" ref="CB13">SUMPRODUCT(($G$14:$G$107="A")*($J$14:$J$107="S")*$F$14:$F$107*CB14:CB107)/$F$12</f>
        <v>0</v>
      </c>
      <c r="CC13" s="143" cm="1">
        <f t="array" ref="CC13">SUMPRODUCT(($G$14:$G$107="A")*($J$14:$J$107="S")*$F$14:$F$107*CC14:CC107)/$F$12</f>
        <v>0</v>
      </c>
      <c r="CD13" s="144" cm="1">
        <f t="array" ref="CD13">SUMPRODUCT(($G$14:$G$107="A")*($J$14:$J$107="S")*$F$14:$F$107*CD14:CD107)/$F$12</f>
        <v>0</v>
      </c>
      <c r="CE13" s="142" cm="1">
        <f t="array" ref="CE13">SUMPRODUCT(($G$14:$G$107="A")*($J$14:$J$107="S")*$F$14:$F$107*CE14:CE107)/$F$12</f>
        <v>0</v>
      </c>
      <c r="CF13" s="142" cm="1">
        <f t="array" ref="CF13">SUMPRODUCT(($G$14:$G$107="A")*($J$14:$J$107="S")*$F$14:$F$107*CF14:CF107)/$F$12</f>
        <v>0</v>
      </c>
      <c r="CG13" s="143" cm="1">
        <f t="array" ref="CG13">SUMPRODUCT(($G$14:$G$107="A")*($J$14:$J$107="S")*$F$14:$F$107*CG14:CG107)/$F$12</f>
        <v>0</v>
      </c>
      <c r="CH13" s="144" cm="1">
        <f t="array" ref="CH13">SUMPRODUCT(($G$14:$G$107="A")*($J$14:$J$107="S")*$F$14:$F$107*CH14:CH107)/$F$12</f>
        <v>0</v>
      </c>
      <c r="CI13" s="142" cm="1">
        <f t="array" ref="CI13">SUMPRODUCT(($G$14:$G$107="A")*($J$14:$J$107="S")*$F$14:$F$107*CI14:CI107)/$F$12</f>
        <v>0</v>
      </c>
      <c r="CJ13" s="142" cm="1">
        <f t="array" ref="CJ13">SUMPRODUCT(($G$14:$G$107="A")*($J$14:$J$107="S")*$F$14:$F$107*CJ14:CJ107)/$F$12</f>
        <v>0</v>
      </c>
      <c r="CK13" s="142" cm="1">
        <f t="array" ref="CK13">SUMPRODUCT(($G$14:$G$107="A")*($J$14:$J$107="S")*$F$14:$F$107*CK14:CK107)/$F$12</f>
        <v>0</v>
      </c>
      <c r="CL13" s="147" cm="1">
        <f t="array" ref="CL13">SUMPRODUCT(($G$14:$G$107="A")*($J$14:$J$107="S")*$F$14:$F$107*CL14:CL107)/$F$12</f>
        <v>0</v>
      </c>
      <c r="CM13" s="144" cm="1">
        <f t="array" ref="CM13">SUMPRODUCT(($G$14:$G$107="A")*($J$14:$J$107="S")*$F$14:$F$107*CM14:CM107)/$F$12</f>
        <v>0</v>
      </c>
      <c r="CN13" s="142" cm="1">
        <f t="array" ref="CN13">SUMPRODUCT(($G$14:$G$107="A")*($J$14:$J$107="S")*$F$14:$F$107*CN14:CN107)/$F$12</f>
        <v>0</v>
      </c>
      <c r="CO13" s="142" cm="1">
        <f t="array" ref="CO13">SUMPRODUCT(($G$14:$G$107="A")*($J$14:$J$107="S")*$F$14:$F$107*CO14:CO107)/$F$12</f>
        <v>0</v>
      </c>
      <c r="CP13" s="143" cm="1">
        <f t="array" ref="CP13">SUMPRODUCT(($G$14:$G$107="A")*($J$14:$J$107="S")*$F$14:$F$107*CP14:CP107)/$F$12</f>
        <v>0</v>
      </c>
      <c r="CQ13" s="130"/>
      <c r="CR13" s="128"/>
      <c r="CS13" s="128"/>
      <c r="CT13" s="129"/>
      <c r="CU13" s="130"/>
      <c r="CV13" s="128"/>
      <c r="CW13" s="128"/>
      <c r="CX13" s="129"/>
      <c r="CY13" s="130"/>
      <c r="CZ13" s="128"/>
      <c r="DA13" s="128"/>
      <c r="DB13" s="129"/>
      <c r="DC13" s="80"/>
      <c r="DD13" s="79"/>
      <c r="DE13" s="79"/>
    </row>
    <row r="14" spans="1:109" ht="24.95" customHeight="1" x14ac:dyDescent="0.55000000000000004">
      <c r="A14" s="282">
        <v>1.1000000000000001</v>
      </c>
      <c r="B14" s="195">
        <f t="shared" ref="B14" si="7">A14</f>
        <v>1.1000000000000001</v>
      </c>
      <c r="C14" s="283" t="s">
        <v>107</v>
      </c>
      <c r="D14" s="202" t="str">
        <f t="shared" ref="D14" si="8">C14</f>
        <v>Existing Demolation</v>
      </c>
      <c r="E14" s="61">
        <v>358256.64361039997</v>
      </c>
      <c r="F14" s="40">
        <f t="shared" ref="F14" si="9">E14</f>
        <v>358256.64361039997</v>
      </c>
      <c r="G14" s="112" t="s">
        <v>41</v>
      </c>
      <c r="H14" s="184">
        <v>0</v>
      </c>
      <c r="I14" s="184"/>
      <c r="J14" s="184" t="s">
        <v>105</v>
      </c>
      <c r="K14" s="122">
        <f t="shared" si="5"/>
        <v>1.0000000000000002</v>
      </c>
      <c r="L14" s="113">
        <f>K14*F14</f>
        <v>358256.64361040003</v>
      </c>
      <c r="M14" s="134"/>
      <c r="N14" s="135"/>
      <c r="O14" s="135"/>
      <c r="P14" s="136"/>
      <c r="Q14" s="137"/>
      <c r="R14" s="135"/>
      <c r="S14" s="135"/>
      <c r="T14" s="136"/>
      <c r="U14" s="138"/>
      <c r="V14" s="135"/>
      <c r="W14" s="135">
        <v>0.05</v>
      </c>
      <c r="X14" s="136">
        <v>0.05</v>
      </c>
      <c r="Y14" s="137">
        <v>0.05</v>
      </c>
      <c r="Z14" s="135">
        <v>0.05</v>
      </c>
      <c r="AA14" s="135">
        <v>0.05</v>
      </c>
      <c r="AB14" s="139">
        <v>0.05</v>
      </c>
      <c r="AC14" s="136">
        <v>0.15</v>
      </c>
      <c r="AD14" s="137">
        <v>0.1</v>
      </c>
      <c r="AE14" s="135">
        <v>0.1</v>
      </c>
      <c r="AF14" s="135">
        <v>0.05</v>
      </c>
      <c r="AG14" s="136">
        <v>0.05</v>
      </c>
      <c r="AH14" s="138">
        <v>0.05</v>
      </c>
      <c r="AI14" s="135">
        <v>0.05</v>
      </c>
      <c r="AJ14" s="135">
        <v>0.05</v>
      </c>
      <c r="AK14" s="135">
        <v>0.05</v>
      </c>
      <c r="AL14" s="140">
        <v>0.05</v>
      </c>
      <c r="AM14" s="137"/>
      <c r="AN14" s="135"/>
      <c r="AO14" s="135"/>
      <c r="AP14" s="136"/>
      <c r="AQ14" s="137"/>
      <c r="AR14" s="135"/>
      <c r="AS14" s="135"/>
      <c r="AT14" s="136"/>
      <c r="AU14" s="137"/>
      <c r="AV14" s="135"/>
      <c r="AW14" s="135"/>
      <c r="AX14" s="135"/>
      <c r="AY14" s="140"/>
      <c r="AZ14" s="137"/>
      <c r="BA14" s="135"/>
      <c r="BB14" s="135"/>
      <c r="BC14" s="139"/>
      <c r="BD14" s="137"/>
      <c r="BE14" s="135"/>
      <c r="BF14" s="135"/>
      <c r="BG14" s="136"/>
      <c r="BH14" s="137"/>
      <c r="BI14" s="135"/>
      <c r="BJ14" s="135"/>
      <c r="BK14" s="135"/>
      <c r="BL14" s="140"/>
      <c r="BM14" s="137"/>
      <c r="BN14" s="135"/>
      <c r="BO14" s="135"/>
      <c r="BP14" s="136"/>
      <c r="BQ14" s="137"/>
      <c r="BR14" s="135"/>
      <c r="BS14" s="135"/>
      <c r="BT14" s="136"/>
      <c r="BU14" s="137"/>
      <c r="BV14" s="135"/>
      <c r="BW14" s="135"/>
      <c r="BX14" s="139"/>
      <c r="BY14" s="140"/>
      <c r="BZ14" s="137"/>
      <c r="CA14" s="135"/>
      <c r="CB14" s="135"/>
      <c r="CC14" s="136"/>
      <c r="CD14" s="137"/>
      <c r="CE14" s="135"/>
      <c r="CF14" s="135"/>
      <c r="CG14" s="136"/>
      <c r="CH14" s="137"/>
      <c r="CI14" s="135"/>
      <c r="CJ14" s="135"/>
      <c r="CK14" s="135"/>
      <c r="CL14" s="140"/>
      <c r="CM14" s="137"/>
      <c r="CN14" s="135"/>
      <c r="CO14" s="135"/>
      <c r="CP14" s="136"/>
      <c r="CQ14" s="133"/>
      <c r="CR14" s="131"/>
      <c r="CS14" s="131"/>
      <c r="CT14" s="132"/>
      <c r="CU14" s="133"/>
      <c r="CV14" s="131"/>
      <c r="CW14" s="131"/>
      <c r="CX14" s="132"/>
      <c r="CY14" s="133"/>
      <c r="CZ14" s="131"/>
      <c r="DA14" s="131"/>
      <c r="DB14" s="132"/>
      <c r="DC14" s="82"/>
      <c r="DD14" s="79"/>
      <c r="DE14" s="79"/>
    </row>
    <row r="15" spans="1:109" ht="24.95" customHeight="1" x14ac:dyDescent="0.55000000000000004">
      <c r="A15" s="282"/>
      <c r="B15" s="195">
        <f t="shared" ref="B15" si="10">B14</f>
        <v>1.1000000000000001</v>
      </c>
      <c r="C15" s="283"/>
      <c r="D15" s="202" t="str">
        <f t="shared" ref="D15" si="11">D14</f>
        <v>Existing Demolation</v>
      </c>
      <c r="E15" s="39"/>
      <c r="F15" s="40">
        <f t="shared" ref="F15" si="12">E14</f>
        <v>358256.64361039997</v>
      </c>
      <c r="G15" s="114" t="s">
        <v>42</v>
      </c>
      <c r="H15" s="185">
        <v>0</v>
      </c>
      <c r="I15" s="185"/>
      <c r="J15" s="185" t="s">
        <v>105</v>
      </c>
      <c r="K15" s="123">
        <f t="shared" si="5"/>
        <v>0.99999999999999989</v>
      </c>
      <c r="L15" s="115">
        <f>K15*F15</f>
        <v>358256.64361039991</v>
      </c>
      <c r="M15" s="141"/>
      <c r="N15" s="142"/>
      <c r="O15" s="142"/>
      <c r="P15" s="143"/>
      <c r="Q15" s="144"/>
      <c r="R15" s="142"/>
      <c r="S15" s="142"/>
      <c r="T15" s="143"/>
      <c r="U15" s="145">
        <v>0.02</v>
      </c>
      <c r="V15" s="142">
        <v>0.05</v>
      </c>
      <c r="W15" s="142">
        <v>0.05</v>
      </c>
      <c r="X15" s="143">
        <v>0.08</v>
      </c>
      <c r="Y15" s="144">
        <v>0.08</v>
      </c>
      <c r="Z15" s="142">
        <v>0.05</v>
      </c>
      <c r="AA15" s="142">
        <v>0.05</v>
      </c>
      <c r="AB15" s="146">
        <v>0.05</v>
      </c>
      <c r="AC15" s="143">
        <v>0.05</v>
      </c>
      <c r="AD15" s="144">
        <v>0.08</v>
      </c>
      <c r="AE15" s="142">
        <v>0.08</v>
      </c>
      <c r="AF15" s="142">
        <v>0.08</v>
      </c>
      <c r="AG15" s="143">
        <v>0.04</v>
      </c>
      <c r="AH15" s="145">
        <v>0.1</v>
      </c>
      <c r="AI15" s="142">
        <v>0.09</v>
      </c>
      <c r="AJ15" s="142">
        <v>0.05</v>
      </c>
      <c r="AK15" s="142"/>
      <c r="AL15" s="147"/>
      <c r="AM15" s="144"/>
      <c r="AN15" s="142"/>
      <c r="AO15" s="142"/>
      <c r="AP15" s="143"/>
      <c r="AQ15" s="144"/>
      <c r="AR15" s="142"/>
      <c r="AS15" s="142"/>
      <c r="AT15" s="143"/>
      <c r="AU15" s="144"/>
      <c r="AV15" s="142"/>
      <c r="AW15" s="142"/>
      <c r="AX15" s="142"/>
      <c r="AY15" s="147"/>
      <c r="AZ15" s="144"/>
      <c r="BA15" s="142"/>
      <c r="BB15" s="142"/>
      <c r="BC15" s="146"/>
      <c r="BD15" s="144"/>
      <c r="BE15" s="142"/>
      <c r="BF15" s="142"/>
      <c r="BG15" s="143"/>
      <c r="BH15" s="144"/>
      <c r="BI15" s="142"/>
      <c r="BJ15" s="142"/>
      <c r="BK15" s="142"/>
      <c r="BL15" s="147"/>
      <c r="BM15" s="144"/>
      <c r="BN15" s="142"/>
      <c r="BO15" s="142"/>
      <c r="BP15" s="143"/>
      <c r="BQ15" s="144"/>
      <c r="BR15" s="142"/>
      <c r="BS15" s="142"/>
      <c r="BT15" s="143"/>
      <c r="BU15" s="144"/>
      <c r="BV15" s="142"/>
      <c r="BW15" s="142"/>
      <c r="BX15" s="146"/>
      <c r="BY15" s="147"/>
      <c r="BZ15" s="144"/>
      <c r="CA15" s="142"/>
      <c r="CB15" s="142"/>
      <c r="CC15" s="143"/>
      <c r="CD15" s="144"/>
      <c r="CE15" s="142"/>
      <c r="CF15" s="142"/>
      <c r="CG15" s="143"/>
      <c r="CH15" s="144"/>
      <c r="CI15" s="142"/>
      <c r="CJ15" s="142"/>
      <c r="CK15" s="142"/>
      <c r="CL15" s="147"/>
      <c r="CM15" s="144"/>
      <c r="CN15" s="142"/>
      <c r="CO15" s="142"/>
      <c r="CP15" s="143"/>
      <c r="CQ15" s="130"/>
      <c r="CR15" s="128"/>
      <c r="CS15" s="128"/>
      <c r="CT15" s="129"/>
      <c r="CU15" s="130"/>
      <c r="CV15" s="128"/>
      <c r="CW15" s="128"/>
      <c r="CX15" s="129"/>
      <c r="CY15" s="130"/>
      <c r="CZ15" s="128"/>
      <c r="DA15" s="128"/>
      <c r="DB15" s="129"/>
      <c r="DC15" s="80"/>
      <c r="DD15" s="79"/>
      <c r="DE15" s="79"/>
    </row>
    <row r="16" spans="1:109" ht="24.95" customHeight="1" x14ac:dyDescent="0.55000000000000004">
      <c r="A16" s="282">
        <v>1.2</v>
      </c>
      <c r="B16" s="195">
        <f t="shared" ref="B16" si="13">A16</f>
        <v>1.2</v>
      </c>
      <c r="C16" s="283" t="s">
        <v>108</v>
      </c>
      <c r="D16" s="202" t="str">
        <f t="shared" ref="D16" si="14">C16</f>
        <v>Strucural Work</v>
      </c>
      <c r="E16" s="61">
        <f>SUM(E18:E43)</f>
        <v>15467541.048800001</v>
      </c>
      <c r="F16" s="40">
        <f t="shared" ref="F16" si="15">E16</f>
        <v>15467541.048800001</v>
      </c>
      <c r="G16" s="112" t="s">
        <v>41</v>
      </c>
      <c r="H16" s="184">
        <v>1</v>
      </c>
      <c r="I16" s="184"/>
      <c r="J16" s="184" t="s">
        <v>105</v>
      </c>
      <c r="K16" s="122">
        <f t="shared" si="5"/>
        <v>1</v>
      </c>
      <c r="L16" s="113">
        <f>L18+L20+L22+L24+L26+L28+L30+L32+L34+L36+L38+L40+L42</f>
        <v>15467541.048800003</v>
      </c>
      <c r="M16" s="134" cm="1">
        <f t="array" ref="M16">SUMPRODUCT(($G$18:$G$43="P")*$F$18:$F$43*M18:M43)/$F$16</f>
        <v>0</v>
      </c>
      <c r="N16" s="135">
        <f t="shared" ref="N16:T16" si="16">SUMPRODUCT(($G$18:$G$43="P")*$F$18:$F$43*N18:N43)/$F$16</f>
        <v>0</v>
      </c>
      <c r="O16" s="135">
        <f t="shared" si="16"/>
        <v>0</v>
      </c>
      <c r="P16" s="136">
        <f t="shared" si="16"/>
        <v>0</v>
      </c>
      <c r="Q16" s="137">
        <f t="shared" si="16"/>
        <v>0</v>
      </c>
      <c r="R16" s="135">
        <f t="shared" si="16"/>
        <v>0</v>
      </c>
      <c r="S16" s="135">
        <f t="shared" si="16"/>
        <v>0</v>
      </c>
      <c r="T16" s="136">
        <f t="shared" si="16"/>
        <v>0</v>
      </c>
      <c r="U16" s="138" cm="1">
        <f t="array" ref="U16">SUMPRODUCT(($G$18:$G$43="P")*$F$18:$F$43*U18:U43)/$F$16</f>
        <v>0</v>
      </c>
      <c r="V16" s="135">
        <f t="shared" ref="V16:BA16" si="17">SUMPRODUCT(($G$18:$G$43="P")*$F$18:$F$43*V18:V43)/$F$16</f>
        <v>0</v>
      </c>
      <c r="W16" s="135">
        <f t="shared" si="17"/>
        <v>0</v>
      </c>
      <c r="X16" s="136">
        <f t="shared" si="17"/>
        <v>0</v>
      </c>
      <c r="Y16" s="137">
        <f t="shared" si="17"/>
        <v>0</v>
      </c>
      <c r="Z16" s="135">
        <f t="shared" si="17"/>
        <v>0</v>
      </c>
      <c r="AA16" s="135">
        <f t="shared" si="17"/>
        <v>0</v>
      </c>
      <c r="AB16" s="139">
        <f t="shared" si="17"/>
        <v>0</v>
      </c>
      <c r="AC16" s="136">
        <f t="shared" si="17"/>
        <v>0</v>
      </c>
      <c r="AD16" s="137">
        <f t="shared" si="17"/>
        <v>0</v>
      </c>
      <c r="AE16" s="135">
        <f t="shared" si="17"/>
        <v>0</v>
      </c>
      <c r="AF16" s="135">
        <f t="shared" si="17"/>
        <v>0</v>
      </c>
      <c r="AG16" s="136">
        <f t="shared" si="17"/>
        <v>2.8491975008153631E-3</v>
      </c>
      <c r="AH16" s="138">
        <f t="shared" si="17"/>
        <v>2.8491975008153631E-3</v>
      </c>
      <c r="AI16" s="135">
        <f t="shared" si="17"/>
        <v>2.8491975008153631E-3</v>
      </c>
      <c r="AJ16" s="135">
        <f t="shared" si="17"/>
        <v>5.6983950016307261E-3</v>
      </c>
      <c r="AK16" s="135">
        <f t="shared" si="17"/>
        <v>3.0213339779774237E-2</v>
      </c>
      <c r="AL16" s="140">
        <f t="shared" si="17"/>
        <v>3.5911734781404962E-2</v>
      </c>
      <c r="AM16" s="137">
        <f t="shared" si="17"/>
        <v>5.0221864317616681E-2</v>
      </c>
      <c r="AN16" s="135">
        <f t="shared" si="17"/>
        <v>6.4291455828859742E-2</v>
      </c>
      <c r="AO16" s="135">
        <f t="shared" si="17"/>
        <v>7.5511849839287409E-2</v>
      </c>
      <c r="AP16" s="136">
        <f t="shared" si="17"/>
        <v>8.0250222600915633E-2</v>
      </c>
      <c r="AQ16" s="137">
        <f t="shared" si="17"/>
        <v>7.6054183339068299E-2</v>
      </c>
      <c r="AR16" s="135">
        <f t="shared" si="17"/>
        <v>7.7412652148926744E-2</v>
      </c>
      <c r="AS16" s="135">
        <f t="shared" si="17"/>
        <v>8.7923231910059033E-2</v>
      </c>
      <c r="AT16" s="136">
        <f t="shared" si="17"/>
        <v>7.543801761402312E-2</v>
      </c>
      <c r="AU16" s="137">
        <f t="shared" si="17"/>
        <v>7.4684780047156979E-2</v>
      </c>
      <c r="AV16" s="135">
        <f t="shared" si="17"/>
        <v>8.3111066381797855E-2</v>
      </c>
      <c r="AW16" s="135">
        <f t="shared" si="17"/>
        <v>3.97701258292587E-2</v>
      </c>
      <c r="AX16" s="135">
        <f t="shared" si="17"/>
        <v>3.7410598695187737E-2</v>
      </c>
      <c r="AY16" s="140">
        <f t="shared" si="17"/>
        <v>2.5388289216692651E-2</v>
      </c>
      <c r="AZ16" s="137">
        <f t="shared" si="17"/>
        <v>2.0502305070307394E-2</v>
      </c>
      <c r="BA16" s="135">
        <f t="shared" si="17"/>
        <v>1.8622349563594456E-2</v>
      </c>
      <c r="BB16" s="135">
        <f t="shared" ref="BB16:CG16" si="18">SUMPRODUCT(($G$18:$G$43="P")*$F$18:$F$43*BB18:BB43)/$F$16</f>
        <v>1.9239784723447541E-2</v>
      </c>
      <c r="BC16" s="139">
        <f t="shared" si="18"/>
        <v>1.2323757552709938E-2</v>
      </c>
      <c r="BD16" s="137">
        <f t="shared" si="18"/>
        <v>1.472403255834054E-3</v>
      </c>
      <c r="BE16" s="135">
        <f t="shared" si="18"/>
        <v>0</v>
      </c>
      <c r="BF16" s="135">
        <f t="shared" si="18"/>
        <v>0</v>
      </c>
      <c r="BG16" s="136">
        <f t="shared" si="18"/>
        <v>0</v>
      </c>
      <c r="BH16" s="137">
        <f t="shared" si="18"/>
        <v>0</v>
      </c>
      <c r="BI16" s="135">
        <f t="shared" si="18"/>
        <v>0</v>
      </c>
      <c r="BJ16" s="135">
        <f t="shared" si="18"/>
        <v>0</v>
      </c>
      <c r="BK16" s="135">
        <f t="shared" si="18"/>
        <v>0</v>
      </c>
      <c r="BL16" s="140">
        <f t="shared" si="18"/>
        <v>0</v>
      </c>
      <c r="BM16" s="137">
        <f t="shared" si="18"/>
        <v>0</v>
      </c>
      <c r="BN16" s="135">
        <f t="shared" si="18"/>
        <v>0</v>
      </c>
      <c r="BO16" s="135">
        <f t="shared" si="18"/>
        <v>0</v>
      </c>
      <c r="BP16" s="136">
        <f t="shared" si="18"/>
        <v>0</v>
      </c>
      <c r="BQ16" s="137">
        <f t="shared" si="18"/>
        <v>0</v>
      </c>
      <c r="BR16" s="135">
        <f t="shared" si="18"/>
        <v>0</v>
      </c>
      <c r="BS16" s="135">
        <f t="shared" si="18"/>
        <v>0</v>
      </c>
      <c r="BT16" s="136">
        <f t="shared" si="18"/>
        <v>0</v>
      </c>
      <c r="BU16" s="137">
        <f t="shared" si="18"/>
        <v>0</v>
      </c>
      <c r="BV16" s="135">
        <f t="shared" si="18"/>
        <v>0</v>
      </c>
      <c r="BW16" s="135">
        <f t="shared" si="18"/>
        <v>0</v>
      </c>
      <c r="BX16" s="139">
        <f t="shared" si="18"/>
        <v>0</v>
      </c>
      <c r="BY16" s="140">
        <f t="shared" si="18"/>
        <v>0</v>
      </c>
      <c r="BZ16" s="137">
        <f t="shared" si="18"/>
        <v>0</v>
      </c>
      <c r="CA16" s="135">
        <f t="shared" si="18"/>
        <v>0</v>
      </c>
      <c r="CB16" s="135">
        <f t="shared" si="18"/>
        <v>0</v>
      </c>
      <c r="CC16" s="136">
        <f t="shared" si="18"/>
        <v>0</v>
      </c>
      <c r="CD16" s="137">
        <f t="shared" si="18"/>
        <v>0</v>
      </c>
      <c r="CE16" s="135">
        <f t="shared" si="18"/>
        <v>0</v>
      </c>
      <c r="CF16" s="135">
        <f t="shared" si="18"/>
        <v>0</v>
      </c>
      <c r="CG16" s="136">
        <f t="shared" si="18"/>
        <v>0</v>
      </c>
      <c r="CH16" s="137">
        <f t="shared" ref="CH16:CP16" si="19">SUMPRODUCT(($G$18:$G$43="P")*$F$18:$F$43*CH18:CH43)/$F$16</f>
        <v>0</v>
      </c>
      <c r="CI16" s="135">
        <f t="shared" si="19"/>
        <v>0</v>
      </c>
      <c r="CJ16" s="135">
        <f t="shared" si="19"/>
        <v>0</v>
      </c>
      <c r="CK16" s="135">
        <f t="shared" si="19"/>
        <v>0</v>
      </c>
      <c r="CL16" s="140">
        <f t="shared" si="19"/>
        <v>0</v>
      </c>
      <c r="CM16" s="137">
        <f t="shared" si="19"/>
        <v>0</v>
      </c>
      <c r="CN16" s="135">
        <f t="shared" si="19"/>
        <v>0</v>
      </c>
      <c r="CO16" s="135">
        <f t="shared" si="19"/>
        <v>0</v>
      </c>
      <c r="CP16" s="136">
        <f t="shared" si="19"/>
        <v>0</v>
      </c>
      <c r="CQ16" s="133"/>
      <c r="CR16" s="131"/>
      <c r="CS16" s="131"/>
      <c r="CT16" s="132"/>
      <c r="CU16" s="133"/>
      <c r="CV16" s="131"/>
      <c r="CW16" s="131"/>
      <c r="CX16" s="132"/>
      <c r="CY16" s="133"/>
      <c r="CZ16" s="131"/>
      <c r="DA16" s="131"/>
      <c r="DB16" s="132"/>
      <c r="DC16" s="82"/>
      <c r="DD16" s="79"/>
      <c r="DE16" s="79"/>
    </row>
    <row r="17" spans="1:109" ht="24.95" customHeight="1" x14ac:dyDescent="0.55000000000000004">
      <c r="A17" s="282"/>
      <c r="B17" s="195">
        <f t="shared" ref="B17" si="20">B16</f>
        <v>1.2</v>
      </c>
      <c r="C17" s="283"/>
      <c r="D17" s="202" t="str">
        <f t="shared" ref="D17" si="21">D16</f>
        <v>Strucural Work</v>
      </c>
      <c r="E17" s="39"/>
      <c r="F17" s="40">
        <f t="shared" ref="F17" si="22">E16</f>
        <v>15467541.048800001</v>
      </c>
      <c r="G17" s="114" t="s">
        <v>42</v>
      </c>
      <c r="H17" s="185">
        <v>1</v>
      </c>
      <c r="I17" s="185"/>
      <c r="J17" s="185" t="s">
        <v>105</v>
      </c>
      <c r="K17" s="123">
        <f t="shared" si="5"/>
        <v>0.48765584501204129</v>
      </c>
      <c r="L17" s="115">
        <f>L19+L21+L23+L25+L27+L29+L31+L33+L35+L37+L39+L41+L43</f>
        <v>7542836.8004109981</v>
      </c>
      <c r="M17" s="141" cm="1">
        <f t="array" ref="M17">SUMPRODUCT(($G$18:$G$43="A")*$F$18:$F$43*M18:M43)/$F$17</f>
        <v>0</v>
      </c>
      <c r="N17" s="142" cm="1">
        <f t="array" ref="N17">SUMPRODUCT(($G$18:$G$43="A")*$F$18:$F$43*N18:N43)/$F$17</f>
        <v>0</v>
      </c>
      <c r="O17" s="142" cm="1">
        <f t="array" ref="O17">SUMPRODUCT(($G$18:$G$43="A")*$F$18:$F$43*O18:O43)/$F$17</f>
        <v>0</v>
      </c>
      <c r="P17" s="143" cm="1">
        <f t="array" ref="P17">SUMPRODUCT(($G$18:$G$43="A")*$F$18:$F$43*P18:P43)/$F$17</f>
        <v>0</v>
      </c>
      <c r="Q17" s="144" cm="1">
        <f t="array" ref="Q17">SUMPRODUCT(($G$18:$G$43="A")*$F$18:$F$43*Q18:Q43)/$F$17</f>
        <v>0</v>
      </c>
      <c r="R17" s="142" cm="1">
        <f t="array" ref="R17">SUMPRODUCT(($G$18:$G$43="A")*$F$18:$F$43*R18:R43)/$F$17</f>
        <v>0</v>
      </c>
      <c r="S17" s="142" cm="1">
        <f t="array" ref="S17">SUMPRODUCT(($G$18:$G$43="A")*$F$18:$F$43*S18:S43)/$F$17</f>
        <v>0</v>
      </c>
      <c r="T17" s="143" cm="1">
        <f t="array" ref="T17">SUMPRODUCT(($G$18:$G$43="A")*$F$18:$F$43*T18:T43)/$F$17</f>
        <v>0</v>
      </c>
      <c r="U17" s="145" cm="1">
        <f t="array" ref="U17">SUMPRODUCT(($G$18:$G$43="A")*$F$18:$F$43*U18:U43)/$F$17</f>
        <v>0</v>
      </c>
      <c r="V17" s="142" cm="1">
        <f t="array" ref="V17">SUMPRODUCT(($G$18:$G$43="A")*$F$18:$F$43*V18:V43)/$F$17</f>
        <v>0</v>
      </c>
      <c r="W17" s="142" cm="1">
        <f t="array" ref="W17">SUMPRODUCT(($G$18:$G$43="A")*$F$18:$F$43*W18:W43)/$F$17</f>
        <v>0</v>
      </c>
      <c r="X17" s="143" cm="1">
        <f t="array" ref="X17">SUMPRODUCT(($G$18:$G$43="A")*$F$18:$F$43*X18:X43)/$F$17</f>
        <v>0</v>
      </c>
      <c r="Y17" s="144" cm="1">
        <f t="array" ref="Y17">SUMPRODUCT(($G$18:$G$43="A")*$F$18:$F$43*Y18:Y43)/$F$17</f>
        <v>0</v>
      </c>
      <c r="Z17" s="142" cm="1">
        <f t="array" ref="Z17">SUMPRODUCT(($G$18:$G$43="A")*$F$18:$F$43*Z18:Z43)/$F$17</f>
        <v>0</v>
      </c>
      <c r="AA17" s="142" cm="1">
        <f t="array" ref="AA17">SUMPRODUCT(($G$18:$G$43="A")*$F$18:$F$43*AA18:AA43)/$F$17</f>
        <v>0</v>
      </c>
      <c r="AB17" s="146" cm="1">
        <f t="array" ref="AB17">SUMPRODUCT(($G$18:$G$43="A")*$F$18:$F$43*AB18:AB43)/$F$17</f>
        <v>0</v>
      </c>
      <c r="AC17" s="143" cm="1">
        <f t="array" ref="AC17">SUMPRODUCT(($G$18:$G$43="A")*$F$18:$F$43*AC18:AC43)/$F$17</f>
        <v>0</v>
      </c>
      <c r="AD17" s="144" cm="1">
        <f t="array" ref="AD17">SUMPRODUCT(($G$18:$G$43="A")*$F$18:$F$43*AD18:AD43)/$F$17</f>
        <v>0</v>
      </c>
      <c r="AE17" s="142" cm="1">
        <f t="array" ref="AE17">SUMPRODUCT(($G$18:$G$43="A")*$F$18:$F$43*AE18:AE43)/$F$17</f>
        <v>0</v>
      </c>
      <c r="AF17" s="142" cm="1">
        <f t="array" ref="AF17">SUMPRODUCT(($G$18:$G$43="A")*$F$18:$F$43*AF18:AF43)/$F$17</f>
        <v>0</v>
      </c>
      <c r="AG17" s="143" cm="1">
        <f t="array" ref="AG17">SUMPRODUCT(($G$18:$G$43="A")*$F$18:$F$43*AG18:AG43)/$F$17</f>
        <v>2.8491975008153631E-3</v>
      </c>
      <c r="AH17" s="145" cm="1">
        <f t="array" ref="AH17">SUMPRODUCT(($G$18:$G$43="A")*$F$18:$F$43*AH18:AH43)/$F$17</f>
        <v>4.5587160013045806E-3</v>
      </c>
      <c r="AI17" s="142" cm="1">
        <f t="array" ref="AI17">SUMPRODUCT(($G$18:$G$43="A")*$F$18:$F$43*AI18:AI43)/$F$17</f>
        <v>5.6983950016307261E-3</v>
      </c>
      <c r="AJ17" s="142" cm="1">
        <f t="array" ref="AJ17">SUMPRODUCT(($G$18:$G$43="A")*$F$18:$F$43*AJ18:AJ43)/$F$17</f>
        <v>8.5475925024460896E-3</v>
      </c>
      <c r="AK17" s="142" cm="1">
        <f t="array" ref="AK17">SUMPRODUCT(($G$18:$G$43="A")*$F$18:$F$43*AK18:AK43)/$F$17</f>
        <v>2.2349932654409859E-2</v>
      </c>
      <c r="AL17" s="147">
        <f t="shared" ref="AL17:BQ17" si="23">SUMPRODUCT(($G$18:$G$43="A")*$F$18:$F$43*AL18:AL43)/$F$16</f>
        <v>2.5199130155225218E-2</v>
      </c>
      <c r="AM17" s="144">
        <f t="shared" si="23"/>
        <v>3.1353018780100383E-2</v>
      </c>
      <c r="AN17" s="142">
        <f t="shared" si="23"/>
        <v>3.8160042145858213E-2</v>
      </c>
      <c r="AO17" s="142">
        <f t="shared" si="23"/>
        <v>4.6263987296191258E-2</v>
      </c>
      <c r="AP17" s="143">
        <f t="shared" si="23"/>
        <v>5.4401068572388314E-2</v>
      </c>
      <c r="AQ17" s="144">
        <f t="shared" si="23"/>
        <v>5.1401197388493844E-2</v>
      </c>
      <c r="AR17" s="142">
        <f t="shared" si="23"/>
        <v>5.278258326505874E-2</v>
      </c>
      <c r="AS17" s="142">
        <f t="shared" si="23"/>
        <v>7.542177432039246E-2</v>
      </c>
      <c r="AT17" s="143">
        <f t="shared" si="23"/>
        <v>6.866920942772628E-2</v>
      </c>
      <c r="AU17" s="144">
        <f t="shared" si="23"/>
        <v>0</v>
      </c>
      <c r="AV17" s="142">
        <f t="shared" si="23"/>
        <v>0</v>
      </c>
      <c r="AW17" s="142">
        <f t="shared" si="23"/>
        <v>0</v>
      </c>
      <c r="AX17" s="142">
        <f t="shared" si="23"/>
        <v>0</v>
      </c>
      <c r="AY17" s="147">
        <f t="shared" si="23"/>
        <v>0</v>
      </c>
      <c r="AZ17" s="144">
        <f t="shared" si="23"/>
        <v>0</v>
      </c>
      <c r="BA17" s="142">
        <f t="shared" si="23"/>
        <v>0</v>
      </c>
      <c r="BB17" s="142">
        <f t="shared" si="23"/>
        <v>0</v>
      </c>
      <c r="BC17" s="146">
        <f t="shared" si="23"/>
        <v>0</v>
      </c>
      <c r="BD17" s="144">
        <f t="shared" si="23"/>
        <v>0</v>
      </c>
      <c r="BE17" s="142">
        <f t="shared" si="23"/>
        <v>0</v>
      </c>
      <c r="BF17" s="142">
        <f t="shared" si="23"/>
        <v>0</v>
      </c>
      <c r="BG17" s="143">
        <f t="shared" si="23"/>
        <v>0</v>
      </c>
      <c r="BH17" s="144">
        <f t="shared" si="23"/>
        <v>0</v>
      </c>
      <c r="BI17" s="142">
        <f t="shared" si="23"/>
        <v>0</v>
      </c>
      <c r="BJ17" s="142">
        <f t="shared" si="23"/>
        <v>0</v>
      </c>
      <c r="BK17" s="142">
        <f t="shared" si="23"/>
        <v>0</v>
      </c>
      <c r="BL17" s="147">
        <f t="shared" si="23"/>
        <v>0</v>
      </c>
      <c r="BM17" s="144">
        <f t="shared" si="23"/>
        <v>0</v>
      </c>
      <c r="BN17" s="142">
        <f t="shared" si="23"/>
        <v>0</v>
      </c>
      <c r="BO17" s="142">
        <f t="shared" si="23"/>
        <v>0</v>
      </c>
      <c r="BP17" s="143">
        <f t="shared" si="23"/>
        <v>0</v>
      </c>
      <c r="BQ17" s="144">
        <f t="shared" si="23"/>
        <v>0</v>
      </c>
      <c r="BR17" s="142">
        <f t="shared" ref="BR17:CW17" si="24">SUMPRODUCT(($G$18:$G$43="A")*$F$18:$F$43*BR18:BR43)/$F$16</f>
        <v>0</v>
      </c>
      <c r="BS17" s="142">
        <f t="shared" si="24"/>
        <v>0</v>
      </c>
      <c r="BT17" s="143">
        <f t="shared" si="24"/>
        <v>0</v>
      </c>
      <c r="BU17" s="144">
        <f t="shared" si="24"/>
        <v>0</v>
      </c>
      <c r="BV17" s="142">
        <f t="shared" si="24"/>
        <v>0</v>
      </c>
      <c r="BW17" s="142">
        <f t="shared" si="24"/>
        <v>0</v>
      </c>
      <c r="BX17" s="146">
        <f t="shared" si="24"/>
        <v>0</v>
      </c>
      <c r="BY17" s="147">
        <f t="shared" si="24"/>
        <v>0</v>
      </c>
      <c r="BZ17" s="144">
        <f t="shared" si="24"/>
        <v>0</v>
      </c>
      <c r="CA17" s="142">
        <f t="shared" si="24"/>
        <v>0</v>
      </c>
      <c r="CB17" s="142">
        <f t="shared" si="24"/>
        <v>0</v>
      </c>
      <c r="CC17" s="143">
        <f t="shared" si="24"/>
        <v>0</v>
      </c>
      <c r="CD17" s="144">
        <f t="shared" si="24"/>
        <v>0</v>
      </c>
      <c r="CE17" s="142">
        <f t="shared" si="24"/>
        <v>0</v>
      </c>
      <c r="CF17" s="142">
        <f t="shared" si="24"/>
        <v>0</v>
      </c>
      <c r="CG17" s="143">
        <f t="shared" si="24"/>
        <v>0</v>
      </c>
      <c r="CH17" s="144">
        <f t="shared" si="24"/>
        <v>0</v>
      </c>
      <c r="CI17" s="142">
        <f t="shared" si="24"/>
        <v>0</v>
      </c>
      <c r="CJ17" s="142">
        <f t="shared" si="24"/>
        <v>0</v>
      </c>
      <c r="CK17" s="142">
        <f t="shared" si="24"/>
        <v>0</v>
      </c>
      <c r="CL17" s="147">
        <f t="shared" si="24"/>
        <v>0</v>
      </c>
      <c r="CM17" s="144">
        <f t="shared" si="24"/>
        <v>0</v>
      </c>
      <c r="CN17" s="142">
        <f t="shared" si="24"/>
        <v>0</v>
      </c>
      <c r="CO17" s="142">
        <f t="shared" si="24"/>
        <v>0</v>
      </c>
      <c r="CP17" s="143">
        <f t="shared" si="24"/>
        <v>0</v>
      </c>
      <c r="CQ17" s="147">
        <f t="shared" si="24"/>
        <v>0</v>
      </c>
      <c r="CR17" s="147">
        <f t="shared" si="24"/>
        <v>0</v>
      </c>
      <c r="CS17" s="147">
        <f t="shared" si="24"/>
        <v>0</v>
      </c>
      <c r="CT17" s="147">
        <f t="shared" si="24"/>
        <v>0</v>
      </c>
      <c r="CU17" s="147">
        <f t="shared" si="24"/>
        <v>0</v>
      </c>
      <c r="CV17" s="147">
        <f t="shared" si="24"/>
        <v>0</v>
      </c>
      <c r="CW17" s="147">
        <f t="shared" si="24"/>
        <v>0</v>
      </c>
      <c r="CX17" s="147">
        <f t="shared" ref="CX17:DC17" si="25">SUMPRODUCT(($G$18:$G$43="A")*$F$18:$F$43*CX18:CX43)/$F$16</f>
        <v>0</v>
      </c>
      <c r="CY17" s="147">
        <f t="shared" si="25"/>
        <v>0</v>
      </c>
      <c r="CZ17" s="147">
        <f t="shared" si="25"/>
        <v>0</v>
      </c>
      <c r="DA17" s="147">
        <f t="shared" si="25"/>
        <v>0</v>
      </c>
      <c r="DB17" s="147">
        <f t="shared" si="25"/>
        <v>0</v>
      </c>
      <c r="DC17" s="147">
        <f t="shared" si="25"/>
        <v>0</v>
      </c>
      <c r="DD17" s="79"/>
      <c r="DE17" s="79"/>
    </row>
    <row r="18" spans="1:109" ht="24.95" customHeight="1" outlineLevel="1" x14ac:dyDescent="0.55000000000000004">
      <c r="A18" s="284" t="s">
        <v>44</v>
      </c>
      <c r="B18" s="196" t="str">
        <f t="shared" ref="B18" si="26">A18</f>
        <v>1.2.1</v>
      </c>
      <c r="C18" s="285" t="s">
        <v>109</v>
      </c>
      <c r="D18" s="203" t="str">
        <f t="shared" ref="D18" si="27">C18</f>
        <v>Lift</v>
      </c>
      <c r="E18" s="41">
        <v>1038486.6489</v>
      </c>
      <c r="F18" s="42">
        <f t="shared" ref="F18" si="28">E18</f>
        <v>1038486.6489</v>
      </c>
      <c r="G18" s="81" t="s">
        <v>41</v>
      </c>
      <c r="H18" s="189">
        <v>0</v>
      </c>
      <c r="I18" s="189"/>
      <c r="J18" s="189"/>
      <c r="K18" s="120">
        <f t="shared" si="5"/>
        <v>0.99999999999999989</v>
      </c>
      <c r="L18" s="110">
        <f t="shared" ref="L18:L43" si="29">K18*F18</f>
        <v>1038486.6488999999</v>
      </c>
      <c r="M18" s="134"/>
      <c r="N18" s="135"/>
      <c r="O18" s="135"/>
      <c r="P18" s="136"/>
      <c r="Q18" s="137"/>
      <c r="R18" s="135"/>
      <c r="S18" s="135"/>
      <c r="T18" s="136"/>
      <c r="U18" s="155"/>
      <c r="V18" s="149"/>
      <c r="W18" s="149"/>
      <c r="X18" s="156"/>
      <c r="Y18" s="157"/>
      <c r="Z18" s="149"/>
      <c r="AA18" s="149"/>
      <c r="AB18" s="158"/>
      <c r="AC18" s="156"/>
      <c r="AD18" s="157"/>
      <c r="AE18" s="149"/>
      <c r="AF18" s="149"/>
      <c r="AG18" s="156"/>
      <c r="AH18" s="155"/>
      <c r="AI18" s="149">
        <v>0</v>
      </c>
      <c r="AJ18" s="149"/>
      <c r="AK18" s="149"/>
      <c r="AL18" s="150"/>
      <c r="AM18" s="151">
        <v>0.05</v>
      </c>
      <c r="AN18" s="152">
        <v>0.1</v>
      </c>
      <c r="AO18" s="152">
        <v>0.15</v>
      </c>
      <c r="AP18" s="153">
        <v>0.2</v>
      </c>
      <c r="AQ18" s="151">
        <v>0.2</v>
      </c>
      <c r="AR18" s="152">
        <v>0.1</v>
      </c>
      <c r="AS18" s="152">
        <v>0.1</v>
      </c>
      <c r="AT18" s="153">
        <v>0.1</v>
      </c>
      <c r="AU18" s="137"/>
      <c r="AV18" s="135"/>
      <c r="AW18" s="135"/>
      <c r="AX18" s="135"/>
      <c r="AY18" s="140"/>
      <c r="AZ18" s="137"/>
      <c r="BA18" s="135"/>
      <c r="BB18" s="135"/>
      <c r="BC18" s="139"/>
      <c r="BD18" s="137"/>
      <c r="BE18" s="135"/>
      <c r="BF18" s="135"/>
      <c r="BG18" s="136"/>
      <c r="BH18" s="137"/>
      <c r="BI18" s="135"/>
      <c r="BJ18" s="135"/>
      <c r="BK18" s="135"/>
      <c r="BL18" s="140"/>
      <c r="BM18" s="137"/>
      <c r="BN18" s="135"/>
      <c r="BO18" s="135"/>
      <c r="BP18" s="136"/>
      <c r="BQ18" s="137"/>
      <c r="BR18" s="135"/>
      <c r="BS18" s="135"/>
      <c r="BT18" s="136"/>
      <c r="BU18" s="137"/>
      <c r="BV18" s="135"/>
      <c r="BW18" s="135"/>
      <c r="BX18" s="139"/>
      <c r="BY18" s="140"/>
      <c r="BZ18" s="137"/>
      <c r="CA18" s="135"/>
      <c r="CB18" s="135"/>
      <c r="CC18" s="136"/>
      <c r="CD18" s="137"/>
      <c r="CE18" s="135"/>
      <c r="CF18" s="135"/>
      <c r="CG18" s="136"/>
      <c r="CH18" s="137"/>
      <c r="CI18" s="135"/>
      <c r="CJ18" s="135"/>
      <c r="CK18" s="135"/>
      <c r="CL18" s="140"/>
      <c r="CM18" s="137"/>
      <c r="CN18" s="135"/>
      <c r="CO18" s="135"/>
      <c r="CP18" s="136"/>
      <c r="CQ18" s="133"/>
      <c r="CR18" s="131"/>
      <c r="CS18" s="131"/>
      <c r="CT18" s="132"/>
      <c r="CU18" s="133"/>
      <c r="CV18" s="131"/>
      <c r="CW18" s="131"/>
      <c r="CX18" s="132"/>
      <c r="CY18" s="133"/>
      <c r="CZ18" s="131"/>
      <c r="DA18" s="131"/>
      <c r="DB18" s="132"/>
      <c r="DC18" s="82"/>
      <c r="DD18" s="79"/>
      <c r="DE18" s="79"/>
    </row>
    <row r="19" spans="1:109" ht="24.95" customHeight="1" outlineLevel="1" x14ac:dyDescent="0.55000000000000004">
      <c r="A19" s="284"/>
      <c r="B19" s="196" t="str">
        <f t="shared" ref="B19" si="30">B18</f>
        <v>1.2.1</v>
      </c>
      <c r="C19" s="285"/>
      <c r="D19" s="203" t="str">
        <f t="shared" ref="D19" si="31">D18</f>
        <v>Lift</v>
      </c>
      <c r="E19" s="41"/>
      <c r="F19" s="42">
        <f t="shared" ref="F19" si="32">E18</f>
        <v>1038486.6489</v>
      </c>
      <c r="G19" s="83" t="s">
        <v>42</v>
      </c>
      <c r="H19" s="190">
        <v>0</v>
      </c>
      <c r="I19" s="190"/>
      <c r="J19" s="190"/>
      <c r="K19" s="121">
        <f t="shared" si="5"/>
        <v>0.48000000000000004</v>
      </c>
      <c r="L19" s="111">
        <f t="shared" si="29"/>
        <v>498473.59147200006</v>
      </c>
      <c r="M19" s="141"/>
      <c r="N19" s="142"/>
      <c r="O19" s="142"/>
      <c r="P19" s="143"/>
      <c r="Q19" s="144"/>
      <c r="R19" s="154"/>
      <c r="S19" s="142"/>
      <c r="T19" s="143"/>
      <c r="U19" s="145"/>
      <c r="V19" s="142"/>
      <c r="W19" s="142"/>
      <c r="X19" s="143"/>
      <c r="Y19" s="144"/>
      <c r="Z19" s="142"/>
      <c r="AA19" s="142"/>
      <c r="AB19" s="146"/>
      <c r="AC19" s="143"/>
      <c r="AD19" s="144"/>
      <c r="AE19" s="142"/>
      <c r="AF19" s="142"/>
      <c r="AG19" s="143"/>
      <c r="AH19" s="145"/>
      <c r="AI19" s="142"/>
      <c r="AJ19" s="142"/>
      <c r="AK19" s="142"/>
      <c r="AL19" s="147"/>
      <c r="AM19" s="144"/>
      <c r="AN19" s="142">
        <v>0.08</v>
      </c>
      <c r="AO19" s="142">
        <v>0.08</v>
      </c>
      <c r="AP19" s="143">
        <v>0.08</v>
      </c>
      <c r="AQ19" s="144">
        <v>0.08</v>
      </c>
      <c r="AR19" s="142">
        <v>0.08</v>
      </c>
      <c r="AS19" s="142">
        <v>0.08</v>
      </c>
      <c r="AT19" s="143"/>
      <c r="AU19" s="144"/>
      <c r="AV19" s="142"/>
      <c r="AW19" s="142"/>
      <c r="AX19" s="142"/>
      <c r="AY19" s="147"/>
      <c r="AZ19" s="144"/>
      <c r="BA19" s="142"/>
      <c r="BB19" s="142"/>
      <c r="BC19" s="146"/>
      <c r="BD19" s="144"/>
      <c r="BE19" s="142"/>
      <c r="BF19" s="142"/>
      <c r="BG19" s="143"/>
      <c r="BH19" s="144"/>
      <c r="BI19" s="142"/>
      <c r="BJ19" s="142"/>
      <c r="BK19" s="142"/>
      <c r="BL19" s="147"/>
      <c r="BM19" s="144"/>
      <c r="BN19" s="142"/>
      <c r="BO19" s="142"/>
      <c r="BP19" s="143"/>
      <c r="BQ19" s="144"/>
      <c r="BR19" s="142"/>
      <c r="BS19" s="142"/>
      <c r="BT19" s="143"/>
      <c r="BU19" s="144"/>
      <c r="BV19" s="142"/>
      <c r="BW19" s="142"/>
      <c r="BX19" s="146"/>
      <c r="BY19" s="147"/>
      <c r="BZ19" s="144"/>
      <c r="CA19" s="142"/>
      <c r="CB19" s="142"/>
      <c r="CC19" s="143"/>
      <c r="CD19" s="144"/>
      <c r="CE19" s="142"/>
      <c r="CF19" s="142"/>
      <c r="CG19" s="143"/>
      <c r="CH19" s="144"/>
      <c r="CI19" s="142"/>
      <c r="CJ19" s="142"/>
      <c r="CK19" s="142"/>
      <c r="CL19" s="147"/>
      <c r="CM19" s="144"/>
      <c r="CN19" s="142"/>
      <c r="CO19" s="142"/>
      <c r="CP19" s="143"/>
      <c r="CQ19" s="130"/>
      <c r="CR19" s="128"/>
      <c r="CS19" s="128"/>
      <c r="CT19" s="129"/>
      <c r="CU19" s="130"/>
      <c r="CV19" s="128"/>
      <c r="CW19" s="128"/>
      <c r="CX19" s="129"/>
      <c r="CY19" s="130"/>
      <c r="CZ19" s="128"/>
      <c r="DA19" s="128"/>
      <c r="DB19" s="129"/>
      <c r="DC19" s="80"/>
      <c r="DD19" s="79"/>
      <c r="DE19" s="79"/>
    </row>
    <row r="20" spans="1:109" ht="24.95" customHeight="1" outlineLevel="1" x14ac:dyDescent="0.55000000000000004">
      <c r="A20" s="284" t="s">
        <v>45</v>
      </c>
      <c r="B20" s="196" t="str">
        <f t="shared" ref="B20" si="33">A20</f>
        <v>1.2.2</v>
      </c>
      <c r="C20" s="285" t="s">
        <v>110</v>
      </c>
      <c r="D20" s="203" t="str">
        <f t="shared" ref="D20" si="34">C20</f>
        <v>Roof</v>
      </c>
      <c r="E20" s="41">
        <v>4195354.6218999997</v>
      </c>
      <c r="F20" s="42">
        <f t="shared" ref="F20" si="35">E20</f>
        <v>4195354.6218999997</v>
      </c>
      <c r="G20" s="81" t="s">
        <v>41</v>
      </c>
      <c r="H20" s="189">
        <v>0</v>
      </c>
      <c r="I20" s="189"/>
      <c r="J20" s="189"/>
      <c r="K20" s="120">
        <f t="shared" si="5"/>
        <v>1</v>
      </c>
      <c r="L20" s="110">
        <f t="shared" si="29"/>
        <v>4195354.6218999997</v>
      </c>
      <c r="M20" s="134"/>
      <c r="N20" s="135"/>
      <c r="O20" s="135"/>
      <c r="P20" s="136"/>
      <c r="Q20" s="137"/>
      <c r="R20" s="135"/>
      <c r="S20" s="135"/>
      <c r="T20" s="136"/>
      <c r="U20" s="155"/>
      <c r="V20" s="149"/>
      <c r="W20" s="149"/>
      <c r="X20" s="156"/>
      <c r="Y20" s="157"/>
      <c r="Z20" s="149"/>
      <c r="AA20" s="149"/>
      <c r="AB20" s="158"/>
      <c r="AC20" s="156"/>
      <c r="AD20" s="137"/>
      <c r="AE20" s="135"/>
      <c r="AF20" s="135"/>
      <c r="AG20" s="136"/>
      <c r="AH20" s="138"/>
      <c r="AI20" s="135"/>
      <c r="AJ20" s="135"/>
      <c r="AK20" s="152">
        <v>0.05</v>
      </c>
      <c r="AL20" s="159">
        <v>0.05</v>
      </c>
      <c r="AM20" s="151">
        <v>0.05</v>
      </c>
      <c r="AN20" s="152">
        <v>0.1</v>
      </c>
      <c r="AO20" s="152">
        <v>0.15</v>
      </c>
      <c r="AP20" s="153">
        <v>0.15</v>
      </c>
      <c r="AQ20" s="151">
        <v>0.1</v>
      </c>
      <c r="AR20" s="152">
        <v>0.1</v>
      </c>
      <c r="AS20" s="152">
        <v>0.1</v>
      </c>
      <c r="AT20" s="153">
        <v>0.05</v>
      </c>
      <c r="AU20" s="151">
        <v>0.05</v>
      </c>
      <c r="AV20" s="152">
        <v>0.05</v>
      </c>
      <c r="AW20" s="135"/>
      <c r="AX20" s="135"/>
      <c r="AY20" s="140"/>
      <c r="AZ20" s="137"/>
      <c r="BA20" s="135"/>
      <c r="BB20" s="135"/>
      <c r="BC20" s="139"/>
      <c r="BD20" s="137"/>
      <c r="BE20" s="135"/>
      <c r="BF20" s="135"/>
      <c r="BG20" s="136"/>
      <c r="BH20" s="137"/>
      <c r="BI20" s="135"/>
      <c r="BJ20" s="135"/>
      <c r="BK20" s="135"/>
      <c r="BL20" s="140"/>
      <c r="BM20" s="137"/>
      <c r="BN20" s="135"/>
      <c r="BO20" s="135"/>
      <c r="BP20" s="136"/>
      <c r="BQ20" s="137"/>
      <c r="BR20" s="135"/>
      <c r="BS20" s="135"/>
      <c r="BT20" s="136"/>
      <c r="BU20" s="137"/>
      <c r="BV20" s="135"/>
      <c r="BW20" s="135"/>
      <c r="BX20" s="139"/>
      <c r="BY20" s="140"/>
      <c r="BZ20" s="137"/>
      <c r="CA20" s="135"/>
      <c r="CB20" s="135"/>
      <c r="CC20" s="136"/>
      <c r="CD20" s="137"/>
      <c r="CE20" s="135"/>
      <c r="CF20" s="135"/>
      <c r="CG20" s="136"/>
      <c r="CH20" s="137"/>
      <c r="CI20" s="135"/>
      <c r="CJ20" s="135"/>
      <c r="CK20" s="135"/>
      <c r="CL20" s="140"/>
      <c r="CM20" s="137"/>
      <c r="CN20" s="135"/>
      <c r="CO20" s="135"/>
      <c r="CP20" s="136"/>
      <c r="CQ20" s="133"/>
      <c r="CR20" s="131"/>
      <c r="CS20" s="131"/>
      <c r="CT20" s="132"/>
      <c r="CU20" s="133"/>
      <c r="CV20" s="131"/>
      <c r="CW20" s="131"/>
      <c r="CX20" s="132"/>
      <c r="CY20" s="133"/>
      <c r="CZ20" s="131"/>
      <c r="DA20" s="131"/>
      <c r="DB20" s="132"/>
      <c r="DC20" s="82"/>
      <c r="DD20" s="79"/>
      <c r="DE20" s="79"/>
    </row>
    <row r="21" spans="1:109" ht="24.95" customHeight="1" outlineLevel="1" x14ac:dyDescent="0.55000000000000004">
      <c r="A21" s="284"/>
      <c r="B21" s="196" t="str">
        <f t="shared" ref="B21" si="36">B20</f>
        <v>1.2.2</v>
      </c>
      <c r="C21" s="285"/>
      <c r="D21" s="203" t="str">
        <f t="shared" ref="D21" si="37">D20</f>
        <v>Roof</v>
      </c>
      <c r="E21" s="41"/>
      <c r="F21" s="42">
        <f t="shared" ref="F21" si="38">E20</f>
        <v>4195354.6218999997</v>
      </c>
      <c r="G21" s="83" t="s">
        <v>42</v>
      </c>
      <c r="H21" s="190">
        <v>0</v>
      </c>
      <c r="I21" s="190"/>
      <c r="J21" s="190"/>
      <c r="K21" s="121">
        <f t="shared" si="5"/>
        <v>0.69</v>
      </c>
      <c r="L21" s="111">
        <f t="shared" si="29"/>
        <v>2894794.6891109995</v>
      </c>
      <c r="M21" s="141"/>
      <c r="N21" s="142"/>
      <c r="O21" s="142"/>
      <c r="P21" s="143"/>
      <c r="Q21" s="144"/>
      <c r="R21" s="154"/>
      <c r="S21" s="142"/>
      <c r="T21" s="143"/>
      <c r="U21" s="145"/>
      <c r="V21" s="142"/>
      <c r="W21" s="142"/>
      <c r="X21" s="143"/>
      <c r="Y21" s="144"/>
      <c r="Z21" s="142"/>
      <c r="AA21" s="142"/>
      <c r="AB21" s="146"/>
      <c r="AC21" s="143"/>
      <c r="AD21" s="144"/>
      <c r="AE21" s="142"/>
      <c r="AF21" s="142"/>
      <c r="AG21" s="143"/>
      <c r="AH21" s="145"/>
      <c r="AI21" s="142"/>
      <c r="AJ21" s="142"/>
      <c r="AK21" s="142"/>
      <c r="AL21" s="147"/>
      <c r="AM21" s="144">
        <v>0.05</v>
      </c>
      <c r="AN21" s="142">
        <v>7.0000000000000007E-2</v>
      </c>
      <c r="AO21" s="142">
        <v>7.0000000000000007E-2</v>
      </c>
      <c r="AP21" s="143">
        <v>0.1</v>
      </c>
      <c r="AQ21" s="144">
        <v>0.1</v>
      </c>
      <c r="AR21" s="142">
        <v>0.1</v>
      </c>
      <c r="AS21" s="142">
        <v>0.1</v>
      </c>
      <c r="AT21" s="143">
        <v>0.1</v>
      </c>
      <c r="AU21" s="144"/>
      <c r="AV21" s="142"/>
      <c r="AW21" s="142"/>
      <c r="AX21" s="142"/>
      <c r="AY21" s="147"/>
      <c r="AZ21" s="144"/>
      <c r="BA21" s="142"/>
      <c r="BB21" s="142"/>
      <c r="BC21" s="146"/>
      <c r="BD21" s="144"/>
      <c r="BE21" s="142"/>
      <c r="BF21" s="142"/>
      <c r="BG21" s="143"/>
      <c r="BH21" s="144"/>
      <c r="BI21" s="142"/>
      <c r="BJ21" s="142"/>
      <c r="BK21" s="142"/>
      <c r="BL21" s="147"/>
      <c r="BM21" s="144"/>
      <c r="BN21" s="142"/>
      <c r="BO21" s="142"/>
      <c r="BP21" s="143"/>
      <c r="BQ21" s="144"/>
      <c r="BR21" s="142"/>
      <c r="BS21" s="142"/>
      <c r="BT21" s="143"/>
      <c r="BU21" s="144"/>
      <c r="BV21" s="142"/>
      <c r="BW21" s="142"/>
      <c r="BX21" s="146"/>
      <c r="BY21" s="147"/>
      <c r="BZ21" s="144"/>
      <c r="CA21" s="142"/>
      <c r="CB21" s="142"/>
      <c r="CC21" s="143"/>
      <c r="CD21" s="144"/>
      <c r="CE21" s="142"/>
      <c r="CF21" s="142"/>
      <c r="CG21" s="143"/>
      <c r="CH21" s="144"/>
      <c r="CI21" s="142"/>
      <c r="CJ21" s="142"/>
      <c r="CK21" s="142"/>
      <c r="CL21" s="147"/>
      <c r="CM21" s="144"/>
      <c r="CN21" s="142"/>
      <c r="CO21" s="142"/>
      <c r="CP21" s="143"/>
      <c r="CQ21" s="130"/>
      <c r="CR21" s="128"/>
      <c r="CS21" s="128"/>
      <c r="CT21" s="129"/>
      <c r="CU21" s="130"/>
      <c r="CV21" s="128"/>
      <c r="CW21" s="128"/>
      <c r="CX21" s="129"/>
      <c r="CY21" s="130"/>
      <c r="CZ21" s="128"/>
      <c r="DA21" s="128"/>
      <c r="DB21" s="129"/>
      <c r="DC21" s="80"/>
      <c r="DD21" s="79"/>
      <c r="DE21" s="79"/>
    </row>
    <row r="22" spans="1:109" ht="24.95" customHeight="1" outlineLevel="1" x14ac:dyDescent="0.55000000000000004">
      <c r="A22" s="284" t="s">
        <v>46</v>
      </c>
      <c r="B22" s="196" t="str">
        <f t="shared" ref="B22" si="39">A22</f>
        <v>1.2.3</v>
      </c>
      <c r="C22" s="285" t="s">
        <v>111</v>
      </c>
      <c r="D22" s="204" t="str">
        <f t="shared" ref="D22" si="40">C22</f>
        <v>Roof Level2</v>
      </c>
      <c r="E22" s="41">
        <v>1034941.9422</v>
      </c>
      <c r="F22" s="42">
        <f t="shared" ref="F22" si="41">E22</f>
        <v>1034941.9422</v>
      </c>
      <c r="G22" s="81" t="s">
        <v>41</v>
      </c>
      <c r="H22" s="189">
        <v>0</v>
      </c>
      <c r="I22" s="189"/>
      <c r="J22" s="189"/>
      <c r="K22" s="120">
        <f t="shared" si="5"/>
        <v>1</v>
      </c>
      <c r="L22" s="110">
        <f t="shared" si="29"/>
        <v>1034941.9422</v>
      </c>
      <c r="M22" s="134"/>
      <c r="N22" s="135"/>
      <c r="O22" s="135"/>
      <c r="P22" s="136"/>
      <c r="Q22" s="137"/>
      <c r="R22" s="135"/>
      <c r="S22" s="135"/>
      <c r="T22" s="136"/>
      <c r="U22" s="138"/>
      <c r="V22" s="135"/>
      <c r="W22" s="135"/>
      <c r="X22" s="136"/>
      <c r="Y22" s="157"/>
      <c r="Z22" s="149"/>
      <c r="AA22" s="149"/>
      <c r="AB22" s="158"/>
      <c r="AC22" s="156"/>
      <c r="AD22" s="157"/>
      <c r="AE22" s="149"/>
      <c r="AF22" s="149"/>
      <c r="AG22" s="156"/>
      <c r="AH22" s="138"/>
      <c r="AI22" s="135"/>
      <c r="AJ22" s="135"/>
      <c r="AK22" s="135"/>
      <c r="AL22" s="140"/>
      <c r="AM22" s="137"/>
      <c r="AN22" s="135"/>
      <c r="AO22" s="135"/>
      <c r="AP22" s="136"/>
      <c r="AQ22" s="137"/>
      <c r="AR22" s="152">
        <v>0.1</v>
      </c>
      <c r="AS22" s="152">
        <v>0.21</v>
      </c>
      <c r="AT22" s="153">
        <v>0.25</v>
      </c>
      <c r="AU22" s="151">
        <v>0.15</v>
      </c>
      <c r="AV22" s="152">
        <v>0.1</v>
      </c>
      <c r="AW22" s="135">
        <v>0.1</v>
      </c>
      <c r="AX22" s="135">
        <v>0.09</v>
      </c>
      <c r="AY22" s="140"/>
      <c r="AZ22" s="137"/>
      <c r="BA22" s="135"/>
      <c r="BB22" s="135"/>
      <c r="BC22" s="139"/>
      <c r="BD22" s="137"/>
      <c r="BE22" s="135"/>
      <c r="BF22" s="135"/>
      <c r="BG22" s="136"/>
      <c r="BH22" s="137"/>
      <c r="BI22" s="135"/>
      <c r="BJ22" s="135"/>
      <c r="BK22" s="135"/>
      <c r="BL22" s="140"/>
      <c r="BM22" s="137"/>
      <c r="BN22" s="135"/>
      <c r="BO22" s="135"/>
      <c r="BP22" s="136"/>
      <c r="BQ22" s="137"/>
      <c r="BR22" s="135"/>
      <c r="BS22" s="135"/>
      <c r="BT22" s="136"/>
      <c r="BU22" s="137"/>
      <c r="BV22" s="135"/>
      <c r="BW22" s="135"/>
      <c r="BX22" s="139"/>
      <c r="BY22" s="140"/>
      <c r="BZ22" s="137"/>
      <c r="CA22" s="135"/>
      <c r="CB22" s="135"/>
      <c r="CC22" s="136"/>
      <c r="CD22" s="137"/>
      <c r="CE22" s="135"/>
      <c r="CF22" s="135"/>
      <c r="CG22" s="136"/>
      <c r="CH22" s="137"/>
      <c r="CI22" s="135"/>
      <c r="CJ22" s="135"/>
      <c r="CK22" s="135"/>
      <c r="CL22" s="140"/>
      <c r="CM22" s="137"/>
      <c r="CN22" s="135"/>
      <c r="CO22" s="135"/>
      <c r="CP22" s="136"/>
      <c r="CQ22" s="133"/>
      <c r="CR22" s="131"/>
      <c r="CS22" s="131"/>
      <c r="CT22" s="132"/>
      <c r="CU22" s="133"/>
      <c r="CV22" s="131"/>
      <c r="CW22" s="131"/>
      <c r="CX22" s="132"/>
      <c r="CY22" s="133"/>
      <c r="CZ22" s="131"/>
      <c r="DA22" s="131"/>
      <c r="DB22" s="132"/>
      <c r="DC22" s="82"/>
      <c r="DD22" s="79"/>
      <c r="DE22" s="79"/>
    </row>
    <row r="23" spans="1:109" ht="24.95" customHeight="1" outlineLevel="1" x14ac:dyDescent="0.55000000000000004">
      <c r="A23" s="284"/>
      <c r="B23" s="196" t="str">
        <f t="shared" ref="B23" si="42">B22</f>
        <v>1.2.3</v>
      </c>
      <c r="C23" s="285"/>
      <c r="D23" s="204" t="str">
        <f t="shared" ref="D23" si="43">D22</f>
        <v>Roof Level2</v>
      </c>
      <c r="E23" s="41"/>
      <c r="F23" s="42">
        <f t="shared" ref="F23" si="44">E22</f>
        <v>1034941.9422</v>
      </c>
      <c r="G23" s="83" t="s">
        <v>42</v>
      </c>
      <c r="H23" s="190">
        <v>0</v>
      </c>
      <c r="I23" s="190"/>
      <c r="J23" s="190"/>
      <c r="K23" s="121">
        <f t="shared" si="5"/>
        <v>0.3</v>
      </c>
      <c r="L23" s="111">
        <f t="shared" si="29"/>
        <v>310482.58266000001</v>
      </c>
      <c r="M23" s="141"/>
      <c r="N23" s="142"/>
      <c r="O23" s="142"/>
      <c r="P23" s="143"/>
      <c r="Q23" s="144"/>
      <c r="R23" s="154"/>
      <c r="S23" s="142"/>
      <c r="T23" s="143"/>
      <c r="U23" s="145"/>
      <c r="V23" s="142"/>
      <c r="W23" s="142"/>
      <c r="X23" s="143"/>
      <c r="Y23" s="144"/>
      <c r="Z23" s="142"/>
      <c r="AA23" s="142"/>
      <c r="AB23" s="146"/>
      <c r="AC23" s="143"/>
      <c r="AD23" s="144"/>
      <c r="AE23" s="142"/>
      <c r="AF23" s="142"/>
      <c r="AG23" s="143"/>
      <c r="AH23" s="145"/>
      <c r="AI23" s="142"/>
      <c r="AJ23" s="142"/>
      <c r="AK23" s="142"/>
      <c r="AL23" s="147"/>
      <c r="AM23" s="144"/>
      <c r="AN23" s="142"/>
      <c r="AO23" s="142"/>
      <c r="AP23" s="143"/>
      <c r="AQ23" s="144"/>
      <c r="AR23" s="142"/>
      <c r="AS23" s="142">
        <v>0.15</v>
      </c>
      <c r="AT23" s="143">
        <v>0.15</v>
      </c>
      <c r="AU23" s="144"/>
      <c r="AV23" s="142"/>
      <c r="AW23" s="142"/>
      <c r="AX23" s="142"/>
      <c r="AY23" s="147"/>
      <c r="AZ23" s="144"/>
      <c r="BA23" s="142"/>
      <c r="BB23" s="142"/>
      <c r="BC23" s="146"/>
      <c r="BD23" s="144"/>
      <c r="BE23" s="142"/>
      <c r="BF23" s="142"/>
      <c r="BG23" s="143"/>
      <c r="BH23" s="144"/>
      <c r="BI23" s="142"/>
      <c r="BJ23" s="142"/>
      <c r="BK23" s="142"/>
      <c r="BL23" s="147"/>
      <c r="BM23" s="144"/>
      <c r="BN23" s="142"/>
      <c r="BO23" s="142"/>
      <c r="BP23" s="143"/>
      <c r="BQ23" s="144"/>
      <c r="BR23" s="142"/>
      <c r="BS23" s="142"/>
      <c r="BT23" s="143"/>
      <c r="BU23" s="144"/>
      <c r="BV23" s="142"/>
      <c r="BW23" s="142"/>
      <c r="BX23" s="146"/>
      <c r="BY23" s="147"/>
      <c r="BZ23" s="144"/>
      <c r="CA23" s="142"/>
      <c r="CB23" s="142"/>
      <c r="CC23" s="143"/>
      <c r="CD23" s="144"/>
      <c r="CE23" s="142"/>
      <c r="CF23" s="142"/>
      <c r="CG23" s="143"/>
      <c r="CH23" s="144"/>
      <c r="CI23" s="142"/>
      <c r="CJ23" s="142"/>
      <c r="CK23" s="142"/>
      <c r="CL23" s="147"/>
      <c r="CM23" s="144"/>
      <c r="CN23" s="142"/>
      <c r="CO23" s="142"/>
      <c r="CP23" s="143"/>
      <c r="CQ23" s="130"/>
      <c r="CR23" s="128"/>
      <c r="CS23" s="128"/>
      <c r="CT23" s="129"/>
      <c r="CU23" s="130"/>
      <c r="CV23" s="128"/>
      <c r="CW23" s="128"/>
      <c r="CX23" s="129"/>
      <c r="CY23" s="130"/>
      <c r="CZ23" s="128"/>
      <c r="DA23" s="128"/>
      <c r="DB23" s="129"/>
      <c r="DC23" s="80"/>
      <c r="DD23" s="79"/>
      <c r="DE23" s="79"/>
    </row>
    <row r="24" spans="1:109" ht="24.95" customHeight="1" outlineLevel="1" x14ac:dyDescent="0.55000000000000004">
      <c r="A24" s="284" t="s">
        <v>47</v>
      </c>
      <c r="B24" s="196" t="str">
        <f t="shared" ref="B24" si="45">A24</f>
        <v>1.2.4</v>
      </c>
      <c r="C24" s="285" t="s">
        <v>112</v>
      </c>
      <c r="D24" s="203" t="str">
        <f t="shared" ref="D24" si="46">C24</f>
        <v>Existing Building Repair</v>
      </c>
      <c r="E24" s="41">
        <v>881401.58600000001</v>
      </c>
      <c r="F24" s="42">
        <f t="shared" ref="F24" si="47">E24</f>
        <v>881401.58600000001</v>
      </c>
      <c r="G24" s="81" t="s">
        <v>41</v>
      </c>
      <c r="H24" s="189">
        <v>0</v>
      </c>
      <c r="I24" s="189"/>
      <c r="J24" s="189"/>
      <c r="K24" s="120">
        <f t="shared" si="5"/>
        <v>1</v>
      </c>
      <c r="L24" s="110">
        <f t="shared" si="29"/>
        <v>881401.58600000001</v>
      </c>
      <c r="M24" s="134"/>
      <c r="N24" s="135"/>
      <c r="O24" s="135"/>
      <c r="P24" s="136"/>
      <c r="Q24" s="137"/>
      <c r="R24" s="135"/>
      <c r="S24" s="135"/>
      <c r="T24" s="136"/>
      <c r="U24" s="138"/>
      <c r="V24" s="135"/>
      <c r="W24" s="135"/>
      <c r="X24" s="136"/>
      <c r="Y24" s="157"/>
      <c r="Z24" s="149"/>
      <c r="AA24" s="149"/>
      <c r="AB24" s="158"/>
      <c r="AC24" s="156"/>
      <c r="AD24" s="157"/>
      <c r="AE24" s="149"/>
      <c r="AF24" s="149"/>
      <c r="AG24" s="156">
        <v>0.05</v>
      </c>
      <c r="AH24" s="155">
        <v>0.05</v>
      </c>
      <c r="AI24" s="149">
        <v>0.05</v>
      </c>
      <c r="AJ24" s="149">
        <v>0.1</v>
      </c>
      <c r="AK24" s="149">
        <v>0.1</v>
      </c>
      <c r="AL24" s="160">
        <v>0.2</v>
      </c>
      <c r="AM24" s="161">
        <v>0.2</v>
      </c>
      <c r="AN24" s="162">
        <v>0.15</v>
      </c>
      <c r="AO24" s="149">
        <v>0.05</v>
      </c>
      <c r="AP24" s="156">
        <v>0.05</v>
      </c>
      <c r="AQ24" s="137"/>
      <c r="AR24" s="135"/>
      <c r="AS24" s="135"/>
      <c r="AT24" s="136"/>
      <c r="AU24" s="137"/>
      <c r="AV24" s="135"/>
      <c r="AW24" s="135"/>
      <c r="AX24" s="135"/>
      <c r="AY24" s="140"/>
      <c r="AZ24" s="137"/>
      <c r="BA24" s="135"/>
      <c r="BB24" s="135"/>
      <c r="BC24" s="139"/>
      <c r="BD24" s="137"/>
      <c r="BE24" s="135"/>
      <c r="BF24" s="135"/>
      <c r="BG24" s="136"/>
      <c r="BH24" s="137"/>
      <c r="BI24" s="135"/>
      <c r="BJ24" s="135"/>
      <c r="BK24" s="135"/>
      <c r="BL24" s="140"/>
      <c r="BM24" s="137"/>
      <c r="BN24" s="135"/>
      <c r="BO24" s="135"/>
      <c r="BP24" s="136"/>
      <c r="BQ24" s="137"/>
      <c r="BR24" s="135"/>
      <c r="BS24" s="135"/>
      <c r="BT24" s="136"/>
      <c r="BU24" s="137"/>
      <c r="BV24" s="135"/>
      <c r="BW24" s="135"/>
      <c r="BX24" s="139"/>
      <c r="BY24" s="140"/>
      <c r="BZ24" s="137"/>
      <c r="CA24" s="135"/>
      <c r="CB24" s="135"/>
      <c r="CC24" s="136"/>
      <c r="CD24" s="137"/>
      <c r="CE24" s="135"/>
      <c r="CF24" s="135"/>
      <c r="CG24" s="136"/>
      <c r="CH24" s="137"/>
      <c r="CI24" s="135"/>
      <c r="CJ24" s="135"/>
      <c r="CK24" s="135"/>
      <c r="CL24" s="140"/>
      <c r="CM24" s="137"/>
      <c r="CN24" s="135"/>
      <c r="CO24" s="135"/>
      <c r="CP24" s="136"/>
      <c r="CQ24" s="133"/>
      <c r="CR24" s="131"/>
      <c r="CS24" s="131"/>
      <c r="CT24" s="132"/>
      <c r="CU24" s="133"/>
      <c r="CV24" s="131"/>
      <c r="CW24" s="131"/>
      <c r="CX24" s="132"/>
      <c r="CY24" s="133"/>
      <c r="CZ24" s="131"/>
      <c r="DA24" s="131"/>
      <c r="DB24" s="132"/>
      <c r="DC24" s="82"/>
      <c r="DD24" s="79"/>
      <c r="DE24" s="79"/>
    </row>
    <row r="25" spans="1:109" ht="24.95" customHeight="1" outlineLevel="1" x14ac:dyDescent="0.55000000000000004">
      <c r="A25" s="284"/>
      <c r="B25" s="196" t="str">
        <f t="shared" ref="B25" si="48">B24</f>
        <v>1.2.4</v>
      </c>
      <c r="C25" s="285"/>
      <c r="D25" s="203" t="str">
        <f t="shared" ref="D25" si="49">D24</f>
        <v>Existing Building Repair</v>
      </c>
      <c r="E25" s="41"/>
      <c r="F25" s="42">
        <f t="shared" ref="F25" si="50">E24</f>
        <v>881401.58600000001</v>
      </c>
      <c r="G25" s="83" t="s">
        <v>42</v>
      </c>
      <c r="H25" s="190">
        <v>0</v>
      </c>
      <c r="I25" s="190"/>
      <c r="J25" s="190"/>
      <c r="K25" s="121">
        <f t="shared" si="5"/>
        <v>1</v>
      </c>
      <c r="L25" s="111">
        <f t="shared" si="29"/>
        <v>881401.58600000001</v>
      </c>
      <c r="M25" s="141"/>
      <c r="N25" s="163"/>
      <c r="O25" s="163"/>
      <c r="P25" s="164"/>
      <c r="Q25" s="165"/>
      <c r="R25" s="163"/>
      <c r="S25" s="163"/>
      <c r="T25" s="164"/>
      <c r="U25" s="166"/>
      <c r="V25" s="163"/>
      <c r="W25" s="163"/>
      <c r="X25" s="164"/>
      <c r="Y25" s="165"/>
      <c r="Z25" s="163"/>
      <c r="AA25" s="163"/>
      <c r="AB25" s="167"/>
      <c r="AC25" s="164"/>
      <c r="AD25" s="165"/>
      <c r="AE25" s="163"/>
      <c r="AF25" s="163"/>
      <c r="AG25" s="164">
        <v>0.05</v>
      </c>
      <c r="AH25" s="166">
        <v>0.08</v>
      </c>
      <c r="AI25" s="163">
        <v>0.1</v>
      </c>
      <c r="AJ25" s="163">
        <v>0.15</v>
      </c>
      <c r="AK25" s="163">
        <v>0.2</v>
      </c>
      <c r="AL25" s="168">
        <v>0.25</v>
      </c>
      <c r="AM25" s="165">
        <v>0.12</v>
      </c>
      <c r="AN25" s="163">
        <v>0.05</v>
      </c>
      <c r="AO25" s="163"/>
      <c r="AP25" s="164"/>
      <c r="AQ25" s="144"/>
      <c r="AR25" s="142"/>
      <c r="AS25" s="142"/>
      <c r="AT25" s="143"/>
      <c r="AU25" s="144"/>
      <c r="AV25" s="142"/>
      <c r="AW25" s="142"/>
      <c r="AX25" s="142"/>
      <c r="AY25" s="147"/>
      <c r="AZ25" s="144"/>
      <c r="BA25" s="142"/>
      <c r="BB25" s="142"/>
      <c r="BC25" s="146"/>
      <c r="BD25" s="144"/>
      <c r="BE25" s="142"/>
      <c r="BF25" s="142"/>
      <c r="BG25" s="143"/>
      <c r="BH25" s="144"/>
      <c r="BI25" s="142"/>
      <c r="BJ25" s="142"/>
      <c r="BK25" s="142"/>
      <c r="BL25" s="147"/>
      <c r="BM25" s="144"/>
      <c r="BN25" s="142"/>
      <c r="BO25" s="142"/>
      <c r="BP25" s="143"/>
      <c r="BQ25" s="144"/>
      <c r="BR25" s="142"/>
      <c r="BS25" s="142"/>
      <c r="BT25" s="143"/>
      <c r="BU25" s="144"/>
      <c r="BV25" s="142"/>
      <c r="BW25" s="142"/>
      <c r="BX25" s="146"/>
      <c r="BY25" s="147"/>
      <c r="BZ25" s="144"/>
      <c r="CA25" s="142"/>
      <c r="CB25" s="142"/>
      <c r="CC25" s="143"/>
      <c r="CD25" s="144"/>
      <c r="CE25" s="142"/>
      <c r="CF25" s="142"/>
      <c r="CG25" s="143"/>
      <c r="CH25" s="144"/>
      <c r="CI25" s="142"/>
      <c r="CJ25" s="142"/>
      <c r="CK25" s="142"/>
      <c r="CL25" s="147"/>
      <c r="CM25" s="144"/>
      <c r="CN25" s="142"/>
      <c r="CO25" s="142"/>
      <c r="CP25" s="143"/>
      <c r="CQ25" s="130"/>
      <c r="CR25" s="128"/>
      <c r="CS25" s="128"/>
      <c r="CT25" s="129"/>
      <c r="CU25" s="130"/>
      <c r="CV25" s="128"/>
      <c r="CW25" s="128"/>
      <c r="CX25" s="129"/>
      <c r="CY25" s="130"/>
      <c r="CZ25" s="128"/>
      <c r="DA25" s="128"/>
      <c r="DB25" s="129"/>
      <c r="DC25" s="80"/>
      <c r="DD25" s="79"/>
      <c r="DE25" s="79"/>
    </row>
    <row r="26" spans="1:109" ht="24.95" customHeight="1" outlineLevel="1" x14ac:dyDescent="0.55000000000000004">
      <c r="A26" s="284" t="s">
        <v>48</v>
      </c>
      <c r="B26" s="196" t="str">
        <f t="shared" ref="B26" si="51">A26</f>
        <v>1.2.5</v>
      </c>
      <c r="C26" s="285" t="s">
        <v>113</v>
      </c>
      <c r="D26" s="203" t="str">
        <f t="shared" ref="D26" si="52">C26</f>
        <v>Toilet</v>
      </c>
      <c r="E26" s="41">
        <v>3388363.6713999999</v>
      </c>
      <c r="F26" s="42">
        <f t="shared" ref="F26" si="53">E26</f>
        <v>3388363.6713999999</v>
      </c>
      <c r="G26" s="81" t="s">
        <v>41</v>
      </c>
      <c r="H26" s="189">
        <v>0</v>
      </c>
      <c r="I26" s="189"/>
      <c r="J26" s="189"/>
      <c r="K26" s="120">
        <f t="shared" si="5"/>
        <v>1</v>
      </c>
      <c r="L26" s="110">
        <f t="shared" si="29"/>
        <v>3388363.6713999999</v>
      </c>
      <c r="M26" s="134"/>
      <c r="N26" s="135"/>
      <c r="O26" s="135"/>
      <c r="P26" s="136"/>
      <c r="Q26" s="137"/>
      <c r="R26" s="135"/>
      <c r="S26" s="135"/>
      <c r="T26" s="136"/>
      <c r="U26" s="138"/>
      <c r="V26" s="135"/>
      <c r="W26" s="135"/>
      <c r="X26" s="156"/>
      <c r="Y26" s="157"/>
      <c r="Z26" s="149"/>
      <c r="AA26" s="149"/>
      <c r="AB26" s="158"/>
      <c r="AC26" s="156"/>
      <c r="AD26" s="157"/>
      <c r="AE26" s="149"/>
      <c r="AF26" s="149"/>
      <c r="AG26" s="156"/>
      <c r="AH26" s="155"/>
      <c r="AI26" s="149"/>
      <c r="AJ26" s="149"/>
      <c r="AK26" s="162">
        <v>0.05</v>
      </c>
      <c r="AL26" s="160">
        <v>0.05</v>
      </c>
      <c r="AM26" s="161">
        <v>0.1</v>
      </c>
      <c r="AN26" s="152">
        <v>0.1</v>
      </c>
      <c r="AO26" s="152">
        <v>0.1</v>
      </c>
      <c r="AP26" s="153">
        <v>0.1</v>
      </c>
      <c r="AQ26" s="151">
        <v>0.1</v>
      </c>
      <c r="AR26" s="152">
        <v>0.1</v>
      </c>
      <c r="AS26" s="152">
        <v>0.1</v>
      </c>
      <c r="AT26" s="153">
        <v>0.1</v>
      </c>
      <c r="AU26" s="151">
        <v>0.05</v>
      </c>
      <c r="AV26" s="152">
        <v>0.05</v>
      </c>
      <c r="AW26" s="135"/>
      <c r="AX26" s="135"/>
      <c r="AY26" s="140"/>
      <c r="AZ26" s="137"/>
      <c r="BA26" s="135"/>
      <c r="BB26" s="135"/>
      <c r="BC26" s="139"/>
      <c r="BD26" s="137"/>
      <c r="BE26" s="135"/>
      <c r="BF26" s="135"/>
      <c r="BG26" s="136"/>
      <c r="BH26" s="137"/>
      <c r="BI26" s="135"/>
      <c r="BJ26" s="135"/>
      <c r="BK26" s="135"/>
      <c r="BL26" s="140"/>
      <c r="BM26" s="137"/>
      <c r="BN26" s="135"/>
      <c r="BO26" s="135"/>
      <c r="BP26" s="136"/>
      <c r="BQ26" s="137"/>
      <c r="BR26" s="135"/>
      <c r="BS26" s="135"/>
      <c r="BT26" s="136"/>
      <c r="BU26" s="137"/>
      <c r="BV26" s="135"/>
      <c r="BW26" s="135"/>
      <c r="BX26" s="139"/>
      <c r="BY26" s="140"/>
      <c r="BZ26" s="137"/>
      <c r="CA26" s="135"/>
      <c r="CB26" s="135"/>
      <c r="CC26" s="136"/>
      <c r="CD26" s="137"/>
      <c r="CE26" s="135"/>
      <c r="CF26" s="135"/>
      <c r="CG26" s="136"/>
      <c r="CH26" s="137"/>
      <c r="CI26" s="135"/>
      <c r="CJ26" s="135"/>
      <c r="CK26" s="135"/>
      <c r="CL26" s="140"/>
      <c r="CM26" s="137"/>
      <c r="CN26" s="135"/>
      <c r="CO26" s="135"/>
      <c r="CP26" s="136"/>
      <c r="CQ26" s="133"/>
      <c r="CR26" s="131"/>
      <c r="CS26" s="131"/>
      <c r="CT26" s="132"/>
      <c r="CU26" s="133"/>
      <c r="CV26" s="131"/>
      <c r="CW26" s="131"/>
      <c r="CX26" s="132"/>
      <c r="CY26" s="133"/>
      <c r="CZ26" s="131"/>
      <c r="DA26" s="131"/>
      <c r="DB26" s="132"/>
      <c r="DC26" s="82"/>
      <c r="DD26" s="79"/>
      <c r="DE26" s="79"/>
    </row>
    <row r="27" spans="1:109" ht="24.95" customHeight="1" outlineLevel="1" x14ac:dyDescent="0.55000000000000004">
      <c r="A27" s="284"/>
      <c r="B27" s="196" t="str">
        <f t="shared" ref="B27" si="54">B26</f>
        <v>1.2.5</v>
      </c>
      <c r="C27" s="285"/>
      <c r="D27" s="203" t="str">
        <f t="shared" ref="D27" si="55">D26</f>
        <v>Toilet</v>
      </c>
      <c r="E27" s="41"/>
      <c r="F27" s="42">
        <f t="shared" ref="F27" si="56">E26</f>
        <v>3388363.6713999999</v>
      </c>
      <c r="G27" s="83" t="s">
        <v>42</v>
      </c>
      <c r="H27" s="190">
        <v>0</v>
      </c>
      <c r="I27" s="190"/>
      <c r="J27" s="190"/>
      <c r="K27" s="121">
        <f t="shared" si="5"/>
        <v>0.72</v>
      </c>
      <c r="L27" s="111">
        <f t="shared" si="29"/>
        <v>2439621.8434079997</v>
      </c>
      <c r="M27" s="141"/>
      <c r="N27" s="142"/>
      <c r="O27" s="142"/>
      <c r="P27" s="143"/>
      <c r="Q27" s="144"/>
      <c r="R27" s="142"/>
      <c r="S27" s="142"/>
      <c r="T27" s="143"/>
      <c r="U27" s="145"/>
      <c r="V27" s="142"/>
      <c r="W27" s="142"/>
      <c r="X27" s="143"/>
      <c r="Y27" s="144"/>
      <c r="Z27" s="142"/>
      <c r="AA27" s="142"/>
      <c r="AB27" s="146"/>
      <c r="AC27" s="143"/>
      <c r="AD27" s="144"/>
      <c r="AE27" s="142"/>
      <c r="AF27" s="142"/>
      <c r="AG27" s="143"/>
      <c r="AH27" s="145"/>
      <c r="AI27" s="142"/>
      <c r="AJ27" s="142"/>
      <c r="AK27" s="142">
        <v>0.05</v>
      </c>
      <c r="AL27" s="147">
        <v>0.05</v>
      </c>
      <c r="AM27" s="144">
        <v>0.05</v>
      </c>
      <c r="AN27" s="142">
        <v>0.05</v>
      </c>
      <c r="AO27" s="142">
        <v>0.1</v>
      </c>
      <c r="AP27" s="143">
        <v>0.1</v>
      </c>
      <c r="AQ27" s="144">
        <v>0.08</v>
      </c>
      <c r="AR27" s="142">
        <v>0.08</v>
      </c>
      <c r="AS27" s="142">
        <v>0.08</v>
      </c>
      <c r="AT27" s="143">
        <v>0.08</v>
      </c>
      <c r="AU27" s="144"/>
      <c r="AV27" s="142"/>
      <c r="AW27" s="142"/>
      <c r="AX27" s="142"/>
      <c r="AY27" s="147"/>
      <c r="AZ27" s="144"/>
      <c r="BA27" s="142"/>
      <c r="BB27" s="142"/>
      <c r="BC27" s="146"/>
      <c r="BD27" s="144"/>
      <c r="BE27" s="142"/>
      <c r="BF27" s="142"/>
      <c r="BG27" s="143"/>
      <c r="BH27" s="144"/>
      <c r="BI27" s="142"/>
      <c r="BJ27" s="142"/>
      <c r="BK27" s="142"/>
      <c r="BL27" s="147"/>
      <c r="BM27" s="144"/>
      <c r="BN27" s="142"/>
      <c r="BO27" s="142"/>
      <c r="BP27" s="143"/>
      <c r="BQ27" s="144"/>
      <c r="BR27" s="142"/>
      <c r="BS27" s="142"/>
      <c r="BT27" s="143"/>
      <c r="BU27" s="144"/>
      <c r="BV27" s="142"/>
      <c r="BW27" s="142"/>
      <c r="BX27" s="146"/>
      <c r="BY27" s="147"/>
      <c r="BZ27" s="144"/>
      <c r="CA27" s="142"/>
      <c r="CB27" s="142"/>
      <c r="CC27" s="143"/>
      <c r="CD27" s="144"/>
      <c r="CE27" s="142"/>
      <c r="CF27" s="142"/>
      <c r="CG27" s="143"/>
      <c r="CH27" s="144"/>
      <c r="CI27" s="142"/>
      <c r="CJ27" s="142"/>
      <c r="CK27" s="142"/>
      <c r="CL27" s="147"/>
      <c r="CM27" s="144"/>
      <c r="CN27" s="142"/>
      <c r="CO27" s="142"/>
      <c r="CP27" s="143"/>
      <c r="CQ27" s="130"/>
      <c r="CR27" s="128"/>
      <c r="CS27" s="128"/>
      <c r="CT27" s="129"/>
      <c r="CU27" s="130"/>
      <c r="CV27" s="128"/>
      <c r="CW27" s="128"/>
      <c r="CX27" s="129"/>
      <c r="CY27" s="130"/>
      <c r="CZ27" s="128"/>
      <c r="DA27" s="128"/>
      <c r="DB27" s="129"/>
      <c r="DC27" s="80"/>
      <c r="DD27" s="79"/>
      <c r="DE27" s="79"/>
    </row>
    <row r="28" spans="1:109" ht="24.95" customHeight="1" outlineLevel="1" x14ac:dyDescent="0.55000000000000004">
      <c r="A28" s="284" t="s">
        <v>49</v>
      </c>
      <c r="B28" s="196" t="str">
        <f t="shared" ref="B28" si="57">A28</f>
        <v>1.2.6</v>
      </c>
      <c r="C28" s="285" t="s">
        <v>114</v>
      </c>
      <c r="D28" s="203" t="str">
        <f t="shared" ref="D28" si="58">C28</f>
        <v>Mezzanine</v>
      </c>
      <c r="E28" s="41">
        <v>3778708.0174000002</v>
      </c>
      <c r="F28" s="42">
        <f t="shared" ref="F28" si="59">E28</f>
        <v>3778708.0174000002</v>
      </c>
      <c r="G28" s="81" t="s">
        <v>41</v>
      </c>
      <c r="H28" s="189">
        <v>0</v>
      </c>
      <c r="I28" s="189"/>
      <c r="J28" s="189"/>
      <c r="K28" s="120">
        <f t="shared" si="5"/>
        <v>1.0000000000000002</v>
      </c>
      <c r="L28" s="110">
        <f t="shared" si="29"/>
        <v>3778708.0174000012</v>
      </c>
      <c r="M28" s="134"/>
      <c r="N28" s="135"/>
      <c r="O28" s="135"/>
      <c r="P28" s="136"/>
      <c r="Q28" s="137"/>
      <c r="R28" s="135"/>
      <c r="S28" s="135"/>
      <c r="T28" s="136"/>
      <c r="U28" s="138"/>
      <c r="V28" s="135"/>
      <c r="W28" s="135"/>
      <c r="X28" s="136"/>
      <c r="Y28" s="157"/>
      <c r="Z28" s="149"/>
      <c r="AA28" s="149"/>
      <c r="AB28" s="158"/>
      <c r="AC28" s="156"/>
      <c r="AD28" s="157"/>
      <c r="AE28" s="149"/>
      <c r="AF28" s="149"/>
      <c r="AG28" s="156"/>
      <c r="AH28" s="155"/>
      <c r="AI28" s="149"/>
      <c r="AJ28" s="149"/>
      <c r="AK28" s="149"/>
      <c r="AL28" s="150"/>
      <c r="AM28" s="137"/>
      <c r="AN28" s="135"/>
      <c r="AO28" s="135"/>
      <c r="AP28" s="136"/>
      <c r="AQ28" s="151">
        <v>0.05</v>
      </c>
      <c r="AR28" s="152">
        <v>0.05</v>
      </c>
      <c r="AS28" s="152">
        <v>0.05</v>
      </c>
      <c r="AT28" s="153">
        <v>0.05</v>
      </c>
      <c r="AU28" s="151">
        <v>0.15</v>
      </c>
      <c r="AV28" s="152">
        <v>0.2</v>
      </c>
      <c r="AW28" s="152">
        <v>0.1</v>
      </c>
      <c r="AX28" s="152">
        <v>0.1</v>
      </c>
      <c r="AY28" s="159">
        <v>7.0000000000000007E-2</v>
      </c>
      <c r="AZ28" s="151">
        <v>0.05</v>
      </c>
      <c r="BA28" s="152">
        <v>0.05</v>
      </c>
      <c r="BB28" s="152">
        <v>0.05</v>
      </c>
      <c r="BC28" s="139">
        <v>0.03</v>
      </c>
      <c r="BD28" s="137"/>
      <c r="BE28" s="135"/>
      <c r="BF28" s="135"/>
      <c r="BG28" s="136"/>
      <c r="BH28" s="137"/>
      <c r="BI28" s="135"/>
      <c r="BJ28" s="135"/>
      <c r="BK28" s="135"/>
      <c r="BL28" s="140"/>
      <c r="BM28" s="137"/>
      <c r="BN28" s="135"/>
      <c r="BO28" s="135"/>
      <c r="BP28" s="136"/>
      <c r="BQ28" s="137"/>
      <c r="BR28" s="135"/>
      <c r="BS28" s="135"/>
      <c r="BT28" s="136"/>
      <c r="BU28" s="137"/>
      <c r="BV28" s="135"/>
      <c r="BW28" s="135"/>
      <c r="BX28" s="139"/>
      <c r="BY28" s="140"/>
      <c r="BZ28" s="137"/>
      <c r="CA28" s="135"/>
      <c r="CB28" s="135"/>
      <c r="CC28" s="136"/>
      <c r="CD28" s="137"/>
      <c r="CE28" s="135"/>
      <c r="CF28" s="135"/>
      <c r="CG28" s="136"/>
      <c r="CH28" s="137"/>
      <c r="CI28" s="135"/>
      <c r="CJ28" s="135"/>
      <c r="CK28" s="135"/>
      <c r="CL28" s="140"/>
      <c r="CM28" s="137"/>
      <c r="CN28" s="135"/>
      <c r="CO28" s="135"/>
      <c r="CP28" s="136"/>
      <c r="CQ28" s="133"/>
      <c r="CR28" s="131"/>
      <c r="CS28" s="131"/>
      <c r="CT28" s="132"/>
      <c r="CU28" s="133"/>
      <c r="CV28" s="131"/>
      <c r="CW28" s="131"/>
      <c r="CX28" s="132"/>
      <c r="CY28" s="133"/>
      <c r="CZ28" s="131"/>
      <c r="DA28" s="131"/>
      <c r="DB28" s="132"/>
      <c r="DC28" s="82"/>
      <c r="DD28" s="79"/>
      <c r="DE28" s="79"/>
    </row>
    <row r="29" spans="1:109" ht="24.95" customHeight="1" outlineLevel="1" x14ac:dyDescent="0.55000000000000004">
      <c r="A29" s="284"/>
      <c r="B29" s="196" t="str">
        <f t="shared" ref="B29" si="60">B28</f>
        <v>1.2.6</v>
      </c>
      <c r="C29" s="285"/>
      <c r="D29" s="203" t="str">
        <f t="shared" ref="D29" si="61">D28</f>
        <v>Mezzanine</v>
      </c>
      <c r="E29" s="41"/>
      <c r="F29" s="42">
        <f t="shared" ref="F29" si="62">E28</f>
        <v>3778708.0174000002</v>
      </c>
      <c r="G29" s="83" t="s">
        <v>42</v>
      </c>
      <c r="H29" s="190">
        <v>0</v>
      </c>
      <c r="I29" s="190"/>
      <c r="J29" s="190"/>
      <c r="K29" s="121">
        <f t="shared" si="5"/>
        <v>0.1</v>
      </c>
      <c r="L29" s="111">
        <f t="shared" si="29"/>
        <v>377870.80174000002</v>
      </c>
      <c r="M29" s="141"/>
      <c r="N29" s="142"/>
      <c r="O29" s="142"/>
      <c r="P29" s="143"/>
      <c r="Q29" s="144"/>
      <c r="R29" s="142"/>
      <c r="S29" s="163"/>
      <c r="T29" s="143"/>
      <c r="U29" s="145"/>
      <c r="V29" s="142"/>
      <c r="W29" s="154"/>
      <c r="X29" s="164"/>
      <c r="Y29" s="165"/>
      <c r="Z29" s="163"/>
      <c r="AA29" s="163"/>
      <c r="AB29" s="167"/>
      <c r="AC29" s="164"/>
      <c r="AD29" s="165"/>
      <c r="AE29" s="163"/>
      <c r="AF29" s="163"/>
      <c r="AG29" s="164"/>
      <c r="AH29" s="166"/>
      <c r="AI29" s="163"/>
      <c r="AJ29" s="163"/>
      <c r="AK29" s="163"/>
      <c r="AL29" s="168"/>
      <c r="AM29" s="165"/>
      <c r="AN29" s="142"/>
      <c r="AO29" s="142"/>
      <c r="AP29" s="143"/>
      <c r="AQ29" s="144"/>
      <c r="AR29" s="142"/>
      <c r="AS29" s="142">
        <v>0.05</v>
      </c>
      <c r="AT29" s="143">
        <v>0.05</v>
      </c>
      <c r="AU29" s="144"/>
      <c r="AV29" s="142"/>
      <c r="AW29" s="142"/>
      <c r="AX29" s="142"/>
      <c r="AY29" s="147"/>
      <c r="AZ29" s="144"/>
      <c r="BA29" s="142"/>
      <c r="BB29" s="142"/>
      <c r="BC29" s="146"/>
      <c r="BD29" s="144"/>
      <c r="BE29" s="142"/>
      <c r="BF29" s="142"/>
      <c r="BG29" s="143"/>
      <c r="BH29" s="144"/>
      <c r="BI29" s="142"/>
      <c r="BJ29" s="142"/>
      <c r="BK29" s="142"/>
      <c r="BL29" s="147"/>
      <c r="BM29" s="144"/>
      <c r="BN29" s="142"/>
      <c r="BO29" s="142"/>
      <c r="BP29" s="143"/>
      <c r="BQ29" s="144"/>
      <c r="BR29" s="142"/>
      <c r="BS29" s="142"/>
      <c r="BT29" s="143"/>
      <c r="BU29" s="144"/>
      <c r="BV29" s="142"/>
      <c r="BW29" s="142"/>
      <c r="BX29" s="146"/>
      <c r="BY29" s="147"/>
      <c r="BZ29" s="144"/>
      <c r="CA29" s="142"/>
      <c r="CB29" s="142"/>
      <c r="CC29" s="143"/>
      <c r="CD29" s="144"/>
      <c r="CE29" s="142"/>
      <c r="CF29" s="142"/>
      <c r="CG29" s="143"/>
      <c r="CH29" s="144"/>
      <c r="CI29" s="142"/>
      <c r="CJ29" s="142"/>
      <c r="CK29" s="142"/>
      <c r="CL29" s="147"/>
      <c r="CM29" s="144"/>
      <c r="CN29" s="142"/>
      <c r="CO29" s="142"/>
      <c r="CP29" s="143"/>
      <c r="CQ29" s="130"/>
      <c r="CR29" s="128"/>
      <c r="CS29" s="128"/>
      <c r="CT29" s="129"/>
      <c r="CU29" s="130"/>
      <c r="CV29" s="128"/>
      <c r="CW29" s="128"/>
      <c r="CX29" s="129"/>
      <c r="CY29" s="130"/>
      <c r="CZ29" s="128"/>
      <c r="DA29" s="128"/>
      <c r="DB29" s="129"/>
      <c r="DC29" s="80"/>
      <c r="DD29" s="79"/>
      <c r="DE29" s="79"/>
    </row>
    <row r="30" spans="1:109" ht="24.95" customHeight="1" outlineLevel="1" x14ac:dyDescent="0.55000000000000004">
      <c r="A30" s="284" t="s">
        <v>50</v>
      </c>
      <c r="B30" s="196" t="str">
        <f t="shared" ref="B30" si="63">A30</f>
        <v>1.2.7</v>
      </c>
      <c r="C30" s="285" t="s">
        <v>115</v>
      </c>
      <c r="D30" s="203" t="str">
        <f t="shared" ref="D30" si="64">C30</f>
        <v>2nd Floor Extension</v>
      </c>
      <c r="E30" s="41">
        <v>449323.23820000002</v>
      </c>
      <c r="F30" s="42">
        <f t="shared" ref="F30" si="65">E30</f>
        <v>449323.23820000002</v>
      </c>
      <c r="G30" s="81" t="s">
        <v>41</v>
      </c>
      <c r="H30" s="189">
        <v>0</v>
      </c>
      <c r="I30" s="189"/>
      <c r="J30" s="189"/>
      <c r="K30" s="120">
        <f t="shared" si="5"/>
        <v>1</v>
      </c>
      <c r="L30" s="110">
        <f t="shared" si="29"/>
        <v>449323.23820000002</v>
      </c>
      <c r="M30" s="134"/>
      <c r="N30" s="135"/>
      <c r="O30" s="135"/>
      <c r="P30" s="136"/>
      <c r="Q30" s="137"/>
      <c r="R30" s="135"/>
      <c r="S30" s="135"/>
      <c r="T30" s="136"/>
      <c r="U30" s="138"/>
      <c r="V30" s="135"/>
      <c r="W30" s="135"/>
      <c r="X30" s="136"/>
      <c r="Y30" s="137"/>
      <c r="Z30" s="135"/>
      <c r="AA30" s="135"/>
      <c r="AB30" s="139"/>
      <c r="AC30" s="136"/>
      <c r="AD30" s="157"/>
      <c r="AE30" s="149"/>
      <c r="AF30" s="149"/>
      <c r="AG30" s="156"/>
      <c r="AH30" s="138"/>
      <c r="AI30" s="135"/>
      <c r="AJ30" s="135"/>
      <c r="AK30" s="135"/>
      <c r="AL30" s="140"/>
      <c r="AM30" s="137"/>
      <c r="AN30" s="135"/>
      <c r="AO30" s="135"/>
      <c r="AP30" s="136"/>
      <c r="AQ30" s="137"/>
      <c r="AR30" s="135"/>
      <c r="AS30" s="135"/>
      <c r="AT30" s="136"/>
      <c r="AU30" s="137"/>
      <c r="AV30" s="149"/>
      <c r="AW30" s="162">
        <v>0.1</v>
      </c>
      <c r="AX30" s="162">
        <v>0.2</v>
      </c>
      <c r="AY30" s="160">
        <v>0.25</v>
      </c>
      <c r="AZ30" s="161">
        <v>0.25</v>
      </c>
      <c r="BA30" s="162">
        <v>0.15</v>
      </c>
      <c r="BB30" s="149">
        <v>0.05</v>
      </c>
      <c r="BC30" s="139"/>
      <c r="BD30" s="137"/>
      <c r="BE30" s="135"/>
      <c r="BF30" s="135"/>
      <c r="BG30" s="136"/>
      <c r="BH30" s="137"/>
      <c r="BI30" s="135"/>
      <c r="BJ30" s="135"/>
      <c r="BK30" s="135"/>
      <c r="BL30" s="140"/>
      <c r="BM30" s="137"/>
      <c r="BN30" s="135"/>
      <c r="BO30" s="135"/>
      <c r="BP30" s="136"/>
      <c r="BQ30" s="137"/>
      <c r="BR30" s="135"/>
      <c r="BS30" s="135"/>
      <c r="BT30" s="136"/>
      <c r="BU30" s="137"/>
      <c r="BV30" s="135"/>
      <c r="BW30" s="135"/>
      <c r="BX30" s="139"/>
      <c r="BY30" s="140"/>
      <c r="BZ30" s="137"/>
      <c r="CA30" s="135"/>
      <c r="CB30" s="135"/>
      <c r="CC30" s="136"/>
      <c r="CD30" s="137"/>
      <c r="CE30" s="135"/>
      <c r="CF30" s="135"/>
      <c r="CG30" s="136"/>
      <c r="CH30" s="137"/>
      <c r="CI30" s="135"/>
      <c r="CJ30" s="135"/>
      <c r="CK30" s="135"/>
      <c r="CL30" s="140"/>
      <c r="CM30" s="137"/>
      <c r="CN30" s="135"/>
      <c r="CO30" s="135"/>
      <c r="CP30" s="136"/>
      <c r="CQ30" s="133"/>
      <c r="CR30" s="131"/>
      <c r="CS30" s="131"/>
      <c r="CT30" s="132"/>
      <c r="CU30" s="133"/>
      <c r="CV30" s="131"/>
      <c r="CW30" s="131"/>
      <c r="CX30" s="132"/>
      <c r="CY30" s="133"/>
      <c r="CZ30" s="131"/>
      <c r="DA30" s="131"/>
      <c r="DB30" s="132"/>
      <c r="DC30" s="82"/>
      <c r="DD30" s="79"/>
      <c r="DE30" s="79"/>
    </row>
    <row r="31" spans="1:109" ht="24.95" customHeight="1" outlineLevel="1" x14ac:dyDescent="0.55000000000000004">
      <c r="A31" s="284"/>
      <c r="B31" s="196" t="str">
        <f t="shared" ref="B31" si="66">B30</f>
        <v>1.2.7</v>
      </c>
      <c r="C31" s="285"/>
      <c r="D31" s="203" t="str">
        <f t="shared" ref="D31" si="67">D30</f>
        <v>2nd Floor Extension</v>
      </c>
      <c r="E31" s="41"/>
      <c r="F31" s="42">
        <f t="shared" ref="F31" si="68">E30</f>
        <v>449323.23820000002</v>
      </c>
      <c r="G31" s="83" t="s">
        <v>42</v>
      </c>
      <c r="H31" s="190">
        <v>0</v>
      </c>
      <c r="I31" s="190"/>
      <c r="J31" s="190"/>
      <c r="K31" s="121">
        <f t="shared" si="5"/>
        <v>0</v>
      </c>
      <c r="L31" s="111">
        <f t="shared" si="29"/>
        <v>0</v>
      </c>
      <c r="M31" s="141"/>
      <c r="N31" s="142"/>
      <c r="O31" s="142"/>
      <c r="P31" s="143"/>
      <c r="Q31" s="144"/>
      <c r="R31" s="142"/>
      <c r="S31" s="142"/>
      <c r="T31" s="143"/>
      <c r="U31" s="145"/>
      <c r="V31" s="142"/>
      <c r="W31" s="142"/>
      <c r="X31" s="143"/>
      <c r="Y31" s="144"/>
      <c r="Z31" s="142"/>
      <c r="AA31" s="142"/>
      <c r="AB31" s="146"/>
      <c r="AC31" s="143"/>
      <c r="AD31" s="144"/>
      <c r="AE31" s="142"/>
      <c r="AF31" s="142"/>
      <c r="AG31" s="143"/>
      <c r="AH31" s="145"/>
      <c r="AI31" s="142"/>
      <c r="AJ31" s="142"/>
      <c r="AK31" s="142"/>
      <c r="AL31" s="147"/>
      <c r="AM31" s="144"/>
      <c r="AN31" s="142"/>
      <c r="AO31" s="142"/>
      <c r="AP31" s="143"/>
      <c r="AQ31" s="144"/>
      <c r="AR31" s="142"/>
      <c r="AS31" s="142"/>
      <c r="AT31" s="143"/>
      <c r="AU31" s="144"/>
      <c r="AV31" s="142"/>
      <c r="AW31" s="142"/>
      <c r="AX31" s="142"/>
      <c r="AY31" s="147"/>
      <c r="AZ31" s="144"/>
      <c r="BA31" s="142"/>
      <c r="BB31" s="142"/>
      <c r="BC31" s="146"/>
      <c r="BD31" s="144"/>
      <c r="BE31" s="142"/>
      <c r="BF31" s="142"/>
      <c r="BG31" s="143"/>
      <c r="BH31" s="144"/>
      <c r="BI31" s="142"/>
      <c r="BJ31" s="142"/>
      <c r="BK31" s="142"/>
      <c r="BL31" s="147"/>
      <c r="BM31" s="144"/>
      <c r="BN31" s="142"/>
      <c r="BO31" s="142"/>
      <c r="BP31" s="143"/>
      <c r="BQ31" s="144"/>
      <c r="BR31" s="142"/>
      <c r="BS31" s="142"/>
      <c r="BT31" s="143"/>
      <c r="BU31" s="144"/>
      <c r="BV31" s="142"/>
      <c r="BW31" s="142"/>
      <c r="BX31" s="146"/>
      <c r="BY31" s="147"/>
      <c r="BZ31" s="144"/>
      <c r="CA31" s="142"/>
      <c r="CB31" s="142"/>
      <c r="CC31" s="143"/>
      <c r="CD31" s="144"/>
      <c r="CE31" s="142"/>
      <c r="CF31" s="142"/>
      <c r="CG31" s="143"/>
      <c r="CH31" s="144"/>
      <c r="CI31" s="142"/>
      <c r="CJ31" s="142"/>
      <c r="CK31" s="142"/>
      <c r="CL31" s="147"/>
      <c r="CM31" s="144"/>
      <c r="CN31" s="142"/>
      <c r="CO31" s="142"/>
      <c r="CP31" s="143"/>
      <c r="CQ31" s="130"/>
      <c r="CR31" s="128"/>
      <c r="CS31" s="128"/>
      <c r="CT31" s="129"/>
      <c r="CU31" s="130"/>
      <c r="CV31" s="128"/>
      <c r="CW31" s="128"/>
      <c r="CX31" s="129"/>
      <c r="CY31" s="130"/>
      <c r="CZ31" s="128"/>
      <c r="DA31" s="128"/>
      <c r="DB31" s="129"/>
      <c r="DC31" s="80"/>
      <c r="DD31" s="79"/>
      <c r="DE31" s="79"/>
    </row>
    <row r="32" spans="1:109" ht="24.95" customHeight="1" outlineLevel="1" x14ac:dyDescent="0.55000000000000004">
      <c r="A32" s="284" t="s">
        <v>51</v>
      </c>
      <c r="B32" s="196" t="str">
        <f t="shared" ref="B32" si="69">A32</f>
        <v>1.2.8</v>
      </c>
      <c r="C32" s="285" t="s">
        <v>116</v>
      </c>
      <c r="D32" s="203" t="str">
        <f t="shared" ref="D32" si="70">C32</f>
        <v>MEP Platform</v>
      </c>
      <c r="E32" s="41">
        <v>91097.831200000001</v>
      </c>
      <c r="F32" s="42">
        <f t="shared" ref="F32" si="71">E32</f>
        <v>91097.831200000001</v>
      </c>
      <c r="G32" s="81" t="s">
        <v>41</v>
      </c>
      <c r="H32" s="189">
        <v>0</v>
      </c>
      <c r="I32" s="189"/>
      <c r="J32" s="189"/>
      <c r="K32" s="120">
        <f t="shared" si="5"/>
        <v>1</v>
      </c>
      <c r="L32" s="110">
        <f t="shared" si="29"/>
        <v>91097.831200000001</v>
      </c>
      <c r="M32" s="134"/>
      <c r="N32" s="135"/>
      <c r="O32" s="135"/>
      <c r="P32" s="136"/>
      <c r="Q32" s="137"/>
      <c r="R32" s="135"/>
      <c r="S32" s="135"/>
      <c r="T32" s="136"/>
      <c r="U32" s="138"/>
      <c r="V32" s="135"/>
      <c r="W32" s="135"/>
      <c r="X32" s="136"/>
      <c r="Y32" s="137"/>
      <c r="Z32" s="135"/>
      <c r="AA32" s="135"/>
      <c r="AB32" s="139"/>
      <c r="AC32" s="136"/>
      <c r="AD32" s="157"/>
      <c r="AE32" s="149"/>
      <c r="AF32" s="149"/>
      <c r="AG32" s="156"/>
      <c r="AH32" s="138"/>
      <c r="AI32" s="135"/>
      <c r="AJ32" s="135"/>
      <c r="AK32" s="135"/>
      <c r="AL32" s="140"/>
      <c r="AM32" s="137"/>
      <c r="AN32" s="135"/>
      <c r="AO32" s="135"/>
      <c r="AP32" s="136"/>
      <c r="AQ32" s="137"/>
      <c r="AR32" s="135"/>
      <c r="AS32" s="135"/>
      <c r="AT32" s="136"/>
      <c r="AU32" s="137"/>
      <c r="AV32" s="135"/>
      <c r="AW32" s="135"/>
      <c r="AX32" s="135"/>
      <c r="AY32" s="140"/>
      <c r="AZ32" s="137"/>
      <c r="BA32" s="135"/>
      <c r="BB32" s="152">
        <v>0.25</v>
      </c>
      <c r="BC32" s="169">
        <v>0.5</v>
      </c>
      <c r="BD32" s="151">
        <v>0.25</v>
      </c>
      <c r="BE32" s="135"/>
      <c r="BF32" s="135"/>
      <c r="BG32" s="136"/>
      <c r="BH32" s="137"/>
      <c r="BI32" s="135"/>
      <c r="BJ32" s="135"/>
      <c r="BK32" s="135"/>
      <c r="BL32" s="140"/>
      <c r="BM32" s="137"/>
      <c r="BN32" s="135"/>
      <c r="BO32" s="135"/>
      <c r="BP32" s="136"/>
      <c r="BQ32" s="137"/>
      <c r="BR32" s="135"/>
      <c r="BS32" s="135"/>
      <c r="BT32" s="136"/>
      <c r="BU32" s="137"/>
      <c r="BV32" s="135"/>
      <c r="BW32" s="135"/>
      <c r="BX32" s="139"/>
      <c r="BY32" s="140"/>
      <c r="BZ32" s="137"/>
      <c r="CA32" s="135"/>
      <c r="CB32" s="135"/>
      <c r="CC32" s="136"/>
      <c r="CD32" s="137"/>
      <c r="CE32" s="135"/>
      <c r="CF32" s="135"/>
      <c r="CG32" s="136"/>
      <c r="CH32" s="137"/>
      <c r="CI32" s="135"/>
      <c r="CJ32" s="135"/>
      <c r="CK32" s="135"/>
      <c r="CL32" s="140"/>
      <c r="CM32" s="137"/>
      <c r="CN32" s="135"/>
      <c r="CO32" s="135"/>
      <c r="CP32" s="136"/>
      <c r="CQ32" s="133"/>
      <c r="CR32" s="131"/>
      <c r="CS32" s="131"/>
      <c r="CT32" s="132"/>
      <c r="CU32" s="133"/>
      <c r="CV32" s="131"/>
      <c r="CW32" s="131"/>
      <c r="CX32" s="132"/>
      <c r="CY32" s="133"/>
      <c r="CZ32" s="131"/>
      <c r="DA32" s="131"/>
      <c r="DB32" s="132"/>
      <c r="DC32" s="82"/>
      <c r="DD32" s="79"/>
      <c r="DE32" s="79"/>
    </row>
    <row r="33" spans="1:109" ht="24.95" customHeight="1" outlineLevel="1" x14ac:dyDescent="0.55000000000000004">
      <c r="A33" s="284"/>
      <c r="B33" s="196" t="str">
        <f t="shared" ref="B33" si="72">B32</f>
        <v>1.2.8</v>
      </c>
      <c r="C33" s="285"/>
      <c r="D33" s="203" t="str">
        <f t="shared" ref="D33" si="73">D32</f>
        <v>MEP Platform</v>
      </c>
      <c r="E33" s="41"/>
      <c r="F33" s="42">
        <f t="shared" ref="F33" si="74">E32</f>
        <v>91097.831200000001</v>
      </c>
      <c r="G33" s="83" t="s">
        <v>42</v>
      </c>
      <c r="H33" s="190">
        <v>0</v>
      </c>
      <c r="I33" s="190"/>
      <c r="J33" s="190"/>
      <c r="K33" s="121">
        <f t="shared" si="5"/>
        <v>0</v>
      </c>
      <c r="L33" s="111">
        <f t="shared" si="29"/>
        <v>0</v>
      </c>
      <c r="M33" s="141"/>
      <c r="N33" s="142"/>
      <c r="O33" s="142"/>
      <c r="P33" s="143"/>
      <c r="Q33" s="144"/>
      <c r="R33" s="142"/>
      <c r="S33" s="142"/>
      <c r="T33" s="143"/>
      <c r="U33" s="145"/>
      <c r="V33" s="142"/>
      <c r="W33" s="142"/>
      <c r="X33" s="143"/>
      <c r="Y33" s="144"/>
      <c r="Z33" s="142"/>
      <c r="AA33" s="142"/>
      <c r="AB33" s="146"/>
      <c r="AC33" s="143"/>
      <c r="AD33" s="144"/>
      <c r="AE33" s="142"/>
      <c r="AF33" s="142"/>
      <c r="AG33" s="143"/>
      <c r="AH33" s="145"/>
      <c r="AI33" s="142"/>
      <c r="AJ33" s="142"/>
      <c r="AK33" s="142"/>
      <c r="AL33" s="147"/>
      <c r="AM33" s="144"/>
      <c r="AN33" s="142"/>
      <c r="AO33" s="142"/>
      <c r="AP33" s="143"/>
      <c r="AQ33" s="144"/>
      <c r="AR33" s="142"/>
      <c r="AS33" s="142"/>
      <c r="AT33" s="143"/>
      <c r="AU33" s="144"/>
      <c r="AV33" s="142"/>
      <c r="AW33" s="142"/>
      <c r="AX33" s="142"/>
      <c r="AY33" s="147"/>
      <c r="AZ33" s="144"/>
      <c r="BA33" s="142"/>
      <c r="BB33" s="142"/>
      <c r="BC33" s="146"/>
      <c r="BD33" s="144"/>
      <c r="BE33" s="142"/>
      <c r="BF33" s="142"/>
      <c r="BG33" s="143"/>
      <c r="BH33" s="144"/>
      <c r="BI33" s="142"/>
      <c r="BJ33" s="142"/>
      <c r="BK33" s="142"/>
      <c r="BL33" s="147"/>
      <c r="BM33" s="144"/>
      <c r="BN33" s="142"/>
      <c r="BO33" s="142"/>
      <c r="BP33" s="143"/>
      <c r="BQ33" s="144"/>
      <c r="BR33" s="142"/>
      <c r="BS33" s="142"/>
      <c r="BT33" s="143"/>
      <c r="BU33" s="144"/>
      <c r="BV33" s="142"/>
      <c r="BW33" s="142"/>
      <c r="BX33" s="146"/>
      <c r="BY33" s="147"/>
      <c r="BZ33" s="144"/>
      <c r="CA33" s="142"/>
      <c r="CB33" s="142"/>
      <c r="CC33" s="143"/>
      <c r="CD33" s="144"/>
      <c r="CE33" s="142"/>
      <c r="CF33" s="142"/>
      <c r="CG33" s="143"/>
      <c r="CH33" s="144"/>
      <c r="CI33" s="142"/>
      <c r="CJ33" s="142"/>
      <c r="CK33" s="142"/>
      <c r="CL33" s="147"/>
      <c r="CM33" s="144"/>
      <c r="CN33" s="142"/>
      <c r="CO33" s="142"/>
      <c r="CP33" s="143"/>
      <c r="CQ33" s="130"/>
      <c r="CR33" s="128"/>
      <c r="CS33" s="128"/>
      <c r="CT33" s="129"/>
      <c r="CU33" s="130"/>
      <c r="CV33" s="128"/>
      <c r="CW33" s="128"/>
      <c r="CX33" s="129"/>
      <c r="CY33" s="130"/>
      <c r="CZ33" s="128"/>
      <c r="DA33" s="128"/>
      <c r="DB33" s="129"/>
      <c r="DC33" s="80"/>
      <c r="DD33" s="79"/>
      <c r="DE33" s="79"/>
    </row>
    <row r="34" spans="1:109" ht="24.95" customHeight="1" outlineLevel="1" x14ac:dyDescent="0.55000000000000004">
      <c r="A34" s="284" t="s">
        <v>52</v>
      </c>
      <c r="B34" s="196" t="str">
        <f t="shared" ref="B34" si="75">A34</f>
        <v>1.2.9</v>
      </c>
      <c r="C34" s="285" t="s">
        <v>118</v>
      </c>
      <c r="D34" s="203" t="str">
        <f t="shared" ref="D34" si="76">C34</f>
        <v>WWWT Foundation</v>
      </c>
      <c r="E34" s="41">
        <v>213666.42749999999</v>
      </c>
      <c r="F34" s="42">
        <f t="shared" ref="F34" si="77">E34</f>
        <v>213666.42749999999</v>
      </c>
      <c r="G34" s="81" t="s">
        <v>41</v>
      </c>
      <c r="H34" s="189">
        <v>0</v>
      </c>
      <c r="I34" s="189"/>
      <c r="J34" s="189"/>
      <c r="K34" s="120">
        <f t="shared" si="5"/>
        <v>1</v>
      </c>
      <c r="L34" s="110">
        <f t="shared" si="29"/>
        <v>213666.42749999999</v>
      </c>
      <c r="M34" s="134"/>
      <c r="N34" s="135"/>
      <c r="O34" s="135"/>
      <c r="P34" s="136"/>
      <c r="Q34" s="137"/>
      <c r="R34" s="135"/>
      <c r="S34" s="135"/>
      <c r="T34" s="136"/>
      <c r="U34" s="138"/>
      <c r="V34" s="135"/>
      <c r="W34" s="135"/>
      <c r="X34" s="136"/>
      <c r="Y34" s="157"/>
      <c r="Z34" s="149"/>
      <c r="AA34" s="149"/>
      <c r="AB34" s="158"/>
      <c r="AC34" s="156"/>
      <c r="AD34" s="157"/>
      <c r="AE34" s="149"/>
      <c r="AF34" s="149"/>
      <c r="AG34" s="156"/>
      <c r="AH34" s="155"/>
      <c r="AI34" s="149"/>
      <c r="AJ34" s="135"/>
      <c r="AK34" s="135"/>
      <c r="AL34" s="140"/>
      <c r="AM34" s="137"/>
      <c r="AN34" s="135"/>
      <c r="AO34" s="135"/>
      <c r="AP34" s="153">
        <v>0.1</v>
      </c>
      <c r="AQ34" s="151">
        <v>0.1</v>
      </c>
      <c r="AR34" s="152">
        <v>0.2</v>
      </c>
      <c r="AS34" s="152">
        <v>0.4</v>
      </c>
      <c r="AT34" s="153">
        <v>0.2</v>
      </c>
      <c r="AU34" s="137"/>
      <c r="AV34" s="135"/>
      <c r="AW34" s="135"/>
      <c r="AX34" s="135"/>
      <c r="AY34" s="140"/>
      <c r="AZ34" s="137"/>
      <c r="BA34" s="135"/>
      <c r="BB34" s="135"/>
      <c r="BC34" s="139"/>
      <c r="BD34" s="137"/>
      <c r="BE34" s="135"/>
      <c r="BF34" s="135"/>
      <c r="BG34" s="136"/>
      <c r="BH34" s="137"/>
      <c r="BI34" s="135"/>
      <c r="BJ34" s="135"/>
      <c r="BK34" s="135"/>
      <c r="BL34" s="140"/>
      <c r="BM34" s="137"/>
      <c r="BN34" s="135"/>
      <c r="BO34" s="135"/>
      <c r="BP34" s="136"/>
      <c r="BQ34" s="137"/>
      <c r="BR34" s="135"/>
      <c r="BS34" s="135"/>
      <c r="BT34" s="136"/>
      <c r="BU34" s="137"/>
      <c r="BV34" s="135"/>
      <c r="BW34" s="135"/>
      <c r="BX34" s="139"/>
      <c r="BY34" s="140"/>
      <c r="BZ34" s="137"/>
      <c r="CA34" s="135"/>
      <c r="CB34" s="135"/>
      <c r="CC34" s="136"/>
      <c r="CD34" s="137"/>
      <c r="CE34" s="135"/>
      <c r="CF34" s="135"/>
      <c r="CG34" s="136"/>
      <c r="CH34" s="137"/>
      <c r="CI34" s="135"/>
      <c r="CJ34" s="135"/>
      <c r="CK34" s="135"/>
      <c r="CL34" s="140"/>
      <c r="CM34" s="137"/>
      <c r="CN34" s="135"/>
      <c r="CO34" s="135"/>
      <c r="CP34" s="136"/>
      <c r="CQ34" s="133"/>
      <c r="CR34" s="131"/>
      <c r="CS34" s="131"/>
      <c r="CT34" s="132"/>
      <c r="CU34" s="133"/>
      <c r="CV34" s="131"/>
      <c r="CW34" s="131"/>
      <c r="CX34" s="132"/>
      <c r="CY34" s="133"/>
      <c r="CZ34" s="131"/>
      <c r="DA34" s="131"/>
      <c r="DB34" s="132"/>
      <c r="DC34" s="82"/>
      <c r="DD34" s="79"/>
      <c r="DE34" s="79"/>
    </row>
    <row r="35" spans="1:109" ht="24.95" customHeight="1" outlineLevel="1" x14ac:dyDescent="0.55000000000000004">
      <c r="A35" s="284"/>
      <c r="B35" s="196" t="str">
        <f t="shared" ref="B35" si="78">B34</f>
        <v>1.2.9</v>
      </c>
      <c r="C35" s="285"/>
      <c r="D35" s="203" t="str">
        <f t="shared" ref="D35" si="79">D34</f>
        <v>WWWT Foundation</v>
      </c>
      <c r="E35" s="41"/>
      <c r="F35" s="42">
        <f t="shared" ref="F35" si="80">E34</f>
        <v>213666.42749999999</v>
      </c>
      <c r="G35" s="83" t="s">
        <v>42</v>
      </c>
      <c r="H35" s="190">
        <v>0</v>
      </c>
      <c r="I35" s="190"/>
      <c r="J35" s="190"/>
      <c r="K35" s="121">
        <f t="shared" si="5"/>
        <v>0.6</v>
      </c>
      <c r="L35" s="111">
        <f t="shared" si="29"/>
        <v>128199.85649999999</v>
      </c>
      <c r="M35" s="141"/>
      <c r="N35" s="142"/>
      <c r="O35" s="142"/>
      <c r="P35" s="143"/>
      <c r="Q35" s="144"/>
      <c r="R35" s="142"/>
      <c r="S35" s="142"/>
      <c r="T35" s="143"/>
      <c r="U35" s="145"/>
      <c r="V35" s="142"/>
      <c r="W35" s="163"/>
      <c r="X35" s="143"/>
      <c r="Y35" s="144"/>
      <c r="Z35" s="142"/>
      <c r="AA35" s="142"/>
      <c r="AB35" s="146"/>
      <c r="AC35" s="143"/>
      <c r="AD35" s="144"/>
      <c r="AE35" s="142"/>
      <c r="AF35" s="142"/>
      <c r="AG35" s="143"/>
      <c r="AH35" s="145"/>
      <c r="AI35" s="142"/>
      <c r="AJ35" s="142"/>
      <c r="AK35" s="142"/>
      <c r="AL35" s="147"/>
      <c r="AM35" s="144"/>
      <c r="AN35" s="142"/>
      <c r="AO35" s="142"/>
      <c r="AP35" s="143"/>
      <c r="AQ35" s="144">
        <v>0.1</v>
      </c>
      <c r="AR35" s="142">
        <v>0.2</v>
      </c>
      <c r="AS35" s="142">
        <v>0.2</v>
      </c>
      <c r="AT35" s="143">
        <v>0.1</v>
      </c>
      <c r="AU35" s="144"/>
      <c r="AV35" s="142"/>
      <c r="AW35" s="142"/>
      <c r="AX35" s="142"/>
      <c r="AY35" s="147"/>
      <c r="AZ35" s="144"/>
      <c r="BA35" s="142"/>
      <c r="BB35" s="142"/>
      <c r="BC35" s="146"/>
      <c r="BD35" s="144"/>
      <c r="BE35" s="142"/>
      <c r="BF35" s="142"/>
      <c r="BG35" s="143"/>
      <c r="BH35" s="144"/>
      <c r="BI35" s="142"/>
      <c r="BJ35" s="142"/>
      <c r="BK35" s="142"/>
      <c r="BL35" s="147"/>
      <c r="BM35" s="144"/>
      <c r="BN35" s="142"/>
      <c r="BO35" s="142"/>
      <c r="BP35" s="143"/>
      <c r="BQ35" s="144"/>
      <c r="BR35" s="142"/>
      <c r="BS35" s="142"/>
      <c r="BT35" s="143"/>
      <c r="BU35" s="144"/>
      <c r="BV35" s="142"/>
      <c r="BW35" s="142"/>
      <c r="BX35" s="146"/>
      <c r="BY35" s="147"/>
      <c r="BZ35" s="144"/>
      <c r="CA35" s="142"/>
      <c r="CB35" s="142"/>
      <c r="CC35" s="143"/>
      <c r="CD35" s="144"/>
      <c r="CE35" s="142"/>
      <c r="CF35" s="142"/>
      <c r="CG35" s="143"/>
      <c r="CH35" s="144"/>
      <c r="CI35" s="142"/>
      <c r="CJ35" s="142"/>
      <c r="CK35" s="142"/>
      <c r="CL35" s="147"/>
      <c r="CM35" s="144"/>
      <c r="CN35" s="142"/>
      <c r="CO35" s="142"/>
      <c r="CP35" s="143"/>
      <c r="CQ35" s="130"/>
      <c r="CR35" s="128"/>
      <c r="CS35" s="128"/>
      <c r="CT35" s="129"/>
      <c r="CU35" s="130"/>
      <c r="CV35" s="128"/>
      <c r="CW35" s="128"/>
      <c r="CX35" s="129"/>
      <c r="CY35" s="130"/>
      <c r="CZ35" s="128"/>
      <c r="DA35" s="128"/>
      <c r="DB35" s="129"/>
      <c r="DC35" s="80"/>
      <c r="DD35" s="79"/>
      <c r="DE35" s="79"/>
    </row>
    <row r="36" spans="1:109" ht="24.95" customHeight="1" outlineLevel="1" x14ac:dyDescent="0.55000000000000004">
      <c r="A36" s="284" t="s">
        <v>53</v>
      </c>
      <c r="B36" s="196" t="str">
        <f t="shared" ref="B36" si="81">A36</f>
        <v>1.2.10</v>
      </c>
      <c r="C36" s="285" t="s">
        <v>117</v>
      </c>
      <c r="D36" s="203" t="str">
        <f t="shared" ref="D36" si="82">C36</f>
        <v>Greastrap Foundation</v>
      </c>
      <c r="E36" s="41">
        <v>59959.247600000002</v>
      </c>
      <c r="F36" s="42">
        <f t="shared" ref="F36" si="83">E36</f>
        <v>59959.247600000002</v>
      </c>
      <c r="G36" s="81" t="s">
        <v>41</v>
      </c>
      <c r="H36" s="189">
        <v>0</v>
      </c>
      <c r="I36" s="189"/>
      <c r="J36" s="189"/>
      <c r="K36" s="120">
        <f t="shared" si="5"/>
        <v>1</v>
      </c>
      <c r="L36" s="110">
        <f t="shared" si="29"/>
        <v>59959.247600000002</v>
      </c>
      <c r="M36" s="134"/>
      <c r="N36" s="135"/>
      <c r="O36" s="135"/>
      <c r="P36" s="136"/>
      <c r="Q36" s="137"/>
      <c r="R36" s="135"/>
      <c r="S36" s="135"/>
      <c r="T36" s="136"/>
      <c r="U36" s="138"/>
      <c r="V36" s="135"/>
      <c r="W36" s="135"/>
      <c r="X36" s="136"/>
      <c r="Y36" s="137"/>
      <c r="Z36" s="135"/>
      <c r="AA36" s="135"/>
      <c r="AB36" s="139"/>
      <c r="AC36" s="136"/>
      <c r="AD36" s="157"/>
      <c r="AE36" s="149"/>
      <c r="AF36" s="149"/>
      <c r="AG36" s="156"/>
      <c r="AH36" s="155"/>
      <c r="AI36" s="149"/>
      <c r="AJ36" s="149"/>
      <c r="AK36" s="149"/>
      <c r="AL36" s="150"/>
      <c r="AM36" s="137"/>
      <c r="AN36" s="135"/>
      <c r="AO36" s="135"/>
      <c r="AP36" s="136"/>
      <c r="AQ36" s="137"/>
      <c r="AR36" s="135"/>
      <c r="AS36" s="152">
        <v>0.1</v>
      </c>
      <c r="AT36" s="153">
        <v>0.4</v>
      </c>
      <c r="AU36" s="151">
        <v>0.35</v>
      </c>
      <c r="AV36" s="152">
        <v>0.15</v>
      </c>
      <c r="AW36" s="135"/>
      <c r="AX36" s="135"/>
      <c r="AY36" s="140"/>
      <c r="AZ36" s="137"/>
      <c r="BA36" s="135"/>
      <c r="BB36" s="135"/>
      <c r="BC36" s="139"/>
      <c r="BD36" s="137"/>
      <c r="BE36" s="135"/>
      <c r="BF36" s="135"/>
      <c r="BG36" s="136"/>
      <c r="BH36" s="137"/>
      <c r="BI36" s="135"/>
      <c r="BJ36" s="135"/>
      <c r="BK36" s="135"/>
      <c r="BL36" s="140"/>
      <c r="BM36" s="137"/>
      <c r="BN36" s="135"/>
      <c r="BO36" s="135"/>
      <c r="BP36" s="136"/>
      <c r="BQ36" s="137"/>
      <c r="BR36" s="135"/>
      <c r="BS36" s="135"/>
      <c r="BT36" s="136"/>
      <c r="BU36" s="137"/>
      <c r="BV36" s="135"/>
      <c r="BW36" s="135"/>
      <c r="BX36" s="139"/>
      <c r="BY36" s="140"/>
      <c r="BZ36" s="137"/>
      <c r="CA36" s="135"/>
      <c r="CB36" s="135"/>
      <c r="CC36" s="136"/>
      <c r="CD36" s="137"/>
      <c r="CE36" s="135"/>
      <c r="CF36" s="135"/>
      <c r="CG36" s="136"/>
      <c r="CH36" s="137"/>
      <c r="CI36" s="135"/>
      <c r="CJ36" s="135"/>
      <c r="CK36" s="135"/>
      <c r="CL36" s="140"/>
      <c r="CM36" s="137"/>
      <c r="CN36" s="135"/>
      <c r="CO36" s="135"/>
      <c r="CP36" s="136"/>
      <c r="CQ36" s="133"/>
      <c r="CR36" s="131"/>
      <c r="CS36" s="131"/>
      <c r="CT36" s="132"/>
      <c r="CU36" s="133"/>
      <c r="CV36" s="131"/>
      <c r="CW36" s="131"/>
      <c r="CX36" s="132"/>
      <c r="CY36" s="133"/>
      <c r="CZ36" s="131"/>
      <c r="DA36" s="131"/>
      <c r="DB36" s="132"/>
      <c r="DC36" s="82"/>
      <c r="DD36" s="79"/>
      <c r="DE36" s="79"/>
    </row>
    <row r="37" spans="1:109" ht="24.95" customHeight="1" outlineLevel="1" x14ac:dyDescent="0.55000000000000004">
      <c r="A37" s="284"/>
      <c r="B37" s="196" t="str">
        <f t="shared" ref="B37" si="84">B36</f>
        <v>1.2.10</v>
      </c>
      <c r="C37" s="285"/>
      <c r="D37" s="203" t="str">
        <f t="shared" ref="D37" si="85">D36</f>
        <v>Greastrap Foundation</v>
      </c>
      <c r="E37" s="41"/>
      <c r="F37" s="42">
        <f t="shared" ref="F37" si="86">E36</f>
        <v>59959.247600000002</v>
      </c>
      <c r="G37" s="83" t="s">
        <v>42</v>
      </c>
      <c r="H37" s="190">
        <v>0</v>
      </c>
      <c r="I37" s="190"/>
      <c r="J37" s="190"/>
      <c r="K37" s="121">
        <f t="shared" si="5"/>
        <v>0.2</v>
      </c>
      <c r="L37" s="111">
        <f t="shared" si="29"/>
        <v>11991.849520000002</v>
      </c>
      <c r="M37" s="141"/>
      <c r="N37" s="142"/>
      <c r="O37" s="142"/>
      <c r="P37" s="143"/>
      <c r="Q37" s="144"/>
      <c r="R37" s="142"/>
      <c r="S37" s="142"/>
      <c r="T37" s="143"/>
      <c r="U37" s="145"/>
      <c r="V37" s="142"/>
      <c r="W37" s="142"/>
      <c r="X37" s="143"/>
      <c r="Y37" s="144"/>
      <c r="Z37" s="142"/>
      <c r="AA37" s="163"/>
      <c r="AB37" s="146"/>
      <c r="AC37" s="143"/>
      <c r="AD37" s="144"/>
      <c r="AE37" s="142"/>
      <c r="AF37" s="142"/>
      <c r="AG37" s="143"/>
      <c r="AH37" s="145"/>
      <c r="AI37" s="142"/>
      <c r="AJ37" s="142"/>
      <c r="AK37" s="142"/>
      <c r="AL37" s="147"/>
      <c r="AM37" s="144"/>
      <c r="AN37" s="142"/>
      <c r="AO37" s="142"/>
      <c r="AP37" s="143"/>
      <c r="AQ37" s="144"/>
      <c r="AR37" s="142"/>
      <c r="AS37" s="142">
        <v>0.1</v>
      </c>
      <c r="AT37" s="143">
        <v>0.1</v>
      </c>
      <c r="AU37" s="144"/>
      <c r="AV37" s="142"/>
      <c r="AW37" s="142"/>
      <c r="AX37" s="142"/>
      <c r="AY37" s="147"/>
      <c r="AZ37" s="144"/>
      <c r="BA37" s="142"/>
      <c r="BB37" s="142"/>
      <c r="BC37" s="146"/>
      <c r="BD37" s="144"/>
      <c r="BE37" s="142"/>
      <c r="BF37" s="142"/>
      <c r="BG37" s="143"/>
      <c r="BH37" s="144"/>
      <c r="BI37" s="142"/>
      <c r="BJ37" s="142"/>
      <c r="BK37" s="142"/>
      <c r="BL37" s="147"/>
      <c r="BM37" s="144"/>
      <c r="BN37" s="142"/>
      <c r="BO37" s="142"/>
      <c r="BP37" s="143"/>
      <c r="BQ37" s="144"/>
      <c r="BR37" s="142"/>
      <c r="BS37" s="142"/>
      <c r="BT37" s="143"/>
      <c r="BU37" s="144"/>
      <c r="BV37" s="142"/>
      <c r="BW37" s="142"/>
      <c r="BX37" s="146"/>
      <c r="BY37" s="147"/>
      <c r="BZ37" s="144"/>
      <c r="CA37" s="142"/>
      <c r="CB37" s="142"/>
      <c r="CC37" s="143"/>
      <c r="CD37" s="144"/>
      <c r="CE37" s="142"/>
      <c r="CF37" s="142"/>
      <c r="CG37" s="143"/>
      <c r="CH37" s="144"/>
      <c r="CI37" s="142"/>
      <c r="CJ37" s="142"/>
      <c r="CK37" s="142"/>
      <c r="CL37" s="147"/>
      <c r="CM37" s="144"/>
      <c r="CN37" s="142"/>
      <c r="CO37" s="142"/>
      <c r="CP37" s="143"/>
      <c r="CQ37" s="130"/>
      <c r="CR37" s="128"/>
      <c r="CS37" s="128"/>
      <c r="CT37" s="129"/>
      <c r="CU37" s="130"/>
      <c r="CV37" s="128"/>
      <c r="CW37" s="128"/>
      <c r="CX37" s="129"/>
      <c r="CY37" s="130"/>
      <c r="CZ37" s="128"/>
      <c r="DA37" s="128"/>
      <c r="DB37" s="129"/>
      <c r="DC37" s="80"/>
      <c r="DD37" s="79"/>
      <c r="DE37" s="79"/>
    </row>
    <row r="38" spans="1:109" ht="24.95" customHeight="1" outlineLevel="1" x14ac:dyDescent="0.55000000000000004">
      <c r="A38" s="284" t="s">
        <v>54</v>
      </c>
      <c r="B38" s="196" t="str">
        <f t="shared" ref="B38" si="87">A38</f>
        <v>1.2.11</v>
      </c>
      <c r="C38" s="285" t="s">
        <v>119</v>
      </c>
      <c r="D38" s="203" t="str">
        <f t="shared" ref="D38" si="88">C38</f>
        <v>WWT Foundation</v>
      </c>
      <c r="E38" s="41">
        <v>126322.7127</v>
      </c>
      <c r="F38" s="42">
        <f t="shared" ref="F38" si="89">E38</f>
        <v>126322.7127</v>
      </c>
      <c r="G38" s="81" t="s">
        <v>41</v>
      </c>
      <c r="H38" s="189">
        <v>0</v>
      </c>
      <c r="I38" s="189"/>
      <c r="J38" s="189"/>
      <c r="K38" s="120">
        <f t="shared" si="5"/>
        <v>1</v>
      </c>
      <c r="L38" s="110">
        <f t="shared" si="29"/>
        <v>126322.7127</v>
      </c>
      <c r="M38" s="134"/>
      <c r="N38" s="135"/>
      <c r="O38" s="135"/>
      <c r="P38" s="136"/>
      <c r="Q38" s="137"/>
      <c r="R38" s="135"/>
      <c r="S38" s="135"/>
      <c r="T38" s="136"/>
      <c r="U38" s="138"/>
      <c r="V38" s="135"/>
      <c r="W38" s="135"/>
      <c r="X38" s="136"/>
      <c r="Y38" s="137"/>
      <c r="Z38" s="135"/>
      <c r="AA38" s="135"/>
      <c r="AB38" s="139"/>
      <c r="AC38" s="136"/>
      <c r="AD38" s="157"/>
      <c r="AE38" s="149"/>
      <c r="AF38" s="149"/>
      <c r="AG38" s="156"/>
      <c r="AH38" s="155"/>
      <c r="AI38" s="149"/>
      <c r="AJ38" s="135"/>
      <c r="AK38" s="135"/>
      <c r="AL38" s="140"/>
      <c r="AM38" s="137"/>
      <c r="AN38" s="135"/>
      <c r="AO38" s="135"/>
      <c r="AP38" s="136"/>
      <c r="AQ38" s="137"/>
      <c r="AR38" s="135"/>
      <c r="AS38" s="135"/>
      <c r="AT38" s="136"/>
      <c r="AU38" s="151">
        <v>0.2</v>
      </c>
      <c r="AV38" s="152">
        <v>0.2</v>
      </c>
      <c r="AW38" s="152">
        <v>0.5</v>
      </c>
      <c r="AX38" s="152">
        <v>0.1</v>
      </c>
      <c r="AY38" s="140"/>
      <c r="AZ38" s="137"/>
      <c r="BA38" s="135"/>
      <c r="BB38" s="135"/>
      <c r="BC38" s="139"/>
      <c r="BD38" s="137"/>
      <c r="BE38" s="135"/>
      <c r="BF38" s="135"/>
      <c r="BG38" s="136"/>
      <c r="BH38" s="137"/>
      <c r="BI38" s="135"/>
      <c r="BJ38" s="135"/>
      <c r="BK38" s="135"/>
      <c r="BL38" s="140"/>
      <c r="BM38" s="137"/>
      <c r="BN38" s="135"/>
      <c r="BO38" s="135"/>
      <c r="BP38" s="136"/>
      <c r="BQ38" s="137"/>
      <c r="BR38" s="135"/>
      <c r="BS38" s="135"/>
      <c r="BT38" s="136"/>
      <c r="BU38" s="137"/>
      <c r="BV38" s="135"/>
      <c r="BW38" s="135"/>
      <c r="BX38" s="139"/>
      <c r="BY38" s="140"/>
      <c r="BZ38" s="137"/>
      <c r="CA38" s="135"/>
      <c r="CB38" s="135"/>
      <c r="CC38" s="136"/>
      <c r="CD38" s="137"/>
      <c r="CE38" s="135"/>
      <c r="CF38" s="135"/>
      <c r="CG38" s="136"/>
      <c r="CH38" s="137"/>
      <c r="CI38" s="135"/>
      <c r="CJ38" s="135"/>
      <c r="CK38" s="135"/>
      <c r="CL38" s="140"/>
      <c r="CM38" s="137"/>
      <c r="CN38" s="135"/>
      <c r="CO38" s="135"/>
      <c r="CP38" s="136"/>
      <c r="CQ38" s="133"/>
      <c r="CR38" s="131"/>
      <c r="CS38" s="131"/>
      <c r="CT38" s="132"/>
      <c r="CU38" s="133"/>
      <c r="CV38" s="131"/>
      <c r="CW38" s="131"/>
      <c r="CX38" s="132"/>
      <c r="CY38" s="133"/>
      <c r="CZ38" s="131"/>
      <c r="DA38" s="131"/>
      <c r="DB38" s="132"/>
      <c r="DC38" s="82"/>
      <c r="DD38" s="79"/>
      <c r="DE38" s="79"/>
    </row>
    <row r="39" spans="1:109" ht="24.95" customHeight="1" outlineLevel="1" x14ac:dyDescent="0.55000000000000004">
      <c r="A39" s="284"/>
      <c r="B39" s="196" t="str">
        <f t="shared" ref="B39" si="90">B38</f>
        <v>1.2.11</v>
      </c>
      <c r="C39" s="285"/>
      <c r="D39" s="203" t="str">
        <f t="shared" ref="D39" si="91">D38</f>
        <v>WWT Foundation</v>
      </c>
      <c r="E39" s="41"/>
      <c r="F39" s="42">
        <f t="shared" ref="F39" si="92">E38</f>
        <v>126322.7127</v>
      </c>
      <c r="G39" s="83" t="s">
        <v>42</v>
      </c>
      <c r="H39" s="190">
        <v>0</v>
      </c>
      <c r="I39" s="190"/>
      <c r="J39" s="190"/>
      <c r="K39" s="121">
        <f t="shared" si="5"/>
        <v>0</v>
      </c>
      <c r="L39" s="111">
        <f t="shared" si="29"/>
        <v>0</v>
      </c>
      <c r="M39" s="141"/>
      <c r="N39" s="142"/>
      <c r="O39" s="142"/>
      <c r="P39" s="143"/>
      <c r="Q39" s="144"/>
      <c r="R39" s="142"/>
      <c r="S39" s="142"/>
      <c r="T39" s="143"/>
      <c r="U39" s="145"/>
      <c r="V39" s="142"/>
      <c r="W39" s="142"/>
      <c r="X39" s="143"/>
      <c r="Y39" s="144"/>
      <c r="Z39" s="142"/>
      <c r="AA39" s="142"/>
      <c r="AB39" s="167"/>
      <c r="AC39" s="164"/>
      <c r="AD39" s="144"/>
      <c r="AE39" s="142"/>
      <c r="AF39" s="142"/>
      <c r="AG39" s="143"/>
      <c r="AH39" s="145"/>
      <c r="AI39" s="142"/>
      <c r="AJ39" s="142"/>
      <c r="AK39" s="142"/>
      <c r="AL39" s="147"/>
      <c r="AM39" s="144"/>
      <c r="AN39" s="142"/>
      <c r="AO39" s="142"/>
      <c r="AP39" s="143"/>
      <c r="AQ39" s="144"/>
      <c r="AR39" s="142"/>
      <c r="AS39" s="142"/>
      <c r="AT39" s="143"/>
      <c r="AU39" s="144"/>
      <c r="AV39" s="142"/>
      <c r="AW39" s="142"/>
      <c r="AX39" s="142"/>
      <c r="AY39" s="147"/>
      <c r="AZ39" s="144"/>
      <c r="BA39" s="142"/>
      <c r="BB39" s="142"/>
      <c r="BC39" s="146"/>
      <c r="BD39" s="144"/>
      <c r="BE39" s="142"/>
      <c r="BF39" s="142"/>
      <c r="BG39" s="143"/>
      <c r="BH39" s="144"/>
      <c r="BI39" s="142"/>
      <c r="BJ39" s="142"/>
      <c r="BK39" s="142"/>
      <c r="BL39" s="147"/>
      <c r="BM39" s="144"/>
      <c r="BN39" s="142"/>
      <c r="BO39" s="142"/>
      <c r="BP39" s="143"/>
      <c r="BQ39" s="144"/>
      <c r="BR39" s="142"/>
      <c r="BS39" s="142"/>
      <c r="BT39" s="143"/>
      <c r="BU39" s="144"/>
      <c r="BV39" s="142"/>
      <c r="BW39" s="142"/>
      <c r="BX39" s="146"/>
      <c r="BY39" s="147"/>
      <c r="BZ39" s="144"/>
      <c r="CA39" s="142"/>
      <c r="CB39" s="142"/>
      <c r="CC39" s="143"/>
      <c r="CD39" s="144"/>
      <c r="CE39" s="142"/>
      <c r="CF39" s="142"/>
      <c r="CG39" s="143"/>
      <c r="CH39" s="144"/>
      <c r="CI39" s="142"/>
      <c r="CJ39" s="142"/>
      <c r="CK39" s="142"/>
      <c r="CL39" s="147"/>
      <c r="CM39" s="144"/>
      <c r="CN39" s="142"/>
      <c r="CO39" s="142"/>
      <c r="CP39" s="143"/>
      <c r="CQ39" s="130"/>
      <c r="CR39" s="128"/>
      <c r="CS39" s="128"/>
      <c r="CT39" s="129"/>
      <c r="CU39" s="130"/>
      <c r="CV39" s="128"/>
      <c r="CW39" s="128"/>
      <c r="CX39" s="129"/>
      <c r="CY39" s="130"/>
      <c r="CZ39" s="128"/>
      <c r="DA39" s="128"/>
      <c r="DB39" s="129"/>
      <c r="DC39" s="80"/>
      <c r="DD39" s="79"/>
      <c r="DE39" s="79"/>
    </row>
    <row r="40" spans="1:109" ht="24.95" customHeight="1" outlineLevel="1" x14ac:dyDescent="0.55000000000000004">
      <c r="A40" s="284" t="s">
        <v>55</v>
      </c>
      <c r="B40" s="196" t="str">
        <f t="shared" ref="B40" si="93">A40</f>
        <v>1.2.12</v>
      </c>
      <c r="C40" s="285" t="s">
        <v>120</v>
      </c>
      <c r="D40" s="203" t="str">
        <f t="shared" ref="D40" si="94">C40</f>
        <v>ST6</v>
      </c>
      <c r="E40" s="41">
        <v>51374.755299999997</v>
      </c>
      <c r="F40" s="42">
        <f t="shared" ref="F40" si="95">E40</f>
        <v>51374.755299999997</v>
      </c>
      <c r="G40" s="81" t="s">
        <v>41</v>
      </c>
      <c r="H40" s="189">
        <v>0</v>
      </c>
      <c r="I40" s="189"/>
      <c r="J40" s="189"/>
      <c r="K40" s="120">
        <f t="shared" si="5"/>
        <v>1</v>
      </c>
      <c r="L40" s="110">
        <f t="shared" si="29"/>
        <v>51374.755299999997</v>
      </c>
      <c r="M40" s="134"/>
      <c r="N40" s="135"/>
      <c r="O40" s="135"/>
      <c r="P40" s="136"/>
      <c r="Q40" s="137"/>
      <c r="R40" s="135"/>
      <c r="S40" s="135"/>
      <c r="T40" s="136"/>
      <c r="U40" s="138"/>
      <c r="V40" s="135"/>
      <c r="W40" s="135"/>
      <c r="X40" s="136"/>
      <c r="Y40" s="157"/>
      <c r="Z40" s="149"/>
      <c r="AA40" s="149"/>
      <c r="AB40" s="158"/>
      <c r="AC40" s="156"/>
      <c r="AD40" s="137"/>
      <c r="AE40" s="135"/>
      <c r="AF40" s="135"/>
      <c r="AG40" s="136"/>
      <c r="AH40" s="138"/>
      <c r="AI40" s="135"/>
      <c r="AJ40" s="135"/>
      <c r="AK40" s="135"/>
      <c r="AL40" s="140"/>
      <c r="AM40" s="137"/>
      <c r="AN40" s="135"/>
      <c r="AO40" s="135"/>
      <c r="AP40" s="136"/>
      <c r="AQ40" s="137"/>
      <c r="AR40" s="135"/>
      <c r="AS40" s="135"/>
      <c r="AT40" s="136"/>
      <c r="AU40" s="151">
        <v>0.15</v>
      </c>
      <c r="AV40" s="152">
        <v>0.25</v>
      </c>
      <c r="AW40" s="152">
        <v>0.5</v>
      </c>
      <c r="AX40" s="152">
        <v>0.1</v>
      </c>
      <c r="AY40" s="140"/>
      <c r="AZ40" s="137"/>
      <c r="BA40" s="135"/>
      <c r="BB40" s="135"/>
      <c r="BC40" s="139"/>
      <c r="BD40" s="137"/>
      <c r="BE40" s="135"/>
      <c r="BF40" s="135"/>
      <c r="BG40" s="136"/>
      <c r="BH40" s="137"/>
      <c r="BI40" s="135"/>
      <c r="BJ40" s="135"/>
      <c r="BK40" s="135"/>
      <c r="BL40" s="140"/>
      <c r="BM40" s="137"/>
      <c r="BN40" s="135"/>
      <c r="BO40" s="135"/>
      <c r="BP40" s="136"/>
      <c r="BQ40" s="137"/>
      <c r="BR40" s="135"/>
      <c r="BS40" s="135"/>
      <c r="BT40" s="136"/>
      <c r="BU40" s="137"/>
      <c r="BV40" s="135"/>
      <c r="BW40" s="135"/>
      <c r="BX40" s="139"/>
      <c r="BY40" s="140"/>
      <c r="BZ40" s="137"/>
      <c r="CA40" s="135"/>
      <c r="CB40" s="135"/>
      <c r="CC40" s="136"/>
      <c r="CD40" s="137"/>
      <c r="CE40" s="135"/>
      <c r="CF40" s="135"/>
      <c r="CG40" s="136"/>
      <c r="CH40" s="137"/>
      <c r="CI40" s="135"/>
      <c r="CJ40" s="135"/>
      <c r="CK40" s="135"/>
      <c r="CL40" s="140"/>
      <c r="CM40" s="137"/>
      <c r="CN40" s="135"/>
      <c r="CO40" s="135"/>
      <c r="CP40" s="136"/>
      <c r="CQ40" s="133"/>
      <c r="CR40" s="131"/>
      <c r="CS40" s="131"/>
      <c r="CT40" s="132"/>
      <c r="CU40" s="133"/>
      <c r="CV40" s="131"/>
      <c r="CW40" s="131"/>
      <c r="CX40" s="132"/>
      <c r="CY40" s="133"/>
      <c r="CZ40" s="131"/>
      <c r="DA40" s="131"/>
      <c r="DB40" s="132"/>
      <c r="DC40" s="82"/>
      <c r="DD40" s="79"/>
      <c r="DE40" s="79"/>
    </row>
    <row r="41" spans="1:109" ht="24.95" customHeight="1" outlineLevel="1" x14ac:dyDescent="0.55000000000000004">
      <c r="A41" s="284"/>
      <c r="B41" s="196" t="str">
        <f t="shared" ref="B41" si="96">B40</f>
        <v>1.2.12</v>
      </c>
      <c r="C41" s="285"/>
      <c r="D41" s="203" t="str">
        <f t="shared" ref="D41" si="97">D40</f>
        <v>ST6</v>
      </c>
      <c r="E41" s="41"/>
      <c r="F41" s="42">
        <f t="shared" ref="F41" si="98">E40</f>
        <v>51374.755299999997</v>
      </c>
      <c r="G41" s="83" t="s">
        <v>42</v>
      </c>
      <c r="H41" s="190">
        <v>0</v>
      </c>
      <c r="I41" s="190"/>
      <c r="J41" s="190"/>
      <c r="K41" s="121">
        <f t="shared" si="5"/>
        <v>0</v>
      </c>
      <c r="L41" s="111">
        <f t="shared" si="29"/>
        <v>0</v>
      </c>
      <c r="M41" s="141"/>
      <c r="N41" s="142"/>
      <c r="O41" s="142"/>
      <c r="P41" s="143"/>
      <c r="Q41" s="144"/>
      <c r="R41" s="142"/>
      <c r="S41" s="142"/>
      <c r="T41" s="143"/>
      <c r="U41" s="145"/>
      <c r="V41" s="142"/>
      <c r="W41" s="142"/>
      <c r="X41" s="143"/>
      <c r="Y41" s="144"/>
      <c r="Z41" s="142"/>
      <c r="AA41" s="142"/>
      <c r="AB41" s="146"/>
      <c r="AC41" s="143"/>
      <c r="AD41" s="144"/>
      <c r="AE41" s="142"/>
      <c r="AF41" s="142"/>
      <c r="AG41" s="143"/>
      <c r="AH41" s="145"/>
      <c r="AI41" s="142"/>
      <c r="AJ41" s="142"/>
      <c r="AK41" s="142"/>
      <c r="AL41" s="147"/>
      <c r="AM41" s="144"/>
      <c r="AN41" s="142"/>
      <c r="AO41" s="142"/>
      <c r="AP41" s="143"/>
      <c r="AQ41" s="144"/>
      <c r="AR41" s="142"/>
      <c r="AS41" s="142"/>
      <c r="AT41" s="143"/>
      <c r="AU41" s="144"/>
      <c r="AV41" s="142"/>
      <c r="AW41" s="142"/>
      <c r="AX41" s="142"/>
      <c r="AY41" s="147"/>
      <c r="AZ41" s="144"/>
      <c r="BA41" s="142"/>
      <c r="BB41" s="142"/>
      <c r="BC41" s="146"/>
      <c r="BD41" s="144"/>
      <c r="BE41" s="142"/>
      <c r="BF41" s="142"/>
      <c r="BG41" s="143"/>
      <c r="BH41" s="144"/>
      <c r="BI41" s="142"/>
      <c r="BJ41" s="142"/>
      <c r="BK41" s="142"/>
      <c r="BL41" s="147"/>
      <c r="BM41" s="144"/>
      <c r="BN41" s="142"/>
      <c r="BO41" s="142"/>
      <c r="BP41" s="143"/>
      <c r="BQ41" s="144"/>
      <c r="BR41" s="142"/>
      <c r="BS41" s="142"/>
      <c r="BT41" s="143"/>
      <c r="BU41" s="144"/>
      <c r="BV41" s="142"/>
      <c r="BW41" s="142"/>
      <c r="BX41" s="146"/>
      <c r="BY41" s="147"/>
      <c r="BZ41" s="144"/>
      <c r="CA41" s="142"/>
      <c r="CB41" s="142"/>
      <c r="CC41" s="143"/>
      <c r="CD41" s="144"/>
      <c r="CE41" s="142"/>
      <c r="CF41" s="142"/>
      <c r="CG41" s="143"/>
      <c r="CH41" s="144"/>
      <c r="CI41" s="142"/>
      <c r="CJ41" s="142"/>
      <c r="CK41" s="142"/>
      <c r="CL41" s="147"/>
      <c r="CM41" s="144"/>
      <c r="CN41" s="142"/>
      <c r="CO41" s="142"/>
      <c r="CP41" s="143"/>
      <c r="CQ41" s="130"/>
      <c r="CR41" s="128"/>
      <c r="CS41" s="128"/>
      <c r="CT41" s="129"/>
      <c r="CU41" s="130"/>
      <c r="CV41" s="128"/>
      <c r="CW41" s="128"/>
      <c r="CX41" s="129"/>
      <c r="CY41" s="130"/>
      <c r="CZ41" s="128"/>
      <c r="DA41" s="128"/>
      <c r="DB41" s="129"/>
      <c r="DC41" s="80"/>
      <c r="DD41" s="79"/>
      <c r="DE41" s="79"/>
    </row>
    <row r="42" spans="1:109" ht="24.95" customHeight="1" outlineLevel="1" x14ac:dyDescent="0.55000000000000004">
      <c r="A42" s="284" t="s">
        <v>56</v>
      </c>
      <c r="B42" s="196" t="str">
        <f t="shared" ref="B42" si="99">A42</f>
        <v>1.2.14</v>
      </c>
      <c r="C42" s="285" t="s">
        <v>121</v>
      </c>
      <c r="D42" s="203" t="str">
        <f t="shared" ref="D42" si="100">C42</f>
        <v>Entrance</v>
      </c>
      <c r="E42" s="41">
        <v>158540.34849999999</v>
      </c>
      <c r="F42" s="42">
        <f t="shared" ref="F42" si="101">E42</f>
        <v>158540.34849999999</v>
      </c>
      <c r="G42" s="81" t="s">
        <v>41</v>
      </c>
      <c r="H42" s="189">
        <v>0</v>
      </c>
      <c r="I42" s="189"/>
      <c r="J42" s="189"/>
      <c r="K42" s="120">
        <f t="shared" ref="K42:K69" si="102">SUM(M42:DC42)</f>
        <v>1</v>
      </c>
      <c r="L42" s="110">
        <f t="shared" si="29"/>
        <v>158540.34849999999</v>
      </c>
      <c r="M42" s="134"/>
      <c r="N42" s="135"/>
      <c r="O42" s="135"/>
      <c r="P42" s="136"/>
      <c r="Q42" s="137"/>
      <c r="R42" s="135"/>
      <c r="S42" s="135"/>
      <c r="T42" s="136"/>
      <c r="U42" s="138"/>
      <c r="V42" s="135"/>
      <c r="W42" s="135"/>
      <c r="X42" s="136"/>
      <c r="Y42" s="137"/>
      <c r="Z42" s="135"/>
      <c r="AA42" s="135"/>
      <c r="AB42" s="139"/>
      <c r="AC42" s="136"/>
      <c r="AD42" s="157"/>
      <c r="AE42" s="149"/>
      <c r="AF42" s="149"/>
      <c r="AG42" s="156"/>
      <c r="AH42" s="155"/>
      <c r="AI42" s="149"/>
      <c r="AJ42" s="149"/>
      <c r="AK42" s="149"/>
      <c r="AL42" s="150"/>
      <c r="AM42" s="137"/>
      <c r="AN42" s="135"/>
      <c r="AO42" s="135"/>
      <c r="AP42" s="136"/>
      <c r="AQ42" s="137"/>
      <c r="AR42" s="135"/>
      <c r="AS42" s="135"/>
      <c r="AT42" s="136"/>
      <c r="AU42" s="137"/>
      <c r="AV42" s="135"/>
      <c r="AW42" s="135"/>
      <c r="AX42" s="135"/>
      <c r="AY42" s="159">
        <v>0.1</v>
      </c>
      <c r="AZ42" s="151">
        <v>0.1</v>
      </c>
      <c r="BA42" s="152">
        <v>0.2</v>
      </c>
      <c r="BB42" s="152">
        <v>0.4</v>
      </c>
      <c r="BC42" s="139">
        <v>0.2</v>
      </c>
      <c r="BD42" s="137"/>
      <c r="BE42" s="135"/>
      <c r="BF42" s="135"/>
      <c r="BG42" s="136"/>
      <c r="BH42" s="137"/>
      <c r="BI42" s="135"/>
      <c r="BJ42" s="135"/>
      <c r="BK42" s="135"/>
      <c r="BL42" s="140"/>
      <c r="BM42" s="137"/>
      <c r="BN42" s="135"/>
      <c r="BO42" s="135"/>
      <c r="BP42" s="136"/>
      <c r="BQ42" s="137"/>
      <c r="BR42" s="135"/>
      <c r="BS42" s="135"/>
      <c r="BT42" s="136"/>
      <c r="BU42" s="137"/>
      <c r="BV42" s="135"/>
      <c r="BW42" s="135"/>
      <c r="BX42" s="139"/>
      <c r="BY42" s="140"/>
      <c r="BZ42" s="137"/>
      <c r="CA42" s="135"/>
      <c r="CB42" s="135"/>
      <c r="CC42" s="136"/>
      <c r="CD42" s="137"/>
      <c r="CE42" s="135"/>
      <c r="CF42" s="135"/>
      <c r="CG42" s="136"/>
      <c r="CH42" s="137"/>
      <c r="CI42" s="135"/>
      <c r="CJ42" s="135"/>
      <c r="CK42" s="135"/>
      <c r="CL42" s="140"/>
      <c r="CM42" s="137"/>
      <c r="CN42" s="135"/>
      <c r="CO42" s="135"/>
      <c r="CP42" s="136"/>
      <c r="CQ42" s="133"/>
      <c r="CR42" s="131"/>
      <c r="CS42" s="131"/>
      <c r="CT42" s="132"/>
      <c r="CU42" s="133"/>
      <c r="CV42" s="131"/>
      <c r="CW42" s="131"/>
      <c r="CX42" s="132"/>
      <c r="CY42" s="133"/>
      <c r="CZ42" s="131"/>
      <c r="DA42" s="131"/>
      <c r="DB42" s="132"/>
      <c r="DC42" s="82"/>
      <c r="DD42" s="79"/>
      <c r="DE42" s="79"/>
    </row>
    <row r="43" spans="1:109" ht="24.95" customHeight="1" outlineLevel="1" x14ac:dyDescent="0.55000000000000004">
      <c r="A43" s="284"/>
      <c r="B43" s="196" t="str">
        <f t="shared" ref="B43" si="103">B42</f>
        <v>1.2.14</v>
      </c>
      <c r="C43" s="285"/>
      <c r="D43" s="203" t="str">
        <f t="shared" ref="D43" si="104">D42</f>
        <v>Entrance</v>
      </c>
      <c r="E43" s="41"/>
      <c r="F43" s="42">
        <f t="shared" ref="F43" si="105">E42</f>
        <v>158540.34849999999</v>
      </c>
      <c r="G43" s="83" t="s">
        <v>42</v>
      </c>
      <c r="H43" s="190">
        <v>0</v>
      </c>
      <c r="I43" s="190"/>
      <c r="J43" s="190"/>
      <c r="K43" s="121">
        <f t="shared" si="102"/>
        <v>0</v>
      </c>
      <c r="L43" s="111">
        <f t="shared" si="29"/>
        <v>0</v>
      </c>
      <c r="M43" s="141"/>
      <c r="N43" s="142"/>
      <c r="O43" s="142"/>
      <c r="P43" s="143"/>
      <c r="Q43" s="144"/>
      <c r="R43" s="142"/>
      <c r="S43" s="142"/>
      <c r="T43" s="143"/>
      <c r="U43" s="145"/>
      <c r="V43" s="142"/>
      <c r="W43" s="142"/>
      <c r="X43" s="143"/>
      <c r="Y43" s="144"/>
      <c r="Z43" s="142"/>
      <c r="AA43" s="163"/>
      <c r="AB43" s="146"/>
      <c r="AC43" s="143"/>
      <c r="AD43" s="144"/>
      <c r="AE43" s="142"/>
      <c r="AF43" s="142"/>
      <c r="AG43" s="143"/>
      <c r="AH43" s="145"/>
      <c r="AI43" s="142"/>
      <c r="AJ43" s="142"/>
      <c r="AK43" s="142"/>
      <c r="AL43" s="147"/>
      <c r="AM43" s="144"/>
      <c r="AN43" s="142"/>
      <c r="AO43" s="142"/>
      <c r="AP43" s="143"/>
      <c r="AQ43" s="144"/>
      <c r="AR43" s="142"/>
      <c r="AS43" s="142"/>
      <c r="AT43" s="143"/>
      <c r="AU43" s="144"/>
      <c r="AV43" s="142"/>
      <c r="AW43" s="142"/>
      <c r="AX43" s="142"/>
      <c r="AY43" s="147"/>
      <c r="AZ43" s="144"/>
      <c r="BA43" s="142"/>
      <c r="BB43" s="142"/>
      <c r="BC43" s="146"/>
      <c r="BD43" s="144"/>
      <c r="BE43" s="142"/>
      <c r="BF43" s="142"/>
      <c r="BG43" s="143"/>
      <c r="BH43" s="144"/>
      <c r="BI43" s="142"/>
      <c r="BJ43" s="142"/>
      <c r="BK43" s="142"/>
      <c r="BL43" s="147"/>
      <c r="BM43" s="144"/>
      <c r="BN43" s="142"/>
      <c r="BO43" s="142"/>
      <c r="BP43" s="143"/>
      <c r="BQ43" s="144"/>
      <c r="BR43" s="142"/>
      <c r="BS43" s="142"/>
      <c r="BT43" s="143"/>
      <c r="BU43" s="144"/>
      <c r="BV43" s="142"/>
      <c r="BW43" s="142"/>
      <c r="BX43" s="146"/>
      <c r="BY43" s="147"/>
      <c r="BZ43" s="144"/>
      <c r="CA43" s="142"/>
      <c r="CB43" s="142"/>
      <c r="CC43" s="143"/>
      <c r="CD43" s="144"/>
      <c r="CE43" s="142"/>
      <c r="CF43" s="142"/>
      <c r="CG43" s="143"/>
      <c r="CH43" s="144"/>
      <c r="CI43" s="142"/>
      <c r="CJ43" s="142"/>
      <c r="CK43" s="142"/>
      <c r="CL43" s="147"/>
      <c r="CM43" s="144"/>
      <c r="CN43" s="142"/>
      <c r="CO43" s="142"/>
      <c r="CP43" s="143"/>
      <c r="CQ43" s="130"/>
      <c r="CR43" s="128"/>
      <c r="CS43" s="128"/>
      <c r="CT43" s="129"/>
      <c r="CU43" s="130"/>
      <c r="CV43" s="128"/>
      <c r="CW43" s="128"/>
      <c r="CX43" s="129"/>
      <c r="CY43" s="130"/>
      <c r="CZ43" s="128"/>
      <c r="DA43" s="128"/>
      <c r="DB43" s="129"/>
      <c r="DC43" s="80"/>
      <c r="DD43" s="79"/>
      <c r="DE43" s="79"/>
    </row>
    <row r="44" spans="1:109" ht="24.95" customHeight="1" x14ac:dyDescent="0.55000000000000004">
      <c r="A44" s="282">
        <v>1.3</v>
      </c>
      <c r="B44" s="197">
        <f t="shared" ref="B44" si="106">A44</f>
        <v>1.3</v>
      </c>
      <c r="C44" s="283" t="s">
        <v>123</v>
      </c>
      <c r="D44" s="202" t="str">
        <f t="shared" ref="D44" si="107">C44</f>
        <v>Riser</v>
      </c>
      <c r="E44" s="61">
        <f>SUM(E46:E53)</f>
        <v>349589.6634711941</v>
      </c>
      <c r="F44" s="40">
        <f t="shared" ref="F44" si="108">E44</f>
        <v>349589.6634711941</v>
      </c>
      <c r="G44" s="179" t="s">
        <v>41</v>
      </c>
      <c r="H44" s="184">
        <v>1</v>
      </c>
      <c r="I44" s="184"/>
      <c r="J44" s="184" t="s">
        <v>105</v>
      </c>
      <c r="K44" s="122">
        <f t="shared" si="102"/>
        <v>0.99999999999999989</v>
      </c>
      <c r="L44" s="113">
        <f>L46+L50+L52</f>
        <v>329523.54507682368</v>
      </c>
      <c r="M44" s="134" cm="1">
        <f t="array" ref="M44">SUMPRODUCT(($G$46:$G$53="P")*$F$46:$F$53*M46:M53)/$F$44</f>
        <v>0</v>
      </c>
      <c r="N44" s="135">
        <f t="shared" ref="N44:AA44" si="109">SUMPRODUCT(($G$46:$G$53="P")*$F$46:$F$53*N46:N53)/$F$44</f>
        <v>0</v>
      </c>
      <c r="O44" s="135">
        <f t="shared" si="109"/>
        <v>0</v>
      </c>
      <c r="P44" s="136">
        <f t="shared" si="109"/>
        <v>0</v>
      </c>
      <c r="Q44" s="137">
        <f t="shared" si="109"/>
        <v>0</v>
      </c>
      <c r="R44" s="135">
        <f t="shared" si="109"/>
        <v>0</v>
      </c>
      <c r="S44" s="135">
        <f t="shared" si="109"/>
        <v>0</v>
      </c>
      <c r="T44" s="136">
        <f t="shared" si="109"/>
        <v>0</v>
      </c>
      <c r="U44" s="138">
        <f t="shared" si="109"/>
        <v>0</v>
      </c>
      <c r="V44" s="135">
        <f t="shared" si="109"/>
        <v>0</v>
      </c>
      <c r="W44" s="135">
        <f t="shared" si="109"/>
        <v>0</v>
      </c>
      <c r="X44" s="136">
        <f t="shared" si="109"/>
        <v>0</v>
      </c>
      <c r="Y44" s="137">
        <f t="shared" si="109"/>
        <v>0</v>
      </c>
      <c r="Z44" s="135">
        <f t="shared" si="109"/>
        <v>0</v>
      </c>
      <c r="AA44" s="135">
        <f t="shared" si="109"/>
        <v>0</v>
      </c>
      <c r="AB44" s="139" cm="1">
        <f t="array" ref="AB44">SUMPRODUCT(($G$46:$G$53="P")*$F$46:$F$53*AB46:AB53)/$F$44</f>
        <v>0</v>
      </c>
      <c r="AC44" s="136">
        <f t="shared" ref="AC44:BH44" si="110">SUMPRODUCT(($G$46:$G$53="P")*$F$46:$F$53*AC46:AC53)/$F$44</f>
        <v>0</v>
      </c>
      <c r="AD44" s="137">
        <f t="shared" si="110"/>
        <v>0</v>
      </c>
      <c r="AE44" s="135">
        <f t="shared" si="110"/>
        <v>0</v>
      </c>
      <c r="AF44" s="135">
        <f t="shared" si="110"/>
        <v>0</v>
      </c>
      <c r="AG44" s="136">
        <f t="shared" si="110"/>
        <v>0</v>
      </c>
      <c r="AH44" s="138">
        <f t="shared" si="110"/>
        <v>0</v>
      </c>
      <c r="AI44" s="135">
        <f t="shared" si="110"/>
        <v>0</v>
      </c>
      <c r="AJ44" s="135">
        <f t="shared" si="110"/>
        <v>0</v>
      </c>
      <c r="AK44" s="135">
        <f t="shared" si="110"/>
        <v>0</v>
      </c>
      <c r="AL44" s="140">
        <f t="shared" si="110"/>
        <v>0</v>
      </c>
      <c r="AM44" s="137">
        <f t="shared" si="110"/>
        <v>0</v>
      </c>
      <c r="AN44" s="135">
        <f t="shared" si="110"/>
        <v>0</v>
      </c>
      <c r="AO44" s="135">
        <f t="shared" si="110"/>
        <v>0</v>
      </c>
      <c r="AP44" s="136">
        <f t="shared" si="110"/>
        <v>0</v>
      </c>
      <c r="AQ44" s="137">
        <f t="shared" si="110"/>
        <v>1.4349765232706769E-2</v>
      </c>
      <c r="AR44" s="135">
        <f t="shared" si="110"/>
        <v>1.4349765232706769E-2</v>
      </c>
      <c r="AS44" s="135">
        <f t="shared" si="110"/>
        <v>5.0477433398796547E-2</v>
      </c>
      <c r="AT44" s="136">
        <f t="shared" si="110"/>
        <v>5.6217339491879265E-2</v>
      </c>
      <c r="AU44" s="137">
        <f t="shared" si="110"/>
        <v>8.6127668166089785E-2</v>
      </c>
      <c r="AV44" s="135">
        <f t="shared" si="110"/>
        <v>9.4260093906917281E-2</v>
      </c>
      <c r="AW44" s="135">
        <f t="shared" si="110"/>
        <v>9.4260093906917281E-2</v>
      </c>
      <c r="AX44" s="135">
        <f t="shared" si="110"/>
        <v>0.10239251964774479</v>
      </c>
      <c r="AY44" s="140">
        <f t="shared" si="110"/>
        <v>0.10239251964774479</v>
      </c>
      <c r="AZ44" s="137">
        <f t="shared" si="110"/>
        <v>9.4260093906917281E-2</v>
      </c>
      <c r="BA44" s="135">
        <f t="shared" si="110"/>
        <v>9.4260093906917281E-2</v>
      </c>
      <c r="BB44" s="135">
        <f t="shared" si="110"/>
        <v>9.1390140860375946E-2</v>
      </c>
      <c r="BC44" s="139">
        <f t="shared" si="110"/>
        <v>5.5262472694286156E-2</v>
      </c>
      <c r="BD44" s="137">
        <f t="shared" si="110"/>
        <v>4.713004695345864E-2</v>
      </c>
      <c r="BE44" s="135">
        <f t="shared" si="110"/>
        <v>2.8699530465413538E-3</v>
      </c>
      <c r="BF44" s="135">
        <f t="shared" si="110"/>
        <v>0</v>
      </c>
      <c r="BG44" s="136">
        <f t="shared" si="110"/>
        <v>0</v>
      </c>
      <c r="BH44" s="137">
        <f t="shared" si="110"/>
        <v>0</v>
      </c>
      <c r="BI44" s="135">
        <f t="shared" ref="BI44:CN44" si="111">SUMPRODUCT(($G$46:$G$53="P")*$F$46:$F$53*BI46:BI53)/$F$44</f>
        <v>0</v>
      </c>
      <c r="BJ44" s="135">
        <f t="shared" si="111"/>
        <v>0</v>
      </c>
      <c r="BK44" s="135">
        <f t="shared" si="111"/>
        <v>0</v>
      </c>
      <c r="BL44" s="140">
        <f t="shared" si="111"/>
        <v>0</v>
      </c>
      <c r="BM44" s="137">
        <f t="shared" si="111"/>
        <v>0</v>
      </c>
      <c r="BN44" s="135">
        <f t="shared" si="111"/>
        <v>0</v>
      </c>
      <c r="BO44" s="135">
        <f t="shared" si="111"/>
        <v>0</v>
      </c>
      <c r="BP44" s="136">
        <f t="shared" si="111"/>
        <v>0</v>
      </c>
      <c r="BQ44" s="137">
        <f t="shared" si="111"/>
        <v>0</v>
      </c>
      <c r="BR44" s="135">
        <f t="shared" si="111"/>
        <v>0</v>
      </c>
      <c r="BS44" s="135">
        <f t="shared" si="111"/>
        <v>0</v>
      </c>
      <c r="BT44" s="136">
        <f t="shared" si="111"/>
        <v>0</v>
      </c>
      <c r="BU44" s="137">
        <f t="shared" si="111"/>
        <v>0</v>
      </c>
      <c r="BV44" s="135">
        <f t="shared" si="111"/>
        <v>0</v>
      </c>
      <c r="BW44" s="135">
        <f t="shared" si="111"/>
        <v>0</v>
      </c>
      <c r="BX44" s="139">
        <f t="shared" si="111"/>
        <v>0</v>
      </c>
      <c r="BY44" s="140">
        <f t="shared" si="111"/>
        <v>0</v>
      </c>
      <c r="BZ44" s="137">
        <f t="shared" si="111"/>
        <v>0</v>
      </c>
      <c r="CA44" s="135">
        <f t="shared" si="111"/>
        <v>0</v>
      </c>
      <c r="CB44" s="135">
        <f t="shared" si="111"/>
        <v>0</v>
      </c>
      <c r="CC44" s="136">
        <f t="shared" si="111"/>
        <v>0</v>
      </c>
      <c r="CD44" s="137">
        <f t="shared" si="111"/>
        <v>0</v>
      </c>
      <c r="CE44" s="135">
        <f t="shared" si="111"/>
        <v>0</v>
      </c>
      <c r="CF44" s="135">
        <f t="shared" si="111"/>
        <v>0</v>
      </c>
      <c r="CG44" s="136">
        <f t="shared" si="111"/>
        <v>0</v>
      </c>
      <c r="CH44" s="137">
        <f t="shared" si="111"/>
        <v>0</v>
      </c>
      <c r="CI44" s="135">
        <f t="shared" si="111"/>
        <v>0</v>
      </c>
      <c r="CJ44" s="135">
        <f t="shared" si="111"/>
        <v>0</v>
      </c>
      <c r="CK44" s="135">
        <f t="shared" si="111"/>
        <v>0</v>
      </c>
      <c r="CL44" s="140">
        <f t="shared" si="111"/>
        <v>0</v>
      </c>
      <c r="CM44" s="137">
        <f t="shared" si="111"/>
        <v>0</v>
      </c>
      <c r="CN44" s="135">
        <f t="shared" si="111"/>
        <v>0</v>
      </c>
      <c r="CO44" s="135">
        <f t="shared" ref="CO44:DB44" si="112">SUMPRODUCT(($G$46:$G$53="P")*$F$46:$F$53*CO46:CO53)/$F$44</f>
        <v>0</v>
      </c>
      <c r="CP44" s="136">
        <f t="shared" si="112"/>
        <v>0</v>
      </c>
      <c r="CQ44" s="133">
        <f t="shared" si="112"/>
        <v>0</v>
      </c>
      <c r="CR44" s="131">
        <f t="shared" si="112"/>
        <v>0</v>
      </c>
      <c r="CS44" s="131">
        <f t="shared" si="112"/>
        <v>0</v>
      </c>
      <c r="CT44" s="132">
        <f t="shared" si="112"/>
        <v>0</v>
      </c>
      <c r="CU44" s="133">
        <f t="shared" si="112"/>
        <v>0</v>
      </c>
      <c r="CV44" s="131">
        <f t="shared" si="112"/>
        <v>0</v>
      </c>
      <c r="CW44" s="131">
        <f t="shared" si="112"/>
        <v>0</v>
      </c>
      <c r="CX44" s="132">
        <f t="shared" si="112"/>
        <v>0</v>
      </c>
      <c r="CY44" s="133">
        <f t="shared" si="112"/>
        <v>0</v>
      </c>
      <c r="CZ44" s="131">
        <f t="shared" si="112"/>
        <v>0</v>
      </c>
      <c r="DA44" s="131">
        <f t="shared" si="112"/>
        <v>0</v>
      </c>
      <c r="DB44" s="132">
        <f t="shared" si="112"/>
        <v>0</v>
      </c>
      <c r="DC44" s="82"/>
      <c r="DD44" s="79"/>
      <c r="DE44" s="79"/>
    </row>
    <row r="45" spans="1:109" ht="24.95" customHeight="1" x14ac:dyDescent="0.55000000000000004">
      <c r="A45" s="282"/>
      <c r="B45" s="197">
        <f t="shared" ref="B45" si="113">B44</f>
        <v>1.3</v>
      </c>
      <c r="C45" s="283"/>
      <c r="D45" s="202" t="str">
        <f t="shared" ref="D45" si="114">D44</f>
        <v>Riser</v>
      </c>
      <c r="E45" s="39"/>
      <c r="F45" s="40">
        <f t="shared" ref="F45" si="115">E44</f>
        <v>349589.6634711941</v>
      </c>
      <c r="G45" s="180" t="s">
        <v>42</v>
      </c>
      <c r="H45" s="185">
        <v>1</v>
      </c>
      <c r="I45" s="185"/>
      <c r="J45" s="185" t="s">
        <v>105</v>
      </c>
      <c r="K45" s="123">
        <f t="shared" si="102"/>
        <v>1.7219718279248123E-2</v>
      </c>
      <c r="L45" s="115">
        <f>L47+L51+L53</f>
        <v>6019.8355183111207</v>
      </c>
      <c r="M45" s="141" cm="1">
        <f t="array" ref="M45">SUMPRODUCT(($G$46:$G$53="A")*$F$46:$F$53*M46:M53)/$F$44</f>
        <v>0</v>
      </c>
      <c r="N45" s="142" cm="1">
        <f t="array" ref="N45">SUMPRODUCT(($G$46:$G$53="A")*$F$46:$F$53*N46:N53)/$F$44</f>
        <v>0</v>
      </c>
      <c r="O45" s="142" cm="1">
        <f t="array" ref="O45">SUMPRODUCT(($G$46:$G$53="A")*$F$46:$F$53*O46:O53)/$F$44</f>
        <v>0</v>
      </c>
      <c r="P45" s="143" cm="1">
        <f t="array" ref="P45">SUMPRODUCT(($G$46:$G$53="A")*$F$46:$F$53*P46:P53)/$F$44</f>
        <v>0</v>
      </c>
      <c r="Q45" s="144" cm="1">
        <f t="array" ref="Q45">SUMPRODUCT(($G$46:$G$53="A")*$F$46:$F$53*Q46:Q53)/$F$44</f>
        <v>0</v>
      </c>
      <c r="R45" s="142" cm="1">
        <f t="array" ref="R45">SUMPRODUCT(($G$46:$G$53="A")*$F$46:$F$53*R46:R53)/$F$44</f>
        <v>0</v>
      </c>
      <c r="S45" s="142" cm="1">
        <f t="array" ref="S45">SUMPRODUCT(($G$46:$G$53="A")*$F$46:$F$53*S46:S53)/$F$44</f>
        <v>0</v>
      </c>
      <c r="T45" s="143" cm="1">
        <f t="array" ref="T45">SUMPRODUCT(($G$46:$G$53="A")*$F$46:$F$53*T46:T53)/$F$44</f>
        <v>0</v>
      </c>
      <c r="U45" s="145" cm="1">
        <f t="array" ref="U45">SUMPRODUCT(($G$46:$G$53="A")*$F$46:$F$53*U46:U53)/$F$44</f>
        <v>0</v>
      </c>
      <c r="V45" s="142" cm="1">
        <f t="array" ref="V45">SUMPRODUCT(($G$46:$G$53="A")*$F$46:$F$53*V46:V53)/$F$44</f>
        <v>0</v>
      </c>
      <c r="W45" s="142" cm="1">
        <f t="array" ref="W45">SUMPRODUCT(($G$46:$G$53="A")*$F$46:$F$53*W46:W53)/$F$44</f>
        <v>0</v>
      </c>
      <c r="X45" s="143" cm="1">
        <f t="array" ref="X45">SUMPRODUCT(($G$46:$G$53="A")*$F$46:$F$53*X46:X53)/$F$44</f>
        <v>0</v>
      </c>
      <c r="Y45" s="144" cm="1">
        <f t="array" ref="Y45">SUMPRODUCT(($G$46:$G$53="A")*$F$46:$F$53*Y46:Y53)/$F$44</f>
        <v>0</v>
      </c>
      <c r="Z45" s="142" cm="1">
        <f t="array" ref="Z45">SUMPRODUCT(($G$46:$G$53="A")*$F$46:$F$53*Z46:Z53)/$F$44</f>
        <v>0</v>
      </c>
      <c r="AA45" s="142" cm="1">
        <f t="array" ref="AA45">SUMPRODUCT(($G$46:$G$53="A")*$F$46:$F$53*AA46:AA53)/$F$44</f>
        <v>0</v>
      </c>
      <c r="AB45" s="146" cm="1">
        <f t="array" ref="AB45">SUMPRODUCT(($G$46:$G$53="A")*$F$46:$F$53*AB46:AB53)/$F$44</f>
        <v>0</v>
      </c>
      <c r="AC45" s="143" cm="1">
        <f t="array" ref="AC45">SUMPRODUCT(($G$46:$G$53="A")*$F$46:$F$53*AC46:AC53)/$F$44</f>
        <v>0</v>
      </c>
      <c r="AD45" s="144" cm="1">
        <f t="array" ref="AD45">SUMPRODUCT(($G$46:$G$53="A")*$F$46:$F$53*AD46:AD53)/$F$44</f>
        <v>0</v>
      </c>
      <c r="AE45" s="142" cm="1">
        <f t="array" ref="AE45">SUMPRODUCT(($G$46:$G$53="A")*$F$46:$F$53*AE46:AE53)/$F$44</f>
        <v>0</v>
      </c>
      <c r="AF45" s="142" cm="1">
        <f t="array" ref="AF45">SUMPRODUCT(($G$46:$G$53="A")*$F$46:$F$53*AF46:AF53)/$F$44</f>
        <v>0</v>
      </c>
      <c r="AG45" s="143" cm="1">
        <f t="array" ref="AG45">SUMPRODUCT(($G$46:$G$53="A")*$F$46:$F$53*AG46:AG53)/$F$44</f>
        <v>0</v>
      </c>
      <c r="AH45" s="145" cm="1">
        <f t="array" ref="AH45">SUMPRODUCT(($G$46:$G$53="A")*$F$46:$F$53*AH46:AH53)/$F$44</f>
        <v>0</v>
      </c>
      <c r="AI45" s="142" cm="1">
        <f t="array" ref="AI45">SUMPRODUCT(($G$46:$G$53="A")*$F$46:$F$53*AI46:AI53)/$F$44</f>
        <v>0</v>
      </c>
      <c r="AJ45" s="142" cm="1">
        <f t="array" ref="AJ45">SUMPRODUCT(($G$46:$G$53="A")*$F$46:$F$53*AJ46:AJ53)/$F$44</f>
        <v>0</v>
      </c>
      <c r="AK45" s="142" cm="1">
        <f t="array" ref="AK45">SUMPRODUCT(($G$46:$G$53="A")*$F$46:$F$53*AK46:AK53)/$F$44</f>
        <v>0</v>
      </c>
      <c r="AL45" s="147" cm="1">
        <f t="array" ref="AL45">SUMPRODUCT(($G$46:$G$53="A")*$F$46:$F$53*AL46:AL53)/$F$44</f>
        <v>0</v>
      </c>
      <c r="AM45" s="144" cm="1">
        <f t="array" ref="AM45">SUMPRODUCT(($G$46:$G$53="A")*$F$46:$F$53*AM46:AM53)/$F$44</f>
        <v>0</v>
      </c>
      <c r="AN45" s="142" cm="1">
        <f t="array" ref="AN45">SUMPRODUCT(($G$46:$G$53="A")*$F$46:$F$53*AN46:AN53)/$F$44</f>
        <v>0</v>
      </c>
      <c r="AO45" s="154" cm="1">
        <f t="array" ref="AO45">SUMPRODUCT(($G$46:$G$53="A")*$F$46:$F$53*AO46:AO53)/$F$44</f>
        <v>0</v>
      </c>
      <c r="AP45" s="143" cm="1">
        <f t="array" ref="AP45">SUMPRODUCT(($G$46:$G$53="A")*$F$46:$F$53*AP46:AP53)/$F$44</f>
        <v>0</v>
      </c>
      <c r="AQ45" s="165" cm="1">
        <f t="array" ref="AQ45">SUMPRODUCT(($G$46:$G$53="A")*$F$46:$F$53*AQ46:AQ53)/$F$44</f>
        <v>0</v>
      </c>
      <c r="AR45" s="163" cm="1">
        <f t="array" ref="AR45">SUMPRODUCT(($G$46:$G$53="A")*$F$46:$F$53*AR46:AR53)/$F$44</f>
        <v>0</v>
      </c>
      <c r="AS45" s="163" cm="1">
        <f t="array" ref="AS45">SUMPRODUCT(($G$46:$G$53="A")*$F$46:$F$53*AS46:AS53)/$F$44</f>
        <v>8.6098591396240615E-3</v>
      </c>
      <c r="AT45" s="164" cm="1">
        <f t="array" ref="AT45">SUMPRODUCT(($G$46:$G$53="A")*$F$46:$F$53*AT46:AT53)/$F$44</f>
        <v>8.6098591396240615E-3</v>
      </c>
      <c r="AU45" s="165" cm="1">
        <f t="array" ref="AU45">SUMPRODUCT(($G$46:$G$53="A")*$F$46:$F$53*AU46:AU53)/$F$44</f>
        <v>0</v>
      </c>
      <c r="AV45" s="163" cm="1">
        <f t="array" ref="AV45">SUMPRODUCT(($G$46:$G$53="A")*$F$46:$F$53*AV46:AV53)/$F$44</f>
        <v>0</v>
      </c>
      <c r="AW45" s="163" cm="1">
        <f t="array" ref="AW45">SUMPRODUCT(($G$46:$G$53="A")*$F$46:$F$53*AW46:AW53)/$F$44</f>
        <v>0</v>
      </c>
      <c r="AX45" s="163" cm="1">
        <f t="array" ref="AX45">SUMPRODUCT(($G$46:$G$53="A")*$F$46:$F$53*AX46:AX53)/$F$44</f>
        <v>0</v>
      </c>
      <c r="AY45" s="168" cm="1">
        <f t="array" ref="AY45">SUMPRODUCT(($G$46:$G$53="A")*$F$46:$F$53*AY46:AY53)/$F$44</f>
        <v>0</v>
      </c>
      <c r="AZ45" s="165" cm="1">
        <f t="array" ref="AZ45">SUMPRODUCT(($G$46:$G$53="A")*$F$46:$F$53*AZ46:AZ53)/$F$44</f>
        <v>0</v>
      </c>
      <c r="BA45" s="163" cm="1">
        <f t="array" ref="BA45">SUMPRODUCT(($G$46:$G$53="A")*$F$46:$F$53*BA46:BA53)/$F$44</f>
        <v>0</v>
      </c>
      <c r="BB45" s="163" cm="1">
        <f t="array" ref="BB45">SUMPRODUCT(($G$46:$G$53="A")*$F$46:$F$53*BB46:BB53)/$F$44</f>
        <v>0</v>
      </c>
      <c r="BC45" s="167" cm="1">
        <f t="array" ref="BC45">SUMPRODUCT(($G$46:$G$53="A")*$F$46:$F$53*BC46:BC53)/$F$44</f>
        <v>0</v>
      </c>
      <c r="BD45" s="144" cm="1">
        <f t="array" ref="BD45">SUMPRODUCT(($G$46:$G$53="A")*$F$46:$F$53*BD46:BD53)/$F$44</f>
        <v>0</v>
      </c>
      <c r="BE45" s="142" cm="1">
        <f t="array" ref="BE45">SUMPRODUCT(($G$46:$G$53="A")*$F$46:$F$53*BE46:BE53)/$F$44</f>
        <v>0</v>
      </c>
      <c r="BF45" s="142" cm="1">
        <f t="array" ref="BF45">SUMPRODUCT(($G$46:$G$53="A")*$F$46:$F$53*BF46:BF53)/$F$44</f>
        <v>0</v>
      </c>
      <c r="BG45" s="143" cm="1">
        <f t="array" ref="BG45">SUMPRODUCT(($G$46:$G$53="A")*$F$46:$F$53*BG46:BG53)/$F$44</f>
        <v>0</v>
      </c>
      <c r="BH45" s="144" cm="1">
        <f t="array" ref="BH45">SUMPRODUCT(($G$46:$G$53="A")*$F$46:$F$53*BH46:BH53)/$F$44</f>
        <v>0</v>
      </c>
      <c r="BI45" s="142" cm="1">
        <f t="array" ref="BI45">SUMPRODUCT(($G$46:$G$53="A")*$F$46:$F$53*BI46:BI53)/$F$44</f>
        <v>0</v>
      </c>
      <c r="BJ45" s="142" cm="1">
        <f t="array" ref="BJ45">SUMPRODUCT(($G$46:$G$53="A")*$F$46:$F$53*BJ46:BJ53)/$F$44</f>
        <v>0</v>
      </c>
      <c r="BK45" s="142" cm="1">
        <f t="array" ref="BK45">SUMPRODUCT(($G$46:$G$53="A")*$F$46:$F$53*BK46:BK53)/$F$44</f>
        <v>0</v>
      </c>
      <c r="BL45" s="147" cm="1">
        <f t="array" ref="BL45">SUMPRODUCT(($G$46:$G$53="A")*$F$46:$F$53*BL46:BL53)/$F$44</f>
        <v>0</v>
      </c>
      <c r="BM45" s="144" cm="1">
        <f t="array" ref="BM45">SUMPRODUCT(($G$46:$G$53="A")*$F$46:$F$53*BM46:BM53)/$F$44</f>
        <v>0</v>
      </c>
      <c r="BN45" s="142" cm="1">
        <f t="array" ref="BN45">SUMPRODUCT(($G$46:$G$53="A")*$F$46:$F$53*BN46:BN53)/$F$44</f>
        <v>0</v>
      </c>
      <c r="BO45" s="142" cm="1">
        <f t="array" ref="BO45">SUMPRODUCT(($G$46:$G$53="A")*$F$46:$F$53*BO46:BO53)/$F$44</f>
        <v>0</v>
      </c>
      <c r="BP45" s="143" cm="1">
        <f t="array" ref="BP45">SUMPRODUCT(($G$46:$G$53="A")*$F$46:$F$53*BP46:BP53)/$F$44</f>
        <v>0</v>
      </c>
      <c r="BQ45" s="144" cm="1">
        <f t="array" ref="BQ45">SUMPRODUCT(($G$46:$G$53="A")*$F$46:$F$53*BQ46:BQ53)/$F$44</f>
        <v>0</v>
      </c>
      <c r="BR45" s="142" cm="1">
        <f t="array" ref="BR45">SUMPRODUCT(($G$46:$G$53="A")*$F$46:$F$53*BR46:BR53)/$F$44</f>
        <v>0</v>
      </c>
      <c r="BS45" s="142" cm="1">
        <f t="array" ref="BS45">SUMPRODUCT(($G$46:$G$53="A")*$F$46:$F$53*BS46:BS53)/$F$44</f>
        <v>0</v>
      </c>
      <c r="BT45" s="143" cm="1">
        <f t="array" ref="BT45">SUMPRODUCT(($G$46:$G$53="A")*$F$46:$F$53*BT46:BT53)/$F$44</f>
        <v>0</v>
      </c>
      <c r="BU45" s="144" cm="1">
        <f t="array" ref="BU45">SUMPRODUCT(($G$46:$G$53="A")*$F$46:$F$53*BU46:BU53)/$F$44</f>
        <v>0</v>
      </c>
      <c r="BV45" s="142" cm="1">
        <f t="array" ref="BV45">SUMPRODUCT(($G$46:$G$53="A")*$F$46:$F$53*BV46:BV53)/$F$44</f>
        <v>0</v>
      </c>
      <c r="BW45" s="142" cm="1">
        <f t="array" ref="BW45">SUMPRODUCT(($G$46:$G$53="A")*$F$46:$F$53*BW46:BW53)/$F$44</f>
        <v>0</v>
      </c>
      <c r="BX45" s="146" cm="1">
        <f t="array" ref="BX45">SUMPRODUCT(($G$46:$G$53="A")*$F$46:$F$53*BX46:BX53)/$F$44</f>
        <v>0</v>
      </c>
      <c r="BY45" s="147" cm="1">
        <f t="array" ref="BY45">SUMPRODUCT(($G$46:$G$53="A")*$F$46:$F$53*BY46:BY53)/$F$44</f>
        <v>0</v>
      </c>
      <c r="BZ45" s="144" cm="1">
        <f t="array" ref="BZ45">SUMPRODUCT(($G$46:$G$53="A")*$F$46:$F$53*BZ46:BZ53)/$F$44</f>
        <v>0</v>
      </c>
      <c r="CA45" s="142" cm="1">
        <f t="array" ref="CA45">SUMPRODUCT(($G$46:$G$53="A")*$F$46:$F$53*CA46:CA53)/$F$44</f>
        <v>0</v>
      </c>
      <c r="CB45" s="142" cm="1">
        <f t="array" ref="CB45">SUMPRODUCT(($G$46:$G$53="A")*$F$46:$F$53*CB46:CB53)/$F$44</f>
        <v>0</v>
      </c>
      <c r="CC45" s="143" cm="1">
        <f t="array" ref="CC45">SUMPRODUCT(($G$46:$G$53="A")*$F$46:$F$53*CC46:CC53)/$F$44</f>
        <v>0</v>
      </c>
      <c r="CD45" s="144" cm="1">
        <f t="array" ref="CD45">SUMPRODUCT(($G$46:$G$53="A")*$F$46:$F$53*CD46:CD53)/$F$44</f>
        <v>0</v>
      </c>
      <c r="CE45" s="142" cm="1">
        <f t="array" ref="CE45">SUMPRODUCT(($G$46:$G$53="A")*$F$46:$F$53*CE46:CE53)/$F$44</f>
        <v>0</v>
      </c>
      <c r="CF45" s="142" cm="1">
        <f t="array" ref="CF45">SUMPRODUCT(($G$46:$G$53="A")*$F$46:$F$53*CF46:CF53)/$F$44</f>
        <v>0</v>
      </c>
      <c r="CG45" s="143" cm="1">
        <f t="array" ref="CG45">SUMPRODUCT(($G$46:$G$53="A")*$F$46:$F$53*CG46:CG53)/$F$44</f>
        <v>0</v>
      </c>
      <c r="CH45" s="144" cm="1">
        <f t="array" ref="CH45">SUMPRODUCT(($G$46:$G$53="A")*$F$46:$F$53*CH46:CH53)/$F$44</f>
        <v>0</v>
      </c>
      <c r="CI45" s="142" cm="1">
        <f t="array" ref="CI45">SUMPRODUCT(($G$46:$G$53="A")*$F$46:$F$53*CI46:CI53)/$F$44</f>
        <v>0</v>
      </c>
      <c r="CJ45" s="142" cm="1">
        <f t="array" ref="CJ45">SUMPRODUCT(($G$46:$G$53="A")*$F$46:$F$53*CJ46:CJ53)/$F$44</f>
        <v>0</v>
      </c>
      <c r="CK45" s="142" cm="1">
        <f t="array" ref="CK45">SUMPRODUCT(($G$46:$G$53="A")*$F$46:$F$53*CK46:CK53)/$F$44</f>
        <v>0</v>
      </c>
      <c r="CL45" s="147" cm="1">
        <f t="array" ref="CL45">SUMPRODUCT(($G$46:$G$53="A")*$F$46:$F$53*CL46:CL53)/$F$44</f>
        <v>0</v>
      </c>
      <c r="CM45" s="144" cm="1">
        <f t="array" ref="CM45">SUMPRODUCT(($G$46:$G$53="A")*$F$46:$F$53*CM46:CM53)/$F$44</f>
        <v>0</v>
      </c>
      <c r="CN45" s="142" cm="1">
        <f t="array" ref="CN45">SUMPRODUCT(($G$46:$G$53="A")*$F$46:$F$53*CN46:CN53)/$F$44</f>
        <v>0</v>
      </c>
      <c r="CO45" s="142" cm="1">
        <f t="array" ref="CO45">SUMPRODUCT(($G$46:$G$53="A")*$F$46:$F$53*CO46:CO53)/$F$44</f>
        <v>0</v>
      </c>
      <c r="CP45" s="143" cm="1">
        <f t="array" ref="CP45">SUMPRODUCT(($G$46:$G$53="A")*$F$46:$F$53*CP46:CP53)/$F$44</f>
        <v>0</v>
      </c>
      <c r="CQ45" s="130">
        <f t="shared" ref="CQ45:DB45" si="116">SUMPRODUCT(($G$46:$G$53="A")*$F$46:$F$53*CQ46:CQ53)/$F$44</f>
        <v>0</v>
      </c>
      <c r="CR45" s="128">
        <f t="shared" si="116"/>
        <v>0</v>
      </c>
      <c r="CS45" s="128">
        <f t="shared" si="116"/>
        <v>0</v>
      </c>
      <c r="CT45" s="129">
        <f t="shared" si="116"/>
        <v>0</v>
      </c>
      <c r="CU45" s="130">
        <f t="shared" si="116"/>
        <v>0</v>
      </c>
      <c r="CV45" s="128">
        <f t="shared" si="116"/>
        <v>0</v>
      </c>
      <c r="CW45" s="128">
        <f t="shared" si="116"/>
        <v>0</v>
      </c>
      <c r="CX45" s="129">
        <f t="shared" si="116"/>
        <v>0</v>
      </c>
      <c r="CY45" s="130">
        <f t="shared" si="116"/>
        <v>0</v>
      </c>
      <c r="CZ45" s="128">
        <f t="shared" si="116"/>
        <v>0</v>
      </c>
      <c r="DA45" s="128">
        <f t="shared" si="116"/>
        <v>0</v>
      </c>
      <c r="DB45" s="129">
        <f t="shared" si="116"/>
        <v>0</v>
      </c>
      <c r="DC45" s="80"/>
      <c r="DD45" s="79"/>
      <c r="DE45" s="79"/>
    </row>
    <row r="46" spans="1:109" ht="24.95" customHeight="1" outlineLevel="1" x14ac:dyDescent="0.55000000000000004">
      <c r="A46" s="284" t="s">
        <v>99</v>
      </c>
      <c r="B46" s="196" t="str">
        <f t="shared" ref="B46" si="117">A46</f>
        <v>1.3.1</v>
      </c>
      <c r="C46" s="329" t="s">
        <v>122</v>
      </c>
      <c r="D46" s="205" t="str">
        <f t="shared" ref="D46" si="118">C46</f>
        <v>Mansory Work</v>
      </c>
      <c r="E46" s="41">
        <v>20066.118394370402</v>
      </c>
      <c r="F46" s="42">
        <f t="shared" ref="F46" si="119">E46</f>
        <v>20066.118394370402</v>
      </c>
      <c r="G46" s="81" t="s">
        <v>41</v>
      </c>
      <c r="H46" s="189">
        <v>0</v>
      </c>
      <c r="I46" s="189"/>
      <c r="J46" s="189"/>
      <c r="K46" s="120">
        <f t="shared" si="102"/>
        <v>1</v>
      </c>
      <c r="L46" s="110">
        <f>K46*F46</f>
        <v>20066.118394370402</v>
      </c>
      <c r="M46" s="134"/>
      <c r="N46" s="135"/>
      <c r="O46" s="135"/>
      <c r="P46" s="136"/>
      <c r="Q46" s="137"/>
      <c r="R46" s="135"/>
      <c r="S46" s="135"/>
      <c r="T46" s="136"/>
      <c r="U46" s="138"/>
      <c r="V46" s="135"/>
      <c r="W46" s="135"/>
      <c r="X46" s="136"/>
      <c r="Y46" s="157"/>
      <c r="Z46" s="149"/>
      <c r="AA46" s="149"/>
      <c r="AB46" s="158"/>
      <c r="AC46" s="156"/>
      <c r="AD46" s="157"/>
      <c r="AE46" s="149"/>
      <c r="AF46" s="149"/>
      <c r="AG46" s="156"/>
      <c r="AH46" s="155"/>
      <c r="AI46" s="149"/>
      <c r="AJ46" s="149"/>
      <c r="AK46" s="149"/>
      <c r="AL46" s="150"/>
      <c r="AM46" s="157"/>
      <c r="AN46" s="149"/>
      <c r="AO46" s="149"/>
      <c r="AP46" s="156"/>
      <c r="AQ46" s="151">
        <v>0.25</v>
      </c>
      <c r="AR46" s="152">
        <v>0.25</v>
      </c>
      <c r="AS46" s="152">
        <v>0.25</v>
      </c>
      <c r="AT46" s="153">
        <v>0.25</v>
      </c>
      <c r="AU46" s="137"/>
      <c r="AV46" s="135"/>
      <c r="AW46" s="135"/>
      <c r="AX46" s="135"/>
      <c r="AY46" s="140"/>
      <c r="AZ46" s="137"/>
      <c r="BA46" s="135"/>
      <c r="BB46" s="135"/>
      <c r="BC46" s="139"/>
      <c r="BD46" s="137"/>
      <c r="BE46" s="135"/>
      <c r="BF46" s="135"/>
      <c r="BG46" s="136"/>
      <c r="BH46" s="137"/>
      <c r="BI46" s="135"/>
      <c r="BJ46" s="135"/>
      <c r="BK46" s="135"/>
      <c r="BL46" s="140"/>
      <c r="BM46" s="137"/>
      <c r="BN46" s="135"/>
      <c r="BO46" s="135"/>
      <c r="BP46" s="136"/>
      <c r="BQ46" s="137"/>
      <c r="BR46" s="135"/>
      <c r="BS46" s="135"/>
      <c r="BT46" s="136"/>
      <c r="BU46" s="137"/>
      <c r="BV46" s="135"/>
      <c r="BW46" s="135"/>
      <c r="BX46" s="139"/>
      <c r="BY46" s="140"/>
      <c r="BZ46" s="137"/>
      <c r="CA46" s="135"/>
      <c r="CB46" s="135"/>
      <c r="CC46" s="136"/>
      <c r="CD46" s="137"/>
      <c r="CE46" s="135"/>
      <c r="CF46" s="135"/>
      <c r="CG46" s="136"/>
      <c r="CH46" s="137"/>
      <c r="CI46" s="135"/>
      <c r="CJ46" s="135"/>
      <c r="CK46" s="135"/>
      <c r="CL46" s="140"/>
      <c r="CM46" s="137"/>
      <c r="CN46" s="135"/>
      <c r="CO46" s="135"/>
      <c r="CP46" s="136"/>
      <c r="CQ46" s="133"/>
      <c r="CR46" s="131"/>
      <c r="CS46" s="131"/>
      <c r="CT46" s="132"/>
      <c r="CU46" s="133"/>
      <c r="CV46" s="131"/>
      <c r="CW46" s="131"/>
      <c r="CX46" s="132"/>
      <c r="CY46" s="133"/>
      <c r="CZ46" s="131"/>
      <c r="DA46" s="131"/>
      <c r="DB46" s="132"/>
      <c r="DC46" s="82"/>
      <c r="DD46" s="79"/>
      <c r="DE46" s="79"/>
    </row>
    <row r="47" spans="1:109" ht="24.95" customHeight="1" outlineLevel="1" x14ac:dyDescent="0.55000000000000004">
      <c r="A47" s="284"/>
      <c r="B47" s="196" t="str">
        <f t="shared" ref="B47:B49" si="120">B46</f>
        <v>1.3.1</v>
      </c>
      <c r="C47" s="329"/>
      <c r="D47" s="205" t="str">
        <f t="shared" ref="D47:D49" si="121">D46</f>
        <v>Mansory Work</v>
      </c>
      <c r="E47" s="41"/>
      <c r="F47" s="42">
        <f t="shared" ref="F47" si="122">E46</f>
        <v>20066.118394370402</v>
      </c>
      <c r="G47" s="83" t="s">
        <v>42</v>
      </c>
      <c r="H47" s="190">
        <v>0</v>
      </c>
      <c r="I47" s="190"/>
      <c r="J47" s="190"/>
      <c r="K47" s="121">
        <f t="shared" si="102"/>
        <v>0.3</v>
      </c>
      <c r="L47" s="111">
        <f>K47*F47</f>
        <v>6019.8355183111207</v>
      </c>
      <c r="M47" s="141"/>
      <c r="N47" s="142"/>
      <c r="O47" s="142"/>
      <c r="P47" s="143"/>
      <c r="Q47" s="144"/>
      <c r="R47" s="142"/>
      <c r="S47" s="142"/>
      <c r="T47" s="143"/>
      <c r="U47" s="145"/>
      <c r="V47" s="142"/>
      <c r="W47" s="163"/>
      <c r="X47" s="164"/>
      <c r="Y47" s="165"/>
      <c r="Z47" s="163"/>
      <c r="AA47" s="163"/>
      <c r="AB47" s="167"/>
      <c r="AC47" s="164"/>
      <c r="AD47" s="165"/>
      <c r="AE47" s="163"/>
      <c r="AF47" s="163"/>
      <c r="AG47" s="164"/>
      <c r="AH47" s="166"/>
      <c r="AI47" s="163"/>
      <c r="AJ47" s="163"/>
      <c r="AK47" s="163"/>
      <c r="AL47" s="168"/>
      <c r="AM47" s="165"/>
      <c r="AN47" s="163"/>
      <c r="AO47" s="163"/>
      <c r="AP47" s="164"/>
      <c r="AQ47" s="144"/>
      <c r="AR47" s="142"/>
      <c r="AS47" s="142">
        <v>0.15</v>
      </c>
      <c r="AT47" s="143">
        <v>0.15</v>
      </c>
      <c r="AU47" s="144"/>
      <c r="AV47" s="142"/>
      <c r="AW47" s="142"/>
      <c r="AX47" s="142"/>
      <c r="AY47" s="147"/>
      <c r="AZ47" s="144"/>
      <c r="BA47" s="142"/>
      <c r="BB47" s="142"/>
      <c r="BC47" s="146"/>
      <c r="BD47" s="144"/>
      <c r="BE47" s="142"/>
      <c r="BF47" s="142"/>
      <c r="BG47" s="143"/>
      <c r="BH47" s="144"/>
      <c r="BI47" s="142"/>
      <c r="BJ47" s="142"/>
      <c r="BK47" s="142"/>
      <c r="BL47" s="147"/>
      <c r="BM47" s="144"/>
      <c r="BN47" s="142"/>
      <c r="BO47" s="142"/>
      <c r="BP47" s="143"/>
      <c r="BQ47" s="144"/>
      <c r="BR47" s="142"/>
      <c r="BS47" s="142"/>
      <c r="BT47" s="143"/>
      <c r="BU47" s="144"/>
      <c r="BV47" s="142"/>
      <c r="BW47" s="142"/>
      <c r="BX47" s="146"/>
      <c r="BY47" s="147"/>
      <c r="BZ47" s="144"/>
      <c r="CA47" s="142"/>
      <c r="CB47" s="142"/>
      <c r="CC47" s="143"/>
      <c r="CD47" s="144"/>
      <c r="CE47" s="142"/>
      <c r="CF47" s="142"/>
      <c r="CG47" s="143"/>
      <c r="CH47" s="144"/>
      <c r="CI47" s="142"/>
      <c r="CJ47" s="142"/>
      <c r="CK47" s="142"/>
      <c r="CL47" s="147"/>
      <c r="CM47" s="144"/>
      <c r="CN47" s="142"/>
      <c r="CO47" s="142"/>
      <c r="CP47" s="143"/>
      <c r="CQ47" s="130"/>
      <c r="CR47" s="128"/>
      <c r="CS47" s="128"/>
      <c r="CT47" s="129"/>
      <c r="CU47" s="130"/>
      <c r="CV47" s="128"/>
      <c r="CW47" s="128"/>
      <c r="CX47" s="129"/>
      <c r="CY47" s="130"/>
      <c r="CZ47" s="128"/>
      <c r="DA47" s="128"/>
      <c r="DB47" s="129"/>
      <c r="DC47" s="80"/>
      <c r="DD47" s="79"/>
      <c r="DE47" s="79"/>
    </row>
    <row r="48" spans="1:109" ht="24.95" customHeight="1" outlineLevel="1" x14ac:dyDescent="0.55000000000000004">
      <c r="A48" s="284" t="s">
        <v>100</v>
      </c>
      <c r="B48" s="196" t="str">
        <f t="shared" ref="B48" si="123">A48</f>
        <v>1.3.2</v>
      </c>
      <c r="C48" s="329" t="s">
        <v>124</v>
      </c>
      <c r="D48" s="205" t="str">
        <f t="shared" ref="D48" si="124">C48</f>
        <v>EE/Communication</v>
      </c>
      <c r="E48" s="41">
        <v>20066.118394370402</v>
      </c>
      <c r="F48" s="42">
        <f t="shared" ref="F48" si="125">E48</f>
        <v>20066.118394370402</v>
      </c>
      <c r="G48" s="81" t="s">
        <v>41</v>
      </c>
      <c r="H48" s="189">
        <v>0</v>
      </c>
      <c r="I48" s="189"/>
      <c r="J48" s="189"/>
      <c r="K48" s="120">
        <f t="shared" si="102"/>
        <v>1</v>
      </c>
      <c r="L48" s="110">
        <f t="shared" ref="L48:L49" si="126">K48*F48</f>
        <v>20066.118394370402</v>
      </c>
      <c r="M48" s="134"/>
      <c r="N48" s="135"/>
      <c r="O48" s="135"/>
      <c r="P48" s="136"/>
      <c r="Q48" s="137"/>
      <c r="R48" s="135"/>
      <c r="S48" s="135"/>
      <c r="T48" s="136"/>
      <c r="U48" s="138"/>
      <c r="V48" s="135"/>
      <c r="W48" s="135"/>
      <c r="X48" s="136"/>
      <c r="Y48" s="157"/>
      <c r="Z48" s="149"/>
      <c r="AA48" s="149"/>
      <c r="AB48" s="158"/>
      <c r="AC48" s="156"/>
      <c r="AD48" s="157"/>
      <c r="AE48" s="149"/>
      <c r="AF48" s="149"/>
      <c r="AG48" s="156"/>
      <c r="AH48" s="155"/>
      <c r="AI48" s="149"/>
      <c r="AJ48" s="149"/>
      <c r="AK48" s="149"/>
      <c r="AL48" s="150"/>
      <c r="AM48" s="157"/>
      <c r="AN48" s="149"/>
      <c r="AO48" s="149"/>
      <c r="AP48" s="156"/>
      <c r="AQ48" s="137"/>
      <c r="AR48" s="135"/>
      <c r="AS48" s="135"/>
      <c r="AT48" s="153">
        <v>0.1</v>
      </c>
      <c r="AU48" s="151">
        <v>0.1</v>
      </c>
      <c r="AV48" s="152">
        <v>0.1</v>
      </c>
      <c r="AW48" s="152">
        <v>0.1</v>
      </c>
      <c r="AX48" s="152">
        <v>0.1</v>
      </c>
      <c r="AY48" s="159">
        <v>0.1</v>
      </c>
      <c r="AZ48" s="151">
        <v>0.1</v>
      </c>
      <c r="BA48" s="152">
        <v>0.1</v>
      </c>
      <c r="BB48" s="152">
        <v>0.05</v>
      </c>
      <c r="BC48" s="169">
        <v>0.05</v>
      </c>
      <c r="BD48" s="151">
        <v>0.05</v>
      </c>
      <c r="BE48" s="152">
        <v>0.05</v>
      </c>
      <c r="BF48" s="135"/>
      <c r="BG48" s="136"/>
      <c r="BH48" s="137"/>
      <c r="BI48" s="135"/>
      <c r="BJ48" s="135"/>
      <c r="BK48" s="135"/>
      <c r="BL48" s="140"/>
      <c r="BM48" s="137"/>
      <c r="BN48" s="135"/>
      <c r="BO48" s="135"/>
      <c r="BP48" s="136"/>
      <c r="BQ48" s="137"/>
      <c r="BR48" s="135"/>
      <c r="BS48" s="135"/>
      <c r="BT48" s="136"/>
      <c r="BU48" s="137"/>
      <c r="BV48" s="135"/>
      <c r="BW48" s="135"/>
      <c r="BX48" s="139"/>
      <c r="BY48" s="140"/>
      <c r="BZ48" s="137"/>
      <c r="CA48" s="135"/>
      <c r="CB48" s="135"/>
      <c r="CC48" s="136"/>
      <c r="CD48" s="137"/>
      <c r="CE48" s="135"/>
      <c r="CF48" s="135"/>
      <c r="CG48" s="136"/>
      <c r="CH48" s="137"/>
      <c r="CI48" s="135"/>
      <c r="CJ48" s="135"/>
      <c r="CK48" s="135"/>
      <c r="CL48" s="140"/>
      <c r="CM48" s="137"/>
      <c r="CN48" s="135"/>
      <c r="CO48" s="135"/>
      <c r="CP48" s="136"/>
      <c r="CQ48" s="133"/>
      <c r="CR48" s="131"/>
      <c r="CS48" s="131"/>
      <c r="CT48" s="132"/>
      <c r="CU48" s="133"/>
      <c r="CV48" s="131"/>
      <c r="CW48" s="131"/>
      <c r="CX48" s="132"/>
      <c r="CY48" s="133"/>
      <c r="CZ48" s="131"/>
      <c r="DA48" s="131"/>
      <c r="DB48" s="132"/>
      <c r="DC48" s="82"/>
      <c r="DD48" s="79"/>
      <c r="DE48" s="79"/>
    </row>
    <row r="49" spans="1:109" ht="24.95" customHeight="1" outlineLevel="1" x14ac:dyDescent="0.55000000000000004">
      <c r="A49" s="284"/>
      <c r="B49" s="196" t="str">
        <f t="shared" si="120"/>
        <v>1.3.2</v>
      </c>
      <c r="C49" s="329"/>
      <c r="D49" s="205" t="str">
        <f t="shared" si="121"/>
        <v>EE/Communication</v>
      </c>
      <c r="E49" s="41"/>
      <c r="F49" s="42">
        <f t="shared" ref="F49" si="127">E48</f>
        <v>20066.118394370402</v>
      </c>
      <c r="G49" s="83" t="s">
        <v>42</v>
      </c>
      <c r="H49" s="190">
        <v>0</v>
      </c>
      <c r="I49" s="190"/>
      <c r="J49" s="190"/>
      <c r="K49" s="121">
        <f t="shared" si="102"/>
        <v>0</v>
      </c>
      <c r="L49" s="111">
        <f t="shared" si="126"/>
        <v>0</v>
      </c>
      <c r="M49" s="141"/>
      <c r="N49" s="142"/>
      <c r="O49" s="142"/>
      <c r="P49" s="143"/>
      <c r="Q49" s="144"/>
      <c r="R49" s="142"/>
      <c r="S49" s="142"/>
      <c r="T49" s="143"/>
      <c r="U49" s="145"/>
      <c r="V49" s="142"/>
      <c r="W49" s="163"/>
      <c r="X49" s="164"/>
      <c r="Y49" s="165"/>
      <c r="Z49" s="163"/>
      <c r="AA49" s="163"/>
      <c r="AB49" s="167"/>
      <c r="AC49" s="164"/>
      <c r="AD49" s="165"/>
      <c r="AE49" s="163"/>
      <c r="AF49" s="163"/>
      <c r="AG49" s="164"/>
      <c r="AH49" s="166"/>
      <c r="AI49" s="163"/>
      <c r="AJ49" s="163"/>
      <c r="AK49" s="163"/>
      <c r="AL49" s="168"/>
      <c r="AM49" s="165"/>
      <c r="AN49" s="163"/>
      <c r="AO49" s="163"/>
      <c r="AP49" s="164"/>
      <c r="AQ49" s="144"/>
      <c r="AR49" s="142"/>
      <c r="AS49" s="142"/>
      <c r="AT49" s="143"/>
      <c r="AU49" s="144"/>
      <c r="AV49" s="142"/>
      <c r="AW49" s="142"/>
      <c r="AX49" s="142"/>
      <c r="AY49" s="147"/>
      <c r="AZ49" s="144"/>
      <c r="BA49" s="142"/>
      <c r="BB49" s="142"/>
      <c r="BC49" s="146"/>
      <c r="BD49" s="144"/>
      <c r="BE49" s="142"/>
      <c r="BF49" s="142"/>
      <c r="BG49" s="143"/>
      <c r="BH49" s="144"/>
      <c r="BI49" s="142"/>
      <c r="BJ49" s="142"/>
      <c r="BK49" s="142"/>
      <c r="BL49" s="147"/>
      <c r="BM49" s="144"/>
      <c r="BN49" s="142"/>
      <c r="BO49" s="142"/>
      <c r="BP49" s="143"/>
      <c r="BQ49" s="144"/>
      <c r="BR49" s="142"/>
      <c r="BS49" s="142"/>
      <c r="BT49" s="143"/>
      <c r="BU49" s="144"/>
      <c r="BV49" s="142"/>
      <c r="BW49" s="142"/>
      <c r="BX49" s="146"/>
      <c r="BY49" s="147"/>
      <c r="BZ49" s="144"/>
      <c r="CA49" s="142"/>
      <c r="CB49" s="142"/>
      <c r="CC49" s="143"/>
      <c r="CD49" s="144"/>
      <c r="CE49" s="142"/>
      <c r="CF49" s="142"/>
      <c r="CG49" s="143"/>
      <c r="CH49" s="144"/>
      <c r="CI49" s="142"/>
      <c r="CJ49" s="142"/>
      <c r="CK49" s="142"/>
      <c r="CL49" s="147"/>
      <c r="CM49" s="144"/>
      <c r="CN49" s="142"/>
      <c r="CO49" s="142"/>
      <c r="CP49" s="143"/>
      <c r="CQ49" s="130"/>
      <c r="CR49" s="128"/>
      <c r="CS49" s="128"/>
      <c r="CT49" s="129"/>
      <c r="CU49" s="130"/>
      <c r="CV49" s="128"/>
      <c r="CW49" s="128"/>
      <c r="CX49" s="129"/>
      <c r="CY49" s="130"/>
      <c r="CZ49" s="128"/>
      <c r="DA49" s="128"/>
      <c r="DB49" s="129"/>
      <c r="DC49" s="80"/>
      <c r="DD49" s="79"/>
      <c r="DE49" s="79"/>
    </row>
    <row r="50" spans="1:109" ht="24.95" customHeight="1" outlineLevel="1" x14ac:dyDescent="0.55000000000000004">
      <c r="A50" s="284" t="s">
        <v>101</v>
      </c>
      <c r="B50" s="196" t="str">
        <f t="shared" ref="B50" si="128">A50</f>
        <v>1.3.3</v>
      </c>
      <c r="C50" s="329" t="s">
        <v>125</v>
      </c>
      <c r="D50" s="205" t="str">
        <f t="shared" ref="D50" si="129">C50</f>
        <v>SN/FP</v>
      </c>
      <c r="E50" s="41">
        <v>252597.187123646</v>
      </c>
      <c r="F50" s="42">
        <f t="shared" ref="F50" si="130">E50</f>
        <v>252597.187123646</v>
      </c>
      <c r="G50" s="81" t="s">
        <v>41</v>
      </c>
      <c r="H50" s="189">
        <v>0</v>
      </c>
      <c r="I50" s="189"/>
      <c r="J50" s="189"/>
      <c r="K50" s="120">
        <f t="shared" si="102"/>
        <v>1</v>
      </c>
      <c r="L50" s="110">
        <f>K50*F50</f>
        <v>252597.187123646</v>
      </c>
      <c r="M50" s="134"/>
      <c r="N50" s="135"/>
      <c r="O50" s="135"/>
      <c r="P50" s="136"/>
      <c r="Q50" s="137"/>
      <c r="R50" s="135"/>
      <c r="S50" s="135"/>
      <c r="T50" s="136"/>
      <c r="U50" s="138"/>
      <c r="V50" s="135"/>
      <c r="W50" s="135"/>
      <c r="X50" s="136"/>
      <c r="Y50" s="157"/>
      <c r="Z50" s="149"/>
      <c r="AA50" s="149"/>
      <c r="AB50" s="158"/>
      <c r="AC50" s="156"/>
      <c r="AD50" s="157"/>
      <c r="AE50" s="149"/>
      <c r="AF50" s="149"/>
      <c r="AG50" s="156"/>
      <c r="AH50" s="155"/>
      <c r="AI50" s="149"/>
      <c r="AJ50" s="149"/>
      <c r="AK50" s="149"/>
      <c r="AL50" s="150"/>
      <c r="AM50" s="157"/>
      <c r="AN50" s="149"/>
      <c r="AO50" s="149"/>
      <c r="AP50" s="156"/>
      <c r="AQ50" s="137"/>
      <c r="AR50" s="135"/>
      <c r="AS50" s="152">
        <v>0.05</v>
      </c>
      <c r="AT50" s="153">
        <v>0.05</v>
      </c>
      <c r="AU50" s="151">
        <v>0.1</v>
      </c>
      <c r="AV50" s="152">
        <v>0.1</v>
      </c>
      <c r="AW50" s="152">
        <v>0.1</v>
      </c>
      <c r="AX50" s="152">
        <v>0.1</v>
      </c>
      <c r="AY50" s="159">
        <v>0.1</v>
      </c>
      <c r="AZ50" s="151">
        <v>0.1</v>
      </c>
      <c r="BA50" s="152">
        <v>0.1</v>
      </c>
      <c r="BB50" s="152">
        <v>0.1</v>
      </c>
      <c r="BC50" s="169">
        <v>0.05</v>
      </c>
      <c r="BD50" s="151">
        <v>0.05</v>
      </c>
      <c r="BE50" s="135"/>
      <c r="BF50" s="135"/>
      <c r="BG50" s="136"/>
      <c r="BH50" s="137"/>
      <c r="BI50" s="135"/>
      <c r="BJ50" s="135"/>
      <c r="BK50" s="135"/>
      <c r="BL50" s="140"/>
      <c r="BM50" s="137"/>
      <c r="BN50" s="135"/>
      <c r="BO50" s="135"/>
      <c r="BP50" s="136"/>
      <c r="BQ50" s="137"/>
      <c r="BR50" s="135"/>
      <c r="BS50" s="135"/>
      <c r="BT50" s="136"/>
      <c r="BU50" s="137"/>
      <c r="BV50" s="135"/>
      <c r="BW50" s="135"/>
      <c r="BX50" s="139"/>
      <c r="BY50" s="140"/>
      <c r="BZ50" s="137"/>
      <c r="CA50" s="135"/>
      <c r="CB50" s="135"/>
      <c r="CC50" s="136"/>
      <c r="CD50" s="137"/>
      <c r="CE50" s="135"/>
      <c r="CF50" s="135"/>
      <c r="CG50" s="136"/>
      <c r="CH50" s="137"/>
      <c r="CI50" s="135"/>
      <c r="CJ50" s="135"/>
      <c r="CK50" s="135"/>
      <c r="CL50" s="140"/>
      <c r="CM50" s="137"/>
      <c r="CN50" s="135"/>
      <c r="CO50" s="135"/>
      <c r="CP50" s="136"/>
      <c r="CQ50" s="133"/>
      <c r="CR50" s="131"/>
      <c r="CS50" s="131"/>
      <c r="CT50" s="132"/>
      <c r="CU50" s="133"/>
      <c r="CV50" s="131"/>
      <c r="CW50" s="131"/>
      <c r="CX50" s="132"/>
      <c r="CY50" s="133"/>
      <c r="CZ50" s="131"/>
      <c r="DA50" s="131"/>
      <c r="DB50" s="132"/>
      <c r="DC50" s="82"/>
      <c r="DD50" s="79"/>
      <c r="DE50" s="79"/>
    </row>
    <row r="51" spans="1:109" ht="24.95" customHeight="1" outlineLevel="1" x14ac:dyDescent="0.55000000000000004">
      <c r="A51" s="284"/>
      <c r="B51" s="196" t="str">
        <f t="shared" ref="B51" si="131">B50</f>
        <v>1.3.3</v>
      </c>
      <c r="C51" s="329"/>
      <c r="D51" s="205" t="str">
        <f t="shared" ref="D51" si="132">D50</f>
        <v>SN/FP</v>
      </c>
      <c r="E51" s="41"/>
      <c r="F51" s="42">
        <f t="shared" ref="F51" si="133">E50</f>
        <v>252597.187123646</v>
      </c>
      <c r="G51" s="83" t="s">
        <v>42</v>
      </c>
      <c r="H51" s="190">
        <v>0</v>
      </c>
      <c r="I51" s="190"/>
      <c r="J51" s="190"/>
      <c r="K51" s="121">
        <f t="shared" si="102"/>
        <v>0</v>
      </c>
      <c r="L51" s="111">
        <f>K51*F51</f>
        <v>0</v>
      </c>
      <c r="M51" s="141"/>
      <c r="N51" s="142"/>
      <c r="O51" s="142"/>
      <c r="P51" s="143"/>
      <c r="Q51" s="144"/>
      <c r="R51" s="142"/>
      <c r="S51" s="142"/>
      <c r="T51" s="143"/>
      <c r="U51" s="145"/>
      <c r="V51" s="142"/>
      <c r="W51" s="163"/>
      <c r="X51" s="143"/>
      <c r="Y51" s="165"/>
      <c r="Z51" s="163"/>
      <c r="AA51" s="163"/>
      <c r="AB51" s="167"/>
      <c r="AC51" s="164"/>
      <c r="AD51" s="165"/>
      <c r="AE51" s="163"/>
      <c r="AF51" s="163"/>
      <c r="AG51" s="164"/>
      <c r="AH51" s="166"/>
      <c r="AI51" s="163"/>
      <c r="AJ51" s="163"/>
      <c r="AK51" s="163"/>
      <c r="AL51" s="168"/>
      <c r="AM51" s="165"/>
      <c r="AN51" s="163"/>
      <c r="AO51" s="163"/>
      <c r="AP51" s="164"/>
      <c r="AQ51" s="144"/>
      <c r="AR51" s="142"/>
      <c r="AS51" s="142"/>
      <c r="AT51" s="143"/>
      <c r="AU51" s="144"/>
      <c r="AV51" s="142"/>
      <c r="AW51" s="142"/>
      <c r="AX51" s="142"/>
      <c r="AY51" s="147"/>
      <c r="AZ51" s="144"/>
      <c r="BA51" s="142"/>
      <c r="BB51" s="142"/>
      <c r="BC51" s="146"/>
      <c r="BD51" s="144"/>
      <c r="BE51" s="142"/>
      <c r="BF51" s="142"/>
      <c r="BG51" s="143"/>
      <c r="BH51" s="144"/>
      <c r="BI51" s="142"/>
      <c r="BJ51" s="142"/>
      <c r="BK51" s="142"/>
      <c r="BL51" s="147"/>
      <c r="BM51" s="144"/>
      <c r="BN51" s="142"/>
      <c r="BO51" s="142"/>
      <c r="BP51" s="143"/>
      <c r="BQ51" s="144"/>
      <c r="BR51" s="142"/>
      <c r="BS51" s="142"/>
      <c r="BT51" s="143"/>
      <c r="BU51" s="144"/>
      <c r="BV51" s="142"/>
      <c r="BW51" s="142"/>
      <c r="BX51" s="146"/>
      <c r="BY51" s="147"/>
      <c r="BZ51" s="144"/>
      <c r="CA51" s="142"/>
      <c r="CB51" s="142"/>
      <c r="CC51" s="143"/>
      <c r="CD51" s="144"/>
      <c r="CE51" s="142"/>
      <c r="CF51" s="142"/>
      <c r="CG51" s="143"/>
      <c r="CH51" s="144"/>
      <c r="CI51" s="142"/>
      <c r="CJ51" s="142"/>
      <c r="CK51" s="142"/>
      <c r="CL51" s="147"/>
      <c r="CM51" s="144"/>
      <c r="CN51" s="142"/>
      <c r="CO51" s="142"/>
      <c r="CP51" s="143"/>
      <c r="CQ51" s="130"/>
      <c r="CR51" s="128"/>
      <c r="CS51" s="128"/>
      <c r="CT51" s="129"/>
      <c r="CU51" s="130"/>
      <c r="CV51" s="128"/>
      <c r="CW51" s="128"/>
      <c r="CX51" s="129"/>
      <c r="CY51" s="130"/>
      <c r="CZ51" s="128"/>
      <c r="DA51" s="128"/>
      <c r="DB51" s="129"/>
      <c r="DC51" s="80"/>
      <c r="DD51" s="79"/>
      <c r="DE51" s="79"/>
    </row>
    <row r="52" spans="1:109" ht="24.95" customHeight="1" outlineLevel="1" x14ac:dyDescent="0.55000000000000004">
      <c r="A52" s="284" t="s">
        <v>102</v>
      </c>
      <c r="B52" s="196" t="str">
        <f t="shared" ref="B52" si="134">A52</f>
        <v>1.3.4</v>
      </c>
      <c r="C52" s="329" t="s">
        <v>126</v>
      </c>
      <c r="D52" s="205" t="str">
        <f t="shared" ref="D52" si="135">C52</f>
        <v>AC</v>
      </c>
      <c r="E52" s="41">
        <v>56860.239558807298</v>
      </c>
      <c r="F52" s="42">
        <f t="shared" ref="F52" si="136">E52</f>
        <v>56860.239558807298</v>
      </c>
      <c r="G52" s="81" t="s">
        <v>41</v>
      </c>
      <c r="H52" s="189">
        <v>0</v>
      </c>
      <c r="I52" s="189"/>
      <c r="J52" s="189"/>
      <c r="K52" s="120">
        <f t="shared" si="102"/>
        <v>1</v>
      </c>
      <c r="L52" s="110">
        <f>K52*F52</f>
        <v>56860.239558807298</v>
      </c>
      <c r="M52" s="134"/>
      <c r="N52" s="135"/>
      <c r="O52" s="135"/>
      <c r="P52" s="136"/>
      <c r="Q52" s="137"/>
      <c r="R52" s="135"/>
      <c r="S52" s="135"/>
      <c r="T52" s="136"/>
      <c r="U52" s="138"/>
      <c r="V52" s="135"/>
      <c r="W52" s="135"/>
      <c r="X52" s="136"/>
      <c r="Y52" s="137"/>
      <c r="Z52" s="135"/>
      <c r="AA52" s="135"/>
      <c r="AB52" s="139"/>
      <c r="AC52" s="136"/>
      <c r="AD52" s="157"/>
      <c r="AE52" s="149"/>
      <c r="AF52" s="149"/>
      <c r="AG52" s="156"/>
      <c r="AH52" s="155"/>
      <c r="AI52" s="149"/>
      <c r="AJ52" s="149"/>
      <c r="AK52" s="149"/>
      <c r="AL52" s="150"/>
      <c r="AM52" s="157"/>
      <c r="AN52" s="149"/>
      <c r="AO52" s="149"/>
      <c r="AP52" s="156"/>
      <c r="AQ52" s="137"/>
      <c r="AR52" s="135"/>
      <c r="AS52" s="135"/>
      <c r="AT52" s="136"/>
      <c r="AU52" s="151">
        <v>0.05</v>
      </c>
      <c r="AV52" s="152">
        <v>0.1</v>
      </c>
      <c r="AW52" s="152">
        <v>0.1</v>
      </c>
      <c r="AX52" s="152">
        <v>0.15</v>
      </c>
      <c r="AY52" s="159">
        <v>0.15</v>
      </c>
      <c r="AZ52" s="151">
        <v>0.1</v>
      </c>
      <c r="BA52" s="152">
        <v>0.1</v>
      </c>
      <c r="BB52" s="152">
        <v>0.1</v>
      </c>
      <c r="BC52" s="169">
        <v>0.1</v>
      </c>
      <c r="BD52" s="137">
        <v>0.05</v>
      </c>
      <c r="BE52" s="135"/>
      <c r="BF52" s="135"/>
      <c r="BG52" s="136"/>
      <c r="BH52" s="137"/>
      <c r="BI52" s="135"/>
      <c r="BJ52" s="135"/>
      <c r="BK52" s="135"/>
      <c r="BL52" s="140"/>
      <c r="BM52" s="137"/>
      <c r="BN52" s="135"/>
      <c r="BO52" s="135"/>
      <c r="BP52" s="136"/>
      <c r="BQ52" s="137"/>
      <c r="BR52" s="135"/>
      <c r="BS52" s="135"/>
      <c r="BT52" s="136"/>
      <c r="BU52" s="137"/>
      <c r="BV52" s="135"/>
      <c r="BW52" s="135"/>
      <c r="BX52" s="139"/>
      <c r="BY52" s="140"/>
      <c r="BZ52" s="137"/>
      <c r="CA52" s="135"/>
      <c r="CB52" s="135"/>
      <c r="CC52" s="136"/>
      <c r="CD52" s="137"/>
      <c r="CE52" s="135"/>
      <c r="CF52" s="135"/>
      <c r="CG52" s="136"/>
      <c r="CH52" s="137"/>
      <c r="CI52" s="135"/>
      <c r="CJ52" s="135"/>
      <c r="CK52" s="135"/>
      <c r="CL52" s="140"/>
      <c r="CM52" s="137"/>
      <c r="CN52" s="135"/>
      <c r="CO52" s="135"/>
      <c r="CP52" s="136"/>
      <c r="CQ52" s="133"/>
      <c r="CR52" s="131"/>
      <c r="CS52" s="131"/>
      <c r="CT52" s="132"/>
      <c r="CU52" s="133"/>
      <c r="CV52" s="131"/>
      <c r="CW52" s="131"/>
      <c r="CX52" s="132"/>
      <c r="CY52" s="133"/>
      <c r="CZ52" s="131"/>
      <c r="DA52" s="131"/>
      <c r="DB52" s="132"/>
      <c r="DC52" s="82"/>
      <c r="DD52" s="79"/>
      <c r="DE52" s="79"/>
    </row>
    <row r="53" spans="1:109" ht="24.95" customHeight="1" outlineLevel="1" x14ac:dyDescent="0.55000000000000004">
      <c r="A53" s="284"/>
      <c r="B53" s="196" t="str">
        <f t="shared" ref="B53" si="137">B52</f>
        <v>1.3.4</v>
      </c>
      <c r="C53" s="329"/>
      <c r="D53" s="205" t="str">
        <f t="shared" ref="D53" si="138">D52</f>
        <v>AC</v>
      </c>
      <c r="E53" s="41"/>
      <c r="F53" s="42">
        <f t="shared" ref="F53" si="139">E52</f>
        <v>56860.239558807298</v>
      </c>
      <c r="G53" s="83" t="s">
        <v>42</v>
      </c>
      <c r="H53" s="190">
        <v>0</v>
      </c>
      <c r="I53" s="190"/>
      <c r="J53" s="190"/>
      <c r="K53" s="121">
        <f t="shared" si="102"/>
        <v>0</v>
      </c>
      <c r="L53" s="111">
        <f>K53*F53</f>
        <v>0</v>
      </c>
      <c r="M53" s="141"/>
      <c r="N53" s="142"/>
      <c r="O53" s="142"/>
      <c r="P53" s="143"/>
      <c r="Q53" s="144"/>
      <c r="R53" s="142"/>
      <c r="S53" s="142"/>
      <c r="T53" s="143"/>
      <c r="U53" s="145"/>
      <c r="V53" s="142"/>
      <c r="W53" s="142"/>
      <c r="X53" s="143"/>
      <c r="Y53" s="144"/>
      <c r="Z53" s="142"/>
      <c r="AA53" s="142"/>
      <c r="AB53" s="146"/>
      <c r="AC53" s="143"/>
      <c r="AD53" s="165"/>
      <c r="AE53" s="163"/>
      <c r="AF53" s="163"/>
      <c r="AG53" s="164"/>
      <c r="AH53" s="166"/>
      <c r="AI53" s="163"/>
      <c r="AJ53" s="163"/>
      <c r="AK53" s="163"/>
      <c r="AL53" s="168"/>
      <c r="AM53" s="165"/>
      <c r="AN53" s="163"/>
      <c r="AO53" s="163"/>
      <c r="AP53" s="164"/>
      <c r="AQ53" s="144"/>
      <c r="AR53" s="142"/>
      <c r="AS53" s="142"/>
      <c r="AT53" s="143"/>
      <c r="AU53" s="144"/>
      <c r="AV53" s="142"/>
      <c r="AW53" s="142"/>
      <c r="AX53" s="142"/>
      <c r="AY53" s="147"/>
      <c r="AZ53" s="144"/>
      <c r="BA53" s="142"/>
      <c r="BB53" s="142"/>
      <c r="BC53" s="146"/>
      <c r="BD53" s="144"/>
      <c r="BE53" s="142"/>
      <c r="BF53" s="142"/>
      <c r="BG53" s="143"/>
      <c r="BH53" s="144"/>
      <c r="BI53" s="142"/>
      <c r="BJ53" s="142"/>
      <c r="BK53" s="142"/>
      <c r="BL53" s="147"/>
      <c r="BM53" s="144"/>
      <c r="BN53" s="142"/>
      <c r="BO53" s="142"/>
      <c r="BP53" s="143"/>
      <c r="BQ53" s="144"/>
      <c r="BR53" s="142"/>
      <c r="BS53" s="142"/>
      <c r="BT53" s="143"/>
      <c r="BU53" s="144"/>
      <c r="BV53" s="142"/>
      <c r="BW53" s="142"/>
      <c r="BX53" s="146"/>
      <c r="BY53" s="147"/>
      <c r="BZ53" s="144"/>
      <c r="CA53" s="142"/>
      <c r="CB53" s="142"/>
      <c r="CC53" s="143"/>
      <c r="CD53" s="144"/>
      <c r="CE53" s="142"/>
      <c r="CF53" s="142"/>
      <c r="CG53" s="143"/>
      <c r="CH53" s="144"/>
      <c r="CI53" s="142"/>
      <c r="CJ53" s="142"/>
      <c r="CK53" s="142"/>
      <c r="CL53" s="147"/>
      <c r="CM53" s="144"/>
      <c r="CN53" s="142"/>
      <c r="CO53" s="142"/>
      <c r="CP53" s="143"/>
      <c r="CQ53" s="130"/>
      <c r="CR53" s="128"/>
      <c r="CS53" s="128"/>
      <c r="CT53" s="129"/>
      <c r="CU53" s="130"/>
      <c r="CV53" s="128"/>
      <c r="CW53" s="128"/>
      <c r="CX53" s="129"/>
      <c r="CY53" s="130"/>
      <c r="CZ53" s="128"/>
      <c r="DA53" s="128"/>
      <c r="DB53" s="129"/>
      <c r="DC53" s="80"/>
      <c r="DD53" s="79"/>
      <c r="DE53" s="79"/>
    </row>
    <row r="54" spans="1:109" ht="24.95" customHeight="1" x14ac:dyDescent="0.55000000000000004">
      <c r="A54" s="282">
        <v>1.4</v>
      </c>
      <c r="B54" s="197">
        <f t="shared" ref="B54" si="140">A54</f>
        <v>1.4</v>
      </c>
      <c r="C54" s="283" t="s">
        <v>127</v>
      </c>
      <c r="D54" s="202" t="str">
        <f t="shared" ref="D54" si="141">C54</f>
        <v>Architectural  |  MEP</v>
      </c>
      <c r="E54" s="61">
        <f>E56+E68+E70+E72</f>
        <v>82272490.458837852</v>
      </c>
      <c r="F54" s="40">
        <f t="shared" ref="F54" si="142">E54</f>
        <v>82272490.458837852</v>
      </c>
      <c r="G54" s="112" t="s">
        <v>41</v>
      </c>
      <c r="H54" s="184">
        <v>1</v>
      </c>
      <c r="I54" s="184"/>
      <c r="J54" s="184" t="s">
        <v>105</v>
      </c>
      <c r="K54" s="122">
        <f t="shared" si="102"/>
        <v>0.99999999999999978</v>
      </c>
      <c r="L54" s="113">
        <f>L56+L68+L70+L72</f>
        <v>82272490.458837867</v>
      </c>
      <c r="M54" s="134" cm="1">
        <f t="array" ref="M54">SUMPRODUCT(($G$56:$G$73="P")*($I$56:$I$73="A")*$F$56:$F$73*M56:M73)/$F$54</f>
        <v>0</v>
      </c>
      <c r="N54" s="135" cm="1">
        <f t="array" ref="N54">SUMPRODUCT(($G$56:$G$73="P")*($I$56:$I$73="A")*$F$56:$F$73*N56:N73)/$F$54</f>
        <v>0</v>
      </c>
      <c r="O54" s="135" cm="1">
        <f t="array" ref="O54">SUMPRODUCT(($G$56:$G$73="P")*($I$56:$I$73="A")*$F$56:$F$73*O56:O73)/$F$54</f>
        <v>0</v>
      </c>
      <c r="P54" s="136" cm="1">
        <f t="array" ref="P54">SUMPRODUCT(($G$56:$G$73="P")*($I$56:$I$73="A")*$F$56:$F$73*P56:P73)/$F$54</f>
        <v>0</v>
      </c>
      <c r="Q54" s="137" cm="1">
        <f t="array" ref="Q54">SUMPRODUCT(($G$56:$G$73="P")*($I$56:$I$73="A")*$F$56:$F$73*Q56:Q73)/$F$54</f>
        <v>0</v>
      </c>
      <c r="R54" s="135" cm="1">
        <f t="array" ref="R54">SUMPRODUCT(($G$56:$G$73="P")*($I$56:$I$73="A")*$F$56:$F$73*R56:R73)/$F$54</f>
        <v>0</v>
      </c>
      <c r="S54" s="135" cm="1">
        <f t="array" ref="S54">SUMPRODUCT(($G$56:$G$73="P")*($I$56:$I$73="A")*$F$56:$F$73*S56:S73)/$F$54</f>
        <v>0</v>
      </c>
      <c r="T54" s="136" cm="1">
        <f t="array" ref="T54">SUMPRODUCT(($G$56:$G$73="P")*($I$56:$I$73="A")*$F$56:$F$73*T56:T73)/$F$54</f>
        <v>0</v>
      </c>
      <c r="U54" s="138" cm="1">
        <f t="array" ref="U54">SUMPRODUCT(($G$56:$G$73="P")*($I$56:$I$73="A")*$F$56:$F$73*U56:U73)/$F$54</f>
        <v>0</v>
      </c>
      <c r="V54" s="135" cm="1">
        <f t="array" ref="V54">SUMPRODUCT(($G$56:$G$73="P")*($I$56:$I$73="A")*$F$56:$F$73*V56:V73)/$F$54</f>
        <v>0</v>
      </c>
      <c r="W54" s="135" cm="1">
        <f t="array" ref="W54">SUMPRODUCT(($G$56:$G$73="P")*($I$56:$I$73="A")*$F$56:$F$73*W56:W73)/$F$54</f>
        <v>0</v>
      </c>
      <c r="X54" s="136" cm="1">
        <f t="array" ref="X54">SUMPRODUCT(($G$56:$G$73="P")*($I$56:$I$73="A")*$F$56:$F$73*X56:X73)/$F$54</f>
        <v>0</v>
      </c>
      <c r="Y54" s="137" cm="1">
        <f t="array" ref="Y54">SUMPRODUCT(($G$56:$G$73="P")*($I$56:$I$73="A")*$F$56:$F$73*Y56:Y73)/$F$54</f>
        <v>0</v>
      </c>
      <c r="Z54" s="135" cm="1">
        <f t="array" ref="Z54">SUMPRODUCT(($G$56:$G$73="P")*($I$56:$I$73="A")*$F$56:$F$73*Z56:Z73)/$F$54</f>
        <v>0</v>
      </c>
      <c r="AA54" s="135" cm="1">
        <f t="array" ref="AA54">SUMPRODUCT(($G$56:$G$73="P")*($I$56:$I$73="A")*$F$56:$F$73*AA56:AA73)/$F$54</f>
        <v>0</v>
      </c>
      <c r="AB54" s="139" cm="1">
        <f t="array" ref="AB54">SUMPRODUCT(($G$56:$G$73="P")*($I$56:$I$73="A")*$F$56:$F$73*AB56:AB73)/$F$54</f>
        <v>0</v>
      </c>
      <c r="AC54" s="136" cm="1">
        <f t="array" ref="AC54">SUMPRODUCT(($G$56:$G$73="P")*($I$56:$I$73="A")*$F$56:$F$73*AC56:AC73)/$F$54</f>
        <v>0</v>
      </c>
      <c r="AD54" s="137" cm="1">
        <f t="array" ref="AD54">SUMPRODUCT(($G$56:$G$73="P")*($I$56:$I$73="A")*$F$56:$F$73*AD56:AD73)/$F$54</f>
        <v>0</v>
      </c>
      <c r="AE54" s="135" cm="1">
        <f t="array" ref="AE54">SUMPRODUCT(($G$56:$G$73="P")*($I$56:$I$73="A")*$F$56:$F$73*AE56:AE73)/$F$54</f>
        <v>0</v>
      </c>
      <c r="AF54" s="135" cm="1">
        <f t="array" ref="AF54">SUMPRODUCT(($G$56:$G$73="P")*($I$56:$I$73="A")*$F$56:$F$73*AF56:AF73)/$F$54</f>
        <v>0</v>
      </c>
      <c r="AG54" s="136" cm="1">
        <f t="array" ref="AG54">SUMPRODUCT(($G$56:$G$73="P")*($I$56:$I$73="A")*$F$56:$F$73*AG56:AG73)/$F$54</f>
        <v>0</v>
      </c>
      <c r="AH54" s="138" cm="1">
        <f t="array" ref="AH54">SUMPRODUCT(($G$56:$G$73="P")*($I$56:$I$73="A")*$F$56:$F$73*AH56:AH73)/$F$54</f>
        <v>0</v>
      </c>
      <c r="AI54" s="135" cm="1">
        <f t="array" ref="AI54">SUMPRODUCT(($G$56:$G$73="P")*($I$56:$I$73="A")*$F$56:$F$73*AI56:AI73)/$F$54</f>
        <v>0</v>
      </c>
      <c r="AJ54" s="135" cm="1">
        <f t="array" ref="AJ54">SUMPRODUCT(($G$56:$G$73="P")*($I$56:$I$73="A")*$F$56:$F$73*AJ56:AJ73)/$F$54</f>
        <v>0</v>
      </c>
      <c r="AK54" s="135" cm="1">
        <f t="array" ref="AK54">SUMPRODUCT(($G$56:$G$73="P")*($I$56:$I$73="A")*$F$56:$F$73*AK56:AK73)/$F$54</f>
        <v>0</v>
      </c>
      <c r="AL54" s="140" cm="1">
        <f t="array" ref="AL54">SUMPRODUCT(($G$56:$G$73="P")*($I$56:$I$73="A")*$F$56:$F$73*AL56:AL73)/$F$54</f>
        <v>0</v>
      </c>
      <c r="AM54" s="137" cm="1">
        <f t="array" ref="AM54">SUMPRODUCT(($G$56:$G$73="P")*($I$56:$I$73="A")*$F$56:$F$73*AM56:AM73)/$F$54</f>
        <v>0</v>
      </c>
      <c r="AN54" s="135" cm="1">
        <f t="array" ref="AN54">SUMPRODUCT(($G$56:$G$73="P")*($I$56:$I$73="A")*$F$56:$F$73*AN56:AN73)/$F$54</f>
        <v>0</v>
      </c>
      <c r="AO54" s="135" cm="1">
        <f t="array" ref="AO54">SUMPRODUCT(($G$56:$G$73="P")*($I$56:$I$73="A")*$F$56:$F$73*AO56:AO73)/$F$54</f>
        <v>4.261408724571359E-3</v>
      </c>
      <c r="AP54" s="136" cm="1">
        <f t="array" ref="AP54">SUMPRODUCT(($G$56:$G$73="P")*($I$56:$I$73="A")*$F$56:$F$73*AP56:AP73)/$F$54</f>
        <v>4.261408724571359E-3</v>
      </c>
      <c r="AQ54" s="137" cm="1">
        <f t="array" ref="AQ54">SUMPRODUCT(($G$56:$G$73="P")*($I$56:$I$73="A")*$F$56:$F$73*AQ56:AQ73)/$F$54</f>
        <v>4.261408724571359E-3</v>
      </c>
      <c r="AR54" s="135" cm="1">
        <f t="array" ref="AR54">SUMPRODUCT(($G$56:$G$73="P")*($I$56:$I$73="A")*$F$56:$F$73*AR56:AR73)/$F$54</f>
        <v>4.261408724571359E-3</v>
      </c>
      <c r="AS54" s="135" cm="1">
        <f t="array" ref="AS54">SUMPRODUCT(($G$56:$G$73="P")*($I$56:$I$73="A")*$F$56:$F$73*AS56:AS73)/$F$54</f>
        <v>4.261408724571359E-3</v>
      </c>
      <c r="AT54" s="136" cm="1">
        <f t="array" ref="AT54">SUMPRODUCT(($G$56:$G$73="P")*($I$56:$I$73="A")*$F$56:$F$73*AT56:AT73)/$F$54</f>
        <v>4.261408724571359E-3</v>
      </c>
      <c r="AU54" s="137" cm="1">
        <f t="array" ref="AU54">SUMPRODUCT(($G$56:$G$73="P")*($I$56:$I$73="A")*$F$56:$F$73*AU56:AU73)/$F$54</f>
        <v>4.261408724571359E-3</v>
      </c>
      <c r="AV54" s="135" cm="1">
        <f t="array" ref="AV54">SUMPRODUCT(($G$56:$G$73="P")*($I$56:$I$73="A")*$F$56:$F$73*AV56:AV73)/$F$54</f>
        <v>2.0452500737738785E-2</v>
      </c>
      <c r="AW54" s="135" cm="1">
        <f t="array" ref="AW54">SUMPRODUCT(($G$56:$G$73="P")*($I$56:$I$73="A")*$F$56:$F$73*AW56:AW73)/$F$54</f>
        <v>2.0452500737738785E-2</v>
      </c>
      <c r="AX54" s="135" cm="1">
        <f t="array" ref="AX54">SUMPRODUCT(($G$56:$G$73="P")*($I$56:$I$73="A")*$F$56:$F$73*AX56:AX73)/$F$54</f>
        <v>2.0452500737738785E-2</v>
      </c>
      <c r="AY54" s="140" cm="1">
        <f t="array" ref="AY54">SUMPRODUCT(($G$56:$G$73="P")*($I$56:$I$73="A")*$F$56:$F$73*AY56:AY73)/$F$54</f>
        <v>1.6191092013167426E-2</v>
      </c>
      <c r="AZ54" s="137" cm="1">
        <f t="array" ref="AZ54">SUMPRODUCT(($G$56:$G$73="P")*($I$56:$I$73="A")*$F$56:$F$73*AZ56:AZ73)/$F$54</f>
        <v>1.6191092013167426E-2</v>
      </c>
      <c r="BA54" s="135" cm="1">
        <f t="array" ref="BA54">SUMPRODUCT(($G$56:$G$73="P")*($I$56:$I$73="A")*$F$56:$F$73*BA56:BA73)/$F$54</f>
        <v>1.6191092013167426E-2</v>
      </c>
      <c r="BB54" s="135" cm="1">
        <f t="array" ref="BB54">SUMPRODUCT(($G$56:$G$73="P")*($I$56:$I$73="A")*$F$56:$F$73*BB56:BB73)/$F$54</f>
        <v>1.9370176043518407E-2</v>
      </c>
      <c r="BC54" s="139" cm="1">
        <f t="array" ref="BC54">SUMPRODUCT(($G$56:$G$73="P")*($I$56:$I$73="A")*$F$56:$F$73*BC56:BC73)/$F$54</f>
        <v>1.9370176043518407E-2</v>
      </c>
      <c r="BD54" s="137" cm="1">
        <f t="array" ref="BD54">SUMPRODUCT(($G$56:$G$73="P")*($I$56:$I$73="A")*$F$56:$F$73*BD56:BD73)/$F$54</f>
        <v>2.6683276294692929E-2</v>
      </c>
      <c r="BE54" s="135" cm="1">
        <f t="array" ref="BE54">SUMPRODUCT(($G$56:$G$73="P")*($I$56:$I$73="A")*$F$56:$F$73*BE56:BE73)/$F$54</f>
        <v>3.1028829123750781E-2</v>
      </c>
      <c r="BF54" s="135" cm="1">
        <f t="array" ref="BF54">SUMPRODUCT(($G$56:$G$73="P")*($I$56:$I$73="A")*$F$56:$F$73*BF56:BF73)/$F$54</f>
        <v>4.0556030769713147E-2</v>
      </c>
      <c r="BG54" s="136" cm="1">
        <f t="array" ref="BG54">SUMPRODUCT(($G$56:$G$73="P")*($I$56:$I$73="A")*$F$56:$F$73*BG56:BG73)/$F$54</f>
        <v>4.0556030769713147E-2</v>
      </c>
      <c r="BH54" s="137" cm="1">
        <f t="array" ref="BH54">SUMPRODUCT(($G$56:$G$73="P")*($I$56:$I$73="A")*$F$56:$F$73*BH56:BH73)/$F$54</f>
        <v>4.0556030769713147E-2</v>
      </c>
      <c r="BI54" s="135" cm="1">
        <f t="array" ref="BI54">SUMPRODUCT(($G$56:$G$73="P")*($I$56:$I$73="A")*$F$56:$F$73*BI56:BI73)/$F$54</f>
        <v>5.4539826442856723E-2</v>
      </c>
      <c r="BJ54" s="135" cm="1">
        <f t="array" ref="BJ54">SUMPRODUCT(($G$56:$G$73="P")*($I$56:$I$73="A")*$F$56:$F$73*BJ56:BJ73)/$F$54</f>
        <v>5.4539826442856723E-2</v>
      </c>
      <c r="BK54" s="135" cm="1">
        <f t="array" ref="BK54">SUMPRODUCT(($G$56:$G$73="P")*($I$56:$I$73="A")*$F$56:$F$73*BK56:BK73)/$F$54</f>
        <v>6.7474495375950641E-2</v>
      </c>
      <c r="BL54" s="140" cm="1">
        <f t="array" ref="BL54">SUMPRODUCT(($G$56:$G$73="P")*($I$56:$I$73="A")*$F$56:$F$73*BL56:BL73)/$F$54</f>
        <v>5.7375799095967746E-2</v>
      </c>
      <c r="BM54" s="137" cm="1">
        <f t="array" ref="BM54">SUMPRODUCT(($G$56:$G$73="P")*($I$56:$I$73="A")*$F$56:$F$73*BM56:BM73)/$F$54</f>
        <v>5.5713103798669859E-2</v>
      </c>
      <c r="BN54" s="135" cm="1">
        <f t="array" ref="BN54">SUMPRODUCT(($G$56:$G$73="P")*($I$56:$I$73="A")*$F$56:$F$73*BN56:BN73)/$F$54</f>
        <v>6.2158279760134237E-2</v>
      </c>
      <c r="BO54" s="135" cm="1">
        <f t="array" ref="BO54">SUMPRODUCT(($G$56:$G$73="P")*($I$56:$I$73="A")*$F$56:$F$73*BO56:BO73)/$F$54</f>
        <v>5.266694689401806E-2</v>
      </c>
      <c r="BP54" s="136" cm="1">
        <f t="array" ref="BP54">SUMPRODUCT(($G$56:$G$73="P")*($I$56:$I$73="A")*$F$56:$F$73*BP56:BP73)/$F$54</f>
        <v>4.0737263605422E-2</v>
      </c>
      <c r="BQ54" s="137" cm="1">
        <f t="array" ref="BQ54">SUMPRODUCT(($G$56:$G$73="P")*($I$56:$I$73="A")*$F$56:$F$73*BQ56:BQ73)/$F$54</f>
        <v>4.2057318506767687E-2</v>
      </c>
      <c r="BR54" s="135" cm="1">
        <f t="array" ref="BR54">SUMPRODUCT(($G$56:$G$73="P")*($I$56:$I$73="A")*$F$56:$F$73*BR56:BR73)/$F$54</f>
        <v>3.3626024781526598E-2</v>
      </c>
      <c r="BS54" s="135" cm="1">
        <f t="array" ref="BS54">SUMPRODUCT(($G$56:$G$73="P")*($I$56:$I$73="A")*$F$56:$F$73*BS56:BS73)/$F$54</f>
        <v>2.4625079923073657E-2</v>
      </c>
      <c r="BT54" s="136" cm="1">
        <f t="array" ref="BT54">SUMPRODUCT(($G$56:$G$73="P")*($I$56:$I$73="A")*$F$56:$F$73*BT56:BT73)/$F$54</f>
        <v>2.6105424240934483E-2</v>
      </c>
      <c r="BU54" s="137" cm="1">
        <f t="array" ref="BU54">SUMPRODUCT(($G$56:$G$73="P")*($I$56:$I$73="A")*$F$56:$F$73*BU56:BU73)/$F$54</f>
        <v>2.3816858289084489E-2</v>
      </c>
      <c r="BV54" s="135" cm="1">
        <f t="array" ref="BV54">SUMPRODUCT(($G$56:$G$73="P")*($I$56:$I$73="A")*$F$56:$F$73*BV56:BV73)/$F$54</f>
        <v>1.2412560941314007E-2</v>
      </c>
      <c r="BW54" s="135" cm="1">
        <f t="array" ref="BW54">SUMPRODUCT(($G$56:$G$73="P")*($I$56:$I$73="A")*$F$56:$F$73*BW56:BW73)/$F$54</f>
        <v>1.1654366574787458E-2</v>
      </c>
      <c r="BX54" s="139" cm="1">
        <f t="array" ref="BX54">SUMPRODUCT(($G$56:$G$73="P")*($I$56:$I$73="A")*$F$56:$F$73*BX56:BX73)/$F$54</f>
        <v>9.7914293605957659E-3</v>
      </c>
      <c r="BY54" s="140" cm="1">
        <f t="array" ref="BY54">SUMPRODUCT(($G$56:$G$73="P")*($I$56:$I$73="A")*$F$56:$F$73*BY56:BY73)/$F$54</f>
        <v>6.7586518944895762E-3</v>
      </c>
      <c r="BZ54" s="137" cm="1">
        <f t="array" ref="BZ54">SUMPRODUCT(($G$56:$G$73="P")*($I$56:$I$73="A")*$F$56:$F$73*BZ56:BZ73)/$F$54</f>
        <v>1.5163887330530955E-3</v>
      </c>
      <c r="CA54" s="135" cm="1">
        <f t="array" ref="CA54">SUMPRODUCT(($G$56:$G$73="P")*($I$56:$I$73="A")*$F$56:$F$73*CA56:CA73)/$F$54</f>
        <v>1.5163887330530955E-3</v>
      </c>
      <c r="CB54" s="135" cm="1">
        <f t="array" ref="CB54">SUMPRODUCT(($G$56:$G$73="P")*($I$56:$I$73="A")*$F$56:$F$73*CB56:CB73)/$F$54</f>
        <v>1.5163887330530955E-3</v>
      </c>
      <c r="CC54" s="136" cm="1">
        <f t="array" ref="CC54">SUMPRODUCT(($G$56:$G$73="P")*($I$56:$I$73="A")*$F$56:$F$73*CC56:CC73)/$F$54</f>
        <v>1.5163887330530955E-3</v>
      </c>
      <c r="CD54" s="137" cm="1">
        <f t="array" ref="CD54">SUMPRODUCT(($G$56:$G$73="P")*($I$56:$I$73="A")*$F$56:$F$73*CD56:CD73)/$F$54</f>
        <v>0</v>
      </c>
      <c r="CE54" s="135" cm="1">
        <f t="array" ref="CE54">SUMPRODUCT(($G$56:$G$73="P")*($I$56:$I$73="A")*$F$56:$F$73*CE56:CE73)/$F$54</f>
        <v>0</v>
      </c>
      <c r="CF54" s="135" cm="1">
        <f t="array" ref="CF54">SUMPRODUCT(($G$56:$G$73="P")*($I$56:$I$73="A")*$F$56:$F$73*CF56:CF73)/$F$54</f>
        <v>0</v>
      </c>
      <c r="CG54" s="136" cm="1">
        <f t="array" ref="CG54">SUMPRODUCT(($G$56:$G$73="P")*($I$56:$I$73="A")*$F$56:$F$73*CG56:CG73)/$F$54</f>
        <v>0</v>
      </c>
      <c r="CH54" s="137" cm="1">
        <f t="array" ref="CH54">SUMPRODUCT(($G$56:$G$73="P")*($I$56:$I$73="A")*$F$56:$F$73*CH56:CH73)/$F$54</f>
        <v>0</v>
      </c>
      <c r="CI54" s="135" cm="1">
        <f t="array" ref="CI54">SUMPRODUCT(($G$56:$G$73="P")*($I$56:$I$73="A")*$F$56:$F$73*CI56:CI73)/$F$54</f>
        <v>0</v>
      </c>
      <c r="CJ54" s="135" cm="1">
        <f t="array" ref="CJ54">SUMPRODUCT(($G$56:$G$73="P")*($I$56:$I$73="A")*$F$56:$F$73*CJ56:CJ73)/$F$54</f>
        <v>0</v>
      </c>
      <c r="CK54" s="135" cm="1">
        <f t="array" ref="CK54">SUMPRODUCT(($G$56:$G$73="P")*($I$56:$I$73="A")*$F$56:$F$73*CK56:CK73)/$F$54</f>
        <v>0</v>
      </c>
      <c r="CL54" s="140" cm="1">
        <f t="array" ref="CL54">SUMPRODUCT(($G$56:$G$73="P")*($I$56:$I$73="A")*$F$56:$F$73*CL56:CL73)/$F$54</f>
        <v>0</v>
      </c>
      <c r="CM54" s="137" cm="1">
        <f t="array" ref="CM54">SUMPRODUCT(($G$56:$G$73="P")*($I$56:$I$73="A")*$F$56:$F$73*CM56:CM73)/$F$54</f>
        <v>0</v>
      </c>
      <c r="CN54" s="135" cm="1">
        <f t="array" ref="CN54">SUMPRODUCT(($G$56:$G$73="P")*($I$56:$I$73="A")*$F$56:$F$73*CN56:CN73)/$F$54</f>
        <v>0</v>
      </c>
      <c r="CO54" s="135" cm="1">
        <f t="array" ref="CO54">SUMPRODUCT(($G$56:$G$73="P")*($I$56:$I$73="A")*$F$56:$F$73*CO56:CO73)/$F$54</f>
        <v>0</v>
      </c>
      <c r="CP54" s="136" cm="1">
        <f t="array" ref="CP54">SUMPRODUCT(($G$56:$G$73="P")*($I$56:$I$73="A")*$F$56:$F$73*CP56:CP73)/$F$54</f>
        <v>0</v>
      </c>
      <c r="CQ54" s="133" cm="1">
        <f t="array" ref="CQ54">SUMPRODUCT(($G$56:$G$73="P")*($I$56:$I$73="A")*$F$56:$F$73*CQ56:CQ73)/$F$54</f>
        <v>0</v>
      </c>
      <c r="CR54" s="131" cm="1">
        <f t="array" ref="CR54">SUMPRODUCT(($G$56:$G$73="P")*($I$56:$I$73="A")*$F$56:$F$73*CR56:CR73)/$F$54</f>
        <v>0</v>
      </c>
      <c r="CS54" s="131" cm="1">
        <f t="array" ref="CS54">SUMPRODUCT(($G$56:$G$73="P")*($I$56:$I$73="A")*$F$56:$F$73*CS56:CS73)/$F$54</f>
        <v>0</v>
      </c>
      <c r="CT54" s="132" cm="1">
        <f t="array" ref="CT54">SUMPRODUCT(($G$56:$G$73="P")*($I$56:$I$73="A")*$F$56:$F$73*CT56:CT73)/$F$54</f>
        <v>0</v>
      </c>
      <c r="CU54" s="133" cm="1">
        <f t="array" ref="CU54">SUMPRODUCT(($G$56:$G$73="P")*($I$56:$I$73="A")*$F$56:$F$73*CU56:CU73)/$F$54</f>
        <v>0</v>
      </c>
      <c r="CV54" s="131" cm="1">
        <f t="array" ref="CV54">SUMPRODUCT(($G$56:$G$73="P")*($I$56:$I$73="A")*$F$56:$F$73*CV56:CV73)/$F$54</f>
        <v>0</v>
      </c>
      <c r="CW54" s="131" cm="1">
        <f t="array" ref="CW54">SUMPRODUCT(($G$56:$G$73="P")*($I$56:$I$73="A")*$F$56:$F$73*CW56:CW73)/$F$54</f>
        <v>0</v>
      </c>
      <c r="CX54" s="132" cm="1">
        <f t="array" ref="CX54">SUMPRODUCT(($G$56:$G$73="P")*($I$56:$I$73="A")*$F$56:$F$73*CX56:CX73)/$F$54</f>
        <v>0</v>
      </c>
      <c r="CY54" s="133" cm="1">
        <f t="array" ref="CY54">SUMPRODUCT(($G$56:$G$73="P")*($I$56:$I$73="A")*$F$56:$F$73*CY56:CY73)/$F$54</f>
        <v>0</v>
      </c>
      <c r="CZ54" s="131" cm="1">
        <f t="array" ref="CZ54">SUMPRODUCT(($G$56:$G$73="P")*($I$56:$I$73="A")*$F$56:$F$73*CZ56:CZ73)/$F$54</f>
        <v>0</v>
      </c>
      <c r="DA54" s="131" cm="1">
        <f t="array" ref="DA54">SUMPRODUCT(($G$56:$G$73="P")*($I$56:$I$73="A")*$F$56:$F$73*DA56:DA73)/$F$54</f>
        <v>0</v>
      </c>
      <c r="DB54" s="132" cm="1">
        <f t="array" ref="DB54">SUMPRODUCT(($G$56:$G$73="P")*($I$56:$I$73="A")*$F$56:$F$73*DB56:DB73)/$F$54</f>
        <v>0</v>
      </c>
      <c r="DC54" s="82" cm="1">
        <f t="array" ref="DC54">SUMPRODUCT(($G$56:$G$73="P")*($I$56:$I$73="A")*$F$56:$F$73*DC56:DC73)/$F$54</f>
        <v>0</v>
      </c>
      <c r="DD54" s="79"/>
      <c r="DE54" s="79"/>
    </row>
    <row r="55" spans="1:109" ht="24.95" customHeight="1" x14ac:dyDescent="0.55000000000000004">
      <c r="A55" s="282"/>
      <c r="B55" s="197">
        <f t="shared" ref="B55" si="143">B54</f>
        <v>1.4</v>
      </c>
      <c r="C55" s="283"/>
      <c r="D55" s="202" t="str">
        <f t="shared" ref="D55" si="144">D54</f>
        <v>Architectural  |  MEP</v>
      </c>
      <c r="E55" s="39"/>
      <c r="F55" s="40">
        <f t="shared" ref="F55" si="145">E54</f>
        <v>82272490.458837852</v>
      </c>
      <c r="G55" s="114" t="s">
        <v>42</v>
      </c>
      <c r="H55" s="185">
        <v>1</v>
      </c>
      <c r="I55" s="185"/>
      <c r="J55" s="185" t="s">
        <v>105</v>
      </c>
      <c r="K55" s="123">
        <f t="shared" si="102"/>
        <v>1.7045634898285436E-2</v>
      </c>
      <c r="L55" s="115">
        <f>L57+L69+L71+L73</f>
        <v>1402386.834534022</v>
      </c>
      <c r="M55" s="141" cm="1">
        <f t="array" ref="M55">SUMPRODUCT(($G$56:$G$73="A")*($I$56:$I$73="A")*$F$56:$F$73*M56:M73)/$F$54</f>
        <v>0</v>
      </c>
      <c r="N55" s="142" cm="1">
        <f t="array" ref="N55">SUMPRODUCT(($G$56:$G$73="A")*($I$56:$I$73="A")*$F$56:$F$73*N56:N73)/$F$54</f>
        <v>0</v>
      </c>
      <c r="O55" s="142" cm="1">
        <f t="array" ref="O55">SUMPRODUCT(($G$56:$G$73="A")*($I$56:$I$73="A")*$F$56:$F$73*O56:O73)/$F$54</f>
        <v>0</v>
      </c>
      <c r="P55" s="143" cm="1">
        <f t="array" ref="P55">SUMPRODUCT(($G$56:$G$73="A")*($I$56:$I$73="A")*$F$56:$F$73*P56:P73)/$F$54</f>
        <v>0</v>
      </c>
      <c r="Q55" s="144" cm="1">
        <f t="array" ref="Q55">SUMPRODUCT(($G$56:$G$73="A")*($I$56:$I$73="A")*$F$56:$F$73*Q56:Q73)/$F$54</f>
        <v>0</v>
      </c>
      <c r="R55" s="142" cm="1">
        <f t="array" ref="R55">SUMPRODUCT(($G$56:$G$73="A")*($I$56:$I$73="A")*$F$56:$F$73*R56:R73)/$F$54</f>
        <v>0</v>
      </c>
      <c r="S55" s="142" cm="1">
        <f t="array" ref="S55">SUMPRODUCT(($G$56:$G$73="A")*($I$56:$I$73="A")*$F$56:$F$73*S56:S73)/$F$54</f>
        <v>0</v>
      </c>
      <c r="T55" s="143" cm="1">
        <f t="array" ref="T55">SUMPRODUCT(($G$56:$G$73="A")*($I$56:$I$73="A")*$F$56:$F$73*T56:T73)/$F$54</f>
        <v>0</v>
      </c>
      <c r="U55" s="145" cm="1">
        <f t="array" ref="U55">SUMPRODUCT(($G$56:$G$73="A")*($I$56:$I$73="A")*$F$56:$F$73*U56:U73)/$F$54</f>
        <v>0</v>
      </c>
      <c r="V55" s="142" cm="1">
        <f t="array" ref="V55">SUMPRODUCT(($G$56:$G$73="A")*($I$56:$I$73="A")*$F$56:$F$73*V56:V73)/$F$54</f>
        <v>0</v>
      </c>
      <c r="W55" s="142" cm="1">
        <f t="array" ref="W55">SUMPRODUCT(($G$56:$G$73="A")*($I$56:$I$73="A")*$F$56:$F$73*W56:W73)/$F$54</f>
        <v>0</v>
      </c>
      <c r="X55" s="143" cm="1">
        <f t="array" ref="X55">SUMPRODUCT(($G$56:$G$73="A")*($I$56:$I$73="A")*$F$56:$F$73*X56:X73)/$F$54</f>
        <v>0</v>
      </c>
      <c r="Y55" s="144" cm="1">
        <f t="array" ref="Y55">SUMPRODUCT(($G$56:$G$73="A")*($I$56:$I$73="A")*$F$56:$F$73*Y56:Y73)/$F$54</f>
        <v>0</v>
      </c>
      <c r="Z55" s="142" cm="1">
        <f t="array" ref="Z55">SUMPRODUCT(($G$56:$G$73="A")*($I$56:$I$73="A")*$F$56:$F$73*Z56:Z73)/$F$54</f>
        <v>0</v>
      </c>
      <c r="AA55" s="142" cm="1">
        <f t="array" ref="AA55">SUMPRODUCT(($G$56:$G$73="A")*($I$56:$I$73="A")*$F$56:$F$73*AA56:AA73)/$F$54</f>
        <v>0</v>
      </c>
      <c r="AB55" s="146" cm="1">
        <f t="array" ref="AB55">SUMPRODUCT(($G$56:$G$73="A")*($I$56:$I$73="A")*$F$56:$F$73*AB56:AB73)/$F$54</f>
        <v>0</v>
      </c>
      <c r="AC55" s="143" cm="1">
        <f t="array" ref="AC55">SUMPRODUCT(($G$56:$G$73="A")*($I$56:$I$73="A")*$F$56:$F$73*AC56:AC73)/$F$54</f>
        <v>0</v>
      </c>
      <c r="AD55" s="144" cm="1">
        <f t="array" ref="AD55">SUMPRODUCT(($G$56:$G$73="A")*($I$56:$I$73="A")*$F$56:$F$73*AD56:AD73)/$F$54</f>
        <v>0</v>
      </c>
      <c r="AE55" s="142" cm="1">
        <f t="array" ref="AE55">SUMPRODUCT(($G$56:$G$73="A")*($I$56:$I$73="A")*$F$56:$F$73*AE56:AE73)/$F$54</f>
        <v>0</v>
      </c>
      <c r="AF55" s="142" cm="1">
        <f t="array" ref="AF55">SUMPRODUCT(($G$56:$G$73="A")*($I$56:$I$73="A")*$F$56:$F$73*AF56:AF73)/$F$54</f>
        <v>0</v>
      </c>
      <c r="AG55" s="143" cm="1">
        <f t="array" ref="AG55">SUMPRODUCT(($G$56:$G$73="A")*($I$56:$I$73="A")*$F$56:$F$73*AG56:AG73)/$F$54</f>
        <v>0</v>
      </c>
      <c r="AH55" s="145" cm="1">
        <f t="array" ref="AH55">SUMPRODUCT(($G$56:$G$73="A")*($I$56:$I$73="A")*$F$56:$F$73*AH56:AH73)/$F$54</f>
        <v>0</v>
      </c>
      <c r="AI55" s="142" cm="1">
        <f t="array" ref="AI55">SUMPRODUCT(($G$56:$G$73="A")*($I$56:$I$73="A")*$F$56:$F$73*AI56:AI73)/$F$54</f>
        <v>0</v>
      </c>
      <c r="AJ55" s="142" cm="1">
        <f t="array" ref="AJ55">SUMPRODUCT(($G$56:$G$73="A")*($I$56:$I$73="A")*$F$56:$F$73*AJ56:AJ73)/$F$54</f>
        <v>0</v>
      </c>
      <c r="AK55" s="142" cm="1">
        <f t="array" ref="AK55">SUMPRODUCT(($G$56:$G$73="A")*($I$56:$I$73="A")*$F$56:$F$73*AK56:AK73)/$F$54</f>
        <v>0</v>
      </c>
      <c r="AL55" s="147" cm="1">
        <f t="array" ref="AL55">SUMPRODUCT(($G$56:$G$73="A")*($I$56:$I$73="A")*$F$56:$F$73*AL56:AL73)/$F$54</f>
        <v>0</v>
      </c>
      <c r="AM55" s="144" cm="1">
        <f t="array" ref="AM55">SUMPRODUCT(($G$56:$G$73="A")*($I$56:$I$73="A")*$F$56:$F$73*AM56:AM73)/$F$54</f>
        <v>0</v>
      </c>
      <c r="AN55" s="142" cm="1">
        <f t="array" ref="AN55">SUMPRODUCT(($G$56:$G$73="A")*($I$56:$I$73="A")*$F$56:$F$73*AN56:AN73)/$F$54</f>
        <v>0</v>
      </c>
      <c r="AO55" s="142" cm="1">
        <f t="array" ref="AO55">SUMPRODUCT(($G$56:$G$73="A")*($I$56:$I$73="A")*$F$56:$F$73*AO56:AO73)/$F$54</f>
        <v>0</v>
      </c>
      <c r="AP55" s="143" cm="1">
        <f t="array" ref="AP55">SUMPRODUCT(($G$56:$G$73="A")*($I$56:$I$73="A")*$F$56:$F$73*AP56:AP73)/$F$54</f>
        <v>0</v>
      </c>
      <c r="AQ55" s="144" cm="1">
        <f t="array" ref="AQ55">SUMPRODUCT(($G$56:$G$73="A")*($I$56:$I$73="A")*$F$56:$F$73*AQ56:AQ73)/$F$54</f>
        <v>0</v>
      </c>
      <c r="AR55" s="142" cm="1">
        <f t="array" ref="AR55">SUMPRODUCT(($G$56:$G$73="A")*($I$56:$I$73="A")*$F$56:$F$73*AR56:AR73)/$F$54</f>
        <v>0</v>
      </c>
      <c r="AS55" s="142" cm="1">
        <f t="array" ref="AS55">SUMPRODUCT(($G$56:$G$73="A")*($I$56:$I$73="A")*$F$56:$F$73*AS56:AS73)/$F$54</f>
        <v>8.522817449142718E-3</v>
      </c>
      <c r="AT55" s="143" cm="1">
        <f t="array" ref="AT55">SUMPRODUCT(($G$56:$G$73="A")*($I$56:$I$73="A")*$F$56:$F$73*AT56:AT73)/$F$54</f>
        <v>8.522817449142718E-3</v>
      </c>
      <c r="AU55" s="144" cm="1">
        <f t="array" ref="AU55">SUMPRODUCT(($G$56:$G$73="A")*($I$56:$I$73="A")*$F$56:$F$73*AU56:AU73)/$F$54</f>
        <v>0</v>
      </c>
      <c r="AV55" s="142" cm="1">
        <f t="array" ref="AV55">SUMPRODUCT(($G$56:$G$73="A")*($I$56:$I$73="A")*$F$56:$F$73*AV56:AV73)/$F$54</f>
        <v>0</v>
      </c>
      <c r="AW55" s="142" cm="1">
        <f t="array" ref="AW55">SUMPRODUCT(($G$56:$G$73="A")*($I$56:$I$73="A")*$F$56:$F$73*AW56:AW73)/$F$54</f>
        <v>0</v>
      </c>
      <c r="AX55" s="142" cm="1">
        <f t="array" ref="AX55">SUMPRODUCT(($G$56:$G$73="A")*($I$56:$I$73="A")*$F$56:$F$73*AX56:AX73)/$F$54</f>
        <v>0</v>
      </c>
      <c r="AY55" s="147" cm="1">
        <f t="array" ref="AY55">SUMPRODUCT(($G$56:$G$73="A")*($I$56:$I$73="A")*$F$56:$F$73*AY56:AY73)/$F$54</f>
        <v>0</v>
      </c>
      <c r="AZ55" s="144" cm="1">
        <f t="array" ref="AZ55">SUMPRODUCT(($G$56:$G$73="A")*($I$56:$I$73="A")*$F$56:$F$73*AZ56:AZ73)/$F$54</f>
        <v>0</v>
      </c>
      <c r="BA55" s="142" cm="1">
        <f t="array" ref="BA55">SUMPRODUCT(($G$56:$G$73="A")*($I$56:$I$73="A")*$F$56:$F$73*BA56:BA73)/$F$54</f>
        <v>0</v>
      </c>
      <c r="BB55" s="142" cm="1">
        <f t="array" ref="BB55">SUMPRODUCT(($G$56:$G$73="A")*($I$56:$I$73="A")*$F$56:$F$73*BB56:BB73)/$F$54</f>
        <v>0</v>
      </c>
      <c r="BC55" s="146" cm="1">
        <f t="array" ref="BC55">SUMPRODUCT(($G$56:$G$73="A")*($I$56:$I$73="A")*$F$56:$F$73*BC56:BC73)/$F$54</f>
        <v>0</v>
      </c>
      <c r="BD55" s="144" cm="1">
        <f t="array" ref="BD55">SUMPRODUCT(($G$56:$G$73="A")*($I$56:$I$73="A")*$F$56:$F$73*BD56:BD73)/$F$54</f>
        <v>0</v>
      </c>
      <c r="BE55" s="142" cm="1">
        <f t="array" ref="BE55">SUMPRODUCT(($G$56:$G$73="A")*($I$56:$I$73="A")*$F$56:$F$73*BE56:BE73)/$F$54</f>
        <v>0</v>
      </c>
      <c r="BF55" s="142" cm="1">
        <f t="array" ref="BF55">SUMPRODUCT(($G$56:$G$73="A")*($I$56:$I$73="A")*$F$56:$F$73*BF56:BF73)/$F$54</f>
        <v>0</v>
      </c>
      <c r="BG55" s="143" cm="1">
        <f t="array" ref="BG55">SUMPRODUCT(($G$56:$G$73="A")*($I$56:$I$73="A")*$F$56:$F$73*BG56:BG73)/$F$54</f>
        <v>0</v>
      </c>
      <c r="BH55" s="144" cm="1">
        <f t="array" ref="BH55">SUMPRODUCT(($G$56:$G$73="A")*($I$56:$I$73="A")*$F$56:$F$73*BH56:BH73)/$F$54</f>
        <v>0</v>
      </c>
      <c r="BI55" s="142" cm="1">
        <f t="array" ref="BI55">SUMPRODUCT(($G$56:$G$73="A")*($I$56:$I$73="A")*$F$56:$F$73*BI56:BI73)/$F$54</f>
        <v>0</v>
      </c>
      <c r="BJ55" s="142" cm="1">
        <f t="array" ref="BJ55">SUMPRODUCT(($G$56:$G$73="A")*($I$56:$I$73="A")*$F$56:$F$73*BJ56:BJ73)/$F$54</f>
        <v>0</v>
      </c>
      <c r="BK55" s="142" cm="1">
        <f t="array" ref="BK55">SUMPRODUCT(($G$56:$G$73="A")*($I$56:$I$73="A")*$F$56:$F$73*BK56:BK73)/$F$54</f>
        <v>0</v>
      </c>
      <c r="BL55" s="147" cm="1">
        <f t="array" ref="BL55">SUMPRODUCT(($G$56:$G$73="A")*($I$56:$I$73="A")*$F$56:$F$73*BL56:BL73)/$F$54</f>
        <v>0</v>
      </c>
      <c r="BM55" s="144" cm="1">
        <f t="array" ref="BM55">SUMPRODUCT(($G$56:$G$73="A")*($I$56:$I$73="A")*$F$56:$F$73*BM56:BM73)/$F$54</f>
        <v>0</v>
      </c>
      <c r="BN55" s="142" cm="1">
        <f t="array" ref="BN55">SUMPRODUCT(($G$56:$G$73="A")*($I$56:$I$73="A")*$F$56:$F$73*BN56:BN73)/$F$54</f>
        <v>0</v>
      </c>
      <c r="BO55" s="142" cm="1">
        <f t="array" ref="BO55">SUMPRODUCT(($G$56:$G$73="A")*($I$56:$I$73="A")*$F$56:$F$73*BO56:BO73)/$F$54</f>
        <v>0</v>
      </c>
      <c r="BP55" s="143" cm="1">
        <f t="array" ref="BP55">SUMPRODUCT(($G$56:$G$73="A")*($I$56:$I$73="A")*$F$56:$F$73*BP56:BP73)/$F$54</f>
        <v>0</v>
      </c>
      <c r="BQ55" s="144" cm="1">
        <f t="array" ref="BQ55">SUMPRODUCT(($G$56:$G$73="A")*($I$56:$I$73="A")*$F$56:$F$73*BQ56:BQ73)/$F$54</f>
        <v>0</v>
      </c>
      <c r="BR55" s="142" cm="1">
        <f t="array" ref="BR55">SUMPRODUCT(($G$56:$G$73="A")*($I$56:$I$73="A")*$F$56:$F$73*BR56:BR73)/$F$54</f>
        <v>0</v>
      </c>
      <c r="BS55" s="142" cm="1">
        <f t="array" ref="BS55">SUMPRODUCT(($G$56:$G$73="A")*($I$56:$I$73="A")*$F$56:$F$73*BS56:BS73)/$F$54</f>
        <v>0</v>
      </c>
      <c r="BT55" s="143" cm="1">
        <f t="array" ref="BT55">SUMPRODUCT(($G$56:$G$73="A")*($I$56:$I$73="A")*$F$56:$F$73*BT56:BT73)/$F$54</f>
        <v>0</v>
      </c>
      <c r="BU55" s="144" cm="1">
        <f t="array" ref="BU55">SUMPRODUCT(($G$56:$G$73="A")*($I$56:$I$73="A")*$F$56:$F$73*BU56:BU73)/$F$54</f>
        <v>0</v>
      </c>
      <c r="BV55" s="142" cm="1">
        <f t="array" ref="BV55">SUMPRODUCT(($G$56:$G$73="A")*($I$56:$I$73="A")*$F$56:$F$73*BV56:BV73)/$F$54</f>
        <v>0</v>
      </c>
      <c r="BW55" s="142" cm="1">
        <f t="array" ref="BW55">SUMPRODUCT(($G$56:$G$73="A")*($I$56:$I$73="A")*$F$56:$F$73*BW56:BW73)/$F$54</f>
        <v>0</v>
      </c>
      <c r="BX55" s="146" cm="1">
        <f t="array" ref="BX55">SUMPRODUCT(($G$56:$G$73="A")*($I$56:$I$73="A")*$F$56:$F$73*BX56:BX73)/$F$54</f>
        <v>0</v>
      </c>
      <c r="BY55" s="147" cm="1">
        <f t="array" ref="BY55">SUMPRODUCT(($G$56:$G$73="A")*($I$56:$I$73="A")*$F$56:$F$73*BY56:BY73)/$F$54</f>
        <v>0</v>
      </c>
      <c r="BZ55" s="144" cm="1">
        <f t="array" ref="BZ55">SUMPRODUCT(($G$56:$G$73="A")*($I$56:$I$73="A")*$F$56:$F$73*BZ56:BZ73)/$F$54</f>
        <v>0</v>
      </c>
      <c r="CA55" s="142" cm="1">
        <f t="array" ref="CA55">SUMPRODUCT(($G$56:$G$73="A")*($I$56:$I$73="A")*$F$56:$F$73*CA56:CA73)/$F$54</f>
        <v>0</v>
      </c>
      <c r="CB55" s="142" cm="1">
        <f t="array" ref="CB55">SUMPRODUCT(($G$56:$G$73="A")*($I$56:$I$73="A")*$F$56:$F$73*CB56:CB73)/$F$54</f>
        <v>0</v>
      </c>
      <c r="CC55" s="143" cm="1">
        <f t="array" ref="CC55">SUMPRODUCT(($G$56:$G$73="A")*($I$56:$I$73="A")*$F$56:$F$73*CC56:CC73)/$F$54</f>
        <v>0</v>
      </c>
      <c r="CD55" s="144" cm="1">
        <f t="array" ref="CD55">SUMPRODUCT(($G$56:$G$73="A")*($I$56:$I$73="A")*$F$56:$F$73*CD56:CD73)/$F$54</f>
        <v>0</v>
      </c>
      <c r="CE55" s="142" cm="1">
        <f t="array" ref="CE55">SUMPRODUCT(($G$56:$G$73="A")*($I$56:$I$73="A")*$F$56:$F$73*CE56:CE73)/$F$54</f>
        <v>0</v>
      </c>
      <c r="CF55" s="142" cm="1">
        <f t="array" ref="CF55">SUMPRODUCT(($G$56:$G$73="A")*($I$56:$I$73="A")*$F$56:$F$73*CF56:CF73)/$F$54</f>
        <v>0</v>
      </c>
      <c r="CG55" s="143" cm="1">
        <f t="array" ref="CG55">SUMPRODUCT(($G$56:$G$73="A")*($I$56:$I$73="A")*$F$56:$F$73*CG56:CG73)/$F$54</f>
        <v>0</v>
      </c>
      <c r="CH55" s="144" cm="1">
        <f t="array" ref="CH55">SUMPRODUCT(($G$56:$G$73="A")*($I$56:$I$73="A")*$F$56:$F$73*CH56:CH73)/$F$54</f>
        <v>0</v>
      </c>
      <c r="CI55" s="142" cm="1">
        <f t="array" ref="CI55">SUMPRODUCT(($G$56:$G$73="A")*($I$56:$I$73="A")*$F$56:$F$73*CI56:CI73)/$F$54</f>
        <v>0</v>
      </c>
      <c r="CJ55" s="142" cm="1">
        <f t="array" ref="CJ55">SUMPRODUCT(($G$56:$G$73="A")*($I$56:$I$73="A")*$F$56:$F$73*CJ56:CJ73)/$F$54</f>
        <v>0</v>
      </c>
      <c r="CK55" s="142" cm="1">
        <f t="array" ref="CK55">SUMPRODUCT(($G$56:$G$73="A")*($I$56:$I$73="A")*$F$56:$F$73*CK56:CK73)/$F$54</f>
        <v>0</v>
      </c>
      <c r="CL55" s="147" cm="1">
        <f t="array" ref="CL55">SUMPRODUCT(($G$56:$G$73="A")*($I$56:$I$73="A")*$F$56:$F$73*CL56:CL73)/$F$54</f>
        <v>0</v>
      </c>
      <c r="CM55" s="144" cm="1">
        <f t="array" ref="CM55">SUMPRODUCT(($G$56:$G$73="A")*($I$56:$I$73="A")*$F$56:$F$73*CM56:CM73)/$F$54</f>
        <v>0</v>
      </c>
      <c r="CN55" s="142" cm="1">
        <f t="array" ref="CN55">SUMPRODUCT(($G$56:$G$73="A")*($I$56:$I$73="A")*$F$56:$F$73*CN56:CN73)/$F$54</f>
        <v>0</v>
      </c>
      <c r="CO55" s="142" cm="1">
        <f t="array" ref="CO55">SUMPRODUCT(($G$56:$G$73="A")*($I$56:$I$73="A")*$F$56:$F$73*CO56:CO73)/$F$54</f>
        <v>0</v>
      </c>
      <c r="CP55" s="143" cm="1">
        <f t="array" ref="CP55">SUMPRODUCT(($G$56:$G$73="A")*($I$56:$I$73="A")*$F$56:$F$73*CP56:CP73)/$F$54</f>
        <v>0</v>
      </c>
      <c r="CQ55" s="130"/>
      <c r="CR55" s="128"/>
      <c r="CS55" s="128"/>
      <c r="CT55" s="129"/>
      <c r="CU55" s="130"/>
      <c r="CV55" s="128"/>
      <c r="CW55" s="128"/>
      <c r="CX55" s="129"/>
      <c r="CY55" s="130"/>
      <c r="CZ55" s="128"/>
      <c r="DA55" s="128"/>
      <c r="DB55" s="129"/>
      <c r="DC55" s="80"/>
      <c r="DD55" s="79"/>
      <c r="DE55" s="79"/>
    </row>
    <row r="56" spans="1:109" ht="24.95" customHeight="1" x14ac:dyDescent="0.55000000000000004">
      <c r="A56" s="331" t="s">
        <v>57</v>
      </c>
      <c r="B56" s="198" t="str">
        <f t="shared" ref="B56" si="146">A56</f>
        <v>1.4.1</v>
      </c>
      <c r="C56" s="345" t="s">
        <v>127</v>
      </c>
      <c r="D56" s="206" t="str">
        <f t="shared" ref="D56" si="147">C56</f>
        <v>Architectural  |  MEP</v>
      </c>
      <c r="E56" s="43">
        <f>SUM(E58:E67)</f>
        <v>69821579.855337858</v>
      </c>
      <c r="F56" s="44">
        <f t="shared" ref="F56" si="148">E56</f>
        <v>69821579.855337858</v>
      </c>
      <c r="G56" s="116" t="s">
        <v>41</v>
      </c>
      <c r="H56" s="191"/>
      <c r="I56" s="191" t="s">
        <v>42</v>
      </c>
      <c r="J56" s="191"/>
      <c r="K56" s="124">
        <f t="shared" si="102"/>
        <v>1.0000000000000002</v>
      </c>
      <c r="L56" s="117">
        <f>L58+L60+L62+L64+L66</f>
        <v>69821579.855337873</v>
      </c>
      <c r="M56" s="134" cm="1">
        <f t="array" ref="M56">SUMPRODUCT(($G$58:$G$67="P")*$F$58:$F$67*M58:M67)/$F$56</f>
        <v>0</v>
      </c>
      <c r="N56" s="135">
        <f t="shared" ref="N56:BY56" si="149">SUMPRODUCT(($G$58:$G$67="P")*$F$58:$F$67*N58:N67)/$F$56</f>
        <v>0</v>
      </c>
      <c r="O56" s="135">
        <f t="shared" si="149"/>
        <v>0</v>
      </c>
      <c r="P56" s="136">
        <f t="shared" si="149"/>
        <v>0</v>
      </c>
      <c r="Q56" s="137">
        <f t="shared" si="149"/>
        <v>0</v>
      </c>
      <c r="R56" s="135">
        <f t="shared" si="149"/>
        <v>0</v>
      </c>
      <c r="S56" s="135">
        <f t="shared" si="149"/>
        <v>0</v>
      </c>
      <c r="T56" s="136">
        <f t="shared" si="149"/>
        <v>0</v>
      </c>
      <c r="U56" s="138">
        <f t="shared" si="149"/>
        <v>0</v>
      </c>
      <c r="V56" s="135">
        <f t="shared" si="149"/>
        <v>0</v>
      </c>
      <c r="W56" s="135">
        <f t="shared" si="149"/>
        <v>0</v>
      </c>
      <c r="X56" s="136">
        <f t="shared" si="149"/>
        <v>0</v>
      </c>
      <c r="Y56" s="137">
        <f t="shared" si="149"/>
        <v>0</v>
      </c>
      <c r="Z56" s="135">
        <f t="shared" si="149"/>
        <v>0</v>
      </c>
      <c r="AA56" s="135">
        <f t="shared" si="149"/>
        <v>0</v>
      </c>
      <c r="AB56" s="139" cm="1">
        <f t="array" ref="AB56">SUMPRODUCT(($G$58:$G$67="P")*$F$58:$F$67*AB58:AB67)/$F$56</f>
        <v>0</v>
      </c>
      <c r="AC56" s="136">
        <f t="shared" si="149"/>
        <v>0</v>
      </c>
      <c r="AD56" s="137">
        <f t="shared" si="149"/>
        <v>0</v>
      </c>
      <c r="AE56" s="135">
        <f t="shared" si="149"/>
        <v>0</v>
      </c>
      <c r="AF56" s="135">
        <f t="shared" si="149"/>
        <v>0</v>
      </c>
      <c r="AG56" s="136">
        <f t="shared" si="149"/>
        <v>0</v>
      </c>
      <c r="AH56" s="138">
        <f t="shared" si="149"/>
        <v>0</v>
      </c>
      <c r="AI56" s="135">
        <f t="shared" si="149"/>
        <v>0</v>
      </c>
      <c r="AJ56" s="135">
        <f t="shared" si="149"/>
        <v>0</v>
      </c>
      <c r="AK56" s="135">
        <f t="shared" si="149"/>
        <v>0</v>
      </c>
      <c r="AL56" s="140">
        <f t="shared" si="149"/>
        <v>0</v>
      </c>
      <c r="AM56" s="137">
        <f t="shared" si="149"/>
        <v>0</v>
      </c>
      <c r="AN56" s="135">
        <f t="shared" si="149"/>
        <v>0</v>
      </c>
      <c r="AO56" s="135">
        <f t="shared" si="149"/>
        <v>5.021323054561367E-3</v>
      </c>
      <c r="AP56" s="136">
        <f t="shared" si="149"/>
        <v>5.021323054561367E-3</v>
      </c>
      <c r="AQ56" s="137">
        <f t="shared" si="149"/>
        <v>5.021323054561367E-3</v>
      </c>
      <c r="AR56" s="135">
        <f t="shared" si="149"/>
        <v>5.021323054561367E-3</v>
      </c>
      <c r="AS56" s="135">
        <f t="shared" si="149"/>
        <v>5.021323054561367E-3</v>
      </c>
      <c r="AT56" s="136">
        <f t="shared" si="149"/>
        <v>5.021323054561367E-3</v>
      </c>
      <c r="AU56" s="137">
        <f t="shared" si="149"/>
        <v>5.021323054561367E-3</v>
      </c>
      <c r="AV56" s="135">
        <f t="shared" si="149"/>
        <v>2.4099686304596666E-2</v>
      </c>
      <c r="AW56" s="135">
        <f t="shared" si="149"/>
        <v>2.4099686304596666E-2</v>
      </c>
      <c r="AX56" s="135">
        <f t="shared" si="149"/>
        <v>2.4099686304596666E-2</v>
      </c>
      <c r="AY56" s="140">
        <f t="shared" si="149"/>
        <v>1.9078363250035299E-2</v>
      </c>
      <c r="AZ56" s="137">
        <f t="shared" si="149"/>
        <v>1.9078363250035299E-2</v>
      </c>
      <c r="BA56" s="135">
        <f t="shared" si="149"/>
        <v>1.9078363250035299E-2</v>
      </c>
      <c r="BB56" s="135">
        <f t="shared" si="149"/>
        <v>2.2824356409983818E-2</v>
      </c>
      <c r="BC56" s="139">
        <f t="shared" si="149"/>
        <v>2.2824356409983818E-2</v>
      </c>
      <c r="BD56" s="137">
        <f t="shared" si="149"/>
        <v>3.1441562893793899E-2</v>
      </c>
      <c r="BE56" s="135">
        <f t="shared" si="149"/>
        <v>3.6562035023009198E-2</v>
      </c>
      <c r="BF56" s="135">
        <f t="shared" si="149"/>
        <v>4.778817181540003E-2</v>
      </c>
      <c r="BG56" s="136">
        <f t="shared" si="149"/>
        <v>4.778817181540003E-2</v>
      </c>
      <c r="BH56" s="137">
        <f t="shared" si="149"/>
        <v>4.778817181540003E-2</v>
      </c>
      <c r="BI56" s="135">
        <f t="shared" si="149"/>
        <v>6.2462348718412546E-2</v>
      </c>
      <c r="BJ56" s="135">
        <f t="shared" si="149"/>
        <v>6.2462348718412546E-2</v>
      </c>
      <c r="BK56" s="135">
        <f t="shared" si="149"/>
        <v>7.5900313695403343E-2</v>
      </c>
      <c r="BL56" s="140">
        <f t="shared" si="149"/>
        <v>6.3099133372365099E-2</v>
      </c>
      <c r="BM56" s="137">
        <f t="shared" si="149"/>
        <v>5.9353140212416576E-2</v>
      </c>
      <c r="BN56" s="135">
        <f t="shared" si="149"/>
        <v>6.5160851826265256E-2</v>
      </c>
      <c r="BO56" s="135">
        <f t="shared" si="149"/>
        <v>5.1722886849274459E-2</v>
      </c>
      <c r="BP56" s="136">
        <f t="shared" si="149"/>
        <v>3.766584665380053E-2</v>
      </c>
      <c r="BQ56" s="137">
        <f t="shared" si="149"/>
        <v>3.3919853493852015E-2</v>
      </c>
      <c r="BR56" s="135">
        <f t="shared" si="149"/>
        <v>2.6239145300029059E-2</v>
      </c>
      <c r="BS56" s="135">
        <f t="shared" si="149"/>
        <v>1.3437964976990806E-2</v>
      </c>
      <c r="BT56" s="136">
        <f t="shared" si="149"/>
        <v>1.3437964976990806E-2</v>
      </c>
      <c r="BU56" s="137">
        <f t="shared" si="149"/>
        <v>1.3437964976990806E-2</v>
      </c>
      <c r="BV56" s="135">
        <f t="shared" si="149"/>
        <v>0</v>
      </c>
      <c r="BW56" s="135">
        <f t="shared" si="149"/>
        <v>0</v>
      </c>
      <c r="BX56" s="139">
        <f t="shared" si="149"/>
        <v>0</v>
      </c>
      <c r="BY56" s="140">
        <f t="shared" si="149"/>
        <v>0</v>
      </c>
      <c r="BZ56" s="137">
        <f t="shared" ref="BZ56:DB56" si="150">SUMPRODUCT(($G$58:$G$67="P")*$F$58:$F$67*BZ58:BZ67)/$F$56</f>
        <v>0</v>
      </c>
      <c r="CA56" s="135">
        <f t="shared" si="150"/>
        <v>0</v>
      </c>
      <c r="CB56" s="135">
        <f t="shared" si="150"/>
        <v>0</v>
      </c>
      <c r="CC56" s="136">
        <f t="shared" si="150"/>
        <v>0</v>
      </c>
      <c r="CD56" s="137">
        <f t="shared" si="150"/>
        <v>0</v>
      </c>
      <c r="CE56" s="135">
        <f t="shared" si="150"/>
        <v>0</v>
      </c>
      <c r="CF56" s="135">
        <f t="shared" si="150"/>
        <v>0</v>
      </c>
      <c r="CG56" s="136">
        <f t="shared" si="150"/>
        <v>0</v>
      </c>
      <c r="CH56" s="137">
        <f t="shared" si="150"/>
        <v>0</v>
      </c>
      <c r="CI56" s="135">
        <f t="shared" si="150"/>
        <v>0</v>
      </c>
      <c r="CJ56" s="135">
        <f t="shared" si="150"/>
        <v>0</v>
      </c>
      <c r="CK56" s="135">
        <f t="shared" si="150"/>
        <v>0</v>
      </c>
      <c r="CL56" s="140">
        <f t="shared" si="150"/>
        <v>0</v>
      </c>
      <c r="CM56" s="137">
        <f t="shared" si="150"/>
        <v>0</v>
      </c>
      <c r="CN56" s="135">
        <f t="shared" si="150"/>
        <v>0</v>
      </c>
      <c r="CO56" s="135">
        <f t="shared" si="150"/>
        <v>0</v>
      </c>
      <c r="CP56" s="136">
        <f t="shared" si="150"/>
        <v>0</v>
      </c>
      <c r="CQ56" s="133">
        <f t="shared" si="150"/>
        <v>0</v>
      </c>
      <c r="CR56" s="131">
        <f t="shared" si="150"/>
        <v>0</v>
      </c>
      <c r="CS56" s="131">
        <f t="shared" si="150"/>
        <v>0</v>
      </c>
      <c r="CT56" s="132">
        <f t="shared" si="150"/>
        <v>0</v>
      </c>
      <c r="CU56" s="133">
        <f t="shared" si="150"/>
        <v>0</v>
      </c>
      <c r="CV56" s="131">
        <f t="shared" si="150"/>
        <v>0</v>
      </c>
      <c r="CW56" s="131">
        <f t="shared" si="150"/>
        <v>0</v>
      </c>
      <c r="CX56" s="132">
        <f t="shared" si="150"/>
        <v>0</v>
      </c>
      <c r="CY56" s="133">
        <f t="shared" si="150"/>
        <v>0</v>
      </c>
      <c r="CZ56" s="131">
        <f t="shared" si="150"/>
        <v>0</v>
      </c>
      <c r="DA56" s="131">
        <f t="shared" si="150"/>
        <v>0</v>
      </c>
      <c r="DB56" s="132">
        <f t="shared" si="150"/>
        <v>0</v>
      </c>
      <c r="DC56" s="82"/>
      <c r="DD56" s="79"/>
      <c r="DE56" s="79"/>
    </row>
    <row r="57" spans="1:109" ht="24.95" customHeight="1" x14ac:dyDescent="0.55000000000000004">
      <c r="A57" s="331"/>
      <c r="B57" s="198" t="str">
        <f t="shared" ref="B57" si="151">B56</f>
        <v>1.4.1</v>
      </c>
      <c r="C57" s="346"/>
      <c r="D57" s="206" t="str">
        <f t="shared" ref="D57" si="152">D56</f>
        <v>Architectural  |  MEP</v>
      </c>
      <c r="E57" s="43"/>
      <c r="F57" s="44">
        <f t="shared" ref="F57" si="153">E56</f>
        <v>69821579.855337858</v>
      </c>
      <c r="G57" s="118" t="s">
        <v>42</v>
      </c>
      <c r="H57" s="192"/>
      <c r="I57" s="192" t="s">
        <v>42</v>
      </c>
      <c r="J57" s="192"/>
      <c r="K57" s="125">
        <f t="shared" si="102"/>
        <v>2.0085292218245468E-2</v>
      </c>
      <c r="L57" s="119">
        <f>L59+L61+L63+L65+L67</f>
        <v>1402386.834534022</v>
      </c>
      <c r="M57" s="141" cm="1">
        <f t="array" ref="M57">SUMPRODUCT(($G$58:$G$67="A")*$F$58:$F$67*M58:M67)/$F$56</f>
        <v>0</v>
      </c>
      <c r="N57" s="142" cm="1">
        <f t="array" ref="N57">SUMPRODUCT(($G$58:$G$67="A")*$F$58:$F$67*N58:N67)/$F$56</f>
        <v>0</v>
      </c>
      <c r="O57" s="142" cm="1">
        <f t="array" ref="O57">SUMPRODUCT(($G$58:$G$67="A")*$F$58:$F$67*O58:O67)/$F$56</f>
        <v>0</v>
      </c>
      <c r="P57" s="143" cm="1">
        <f t="array" ref="P57">SUMPRODUCT(($G$58:$G$67="A")*$F$58:$F$67*P58:P67)/$F$56</f>
        <v>0</v>
      </c>
      <c r="Q57" s="144" cm="1">
        <f t="array" ref="Q57">SUMPRODUCT(($G$58:$G$67="A")*$F$58:$F$67*Q58:Q67)/$F$56</f>
        <v>0</v>
      </c>
      <c r="R57" s="142" cm="1">
        <f t="array" ref="R57">SUMPRODUCT(($G$58:$G$67="A")*$F$58:$F$67*R58:R67)/$F$56</f>
        <v>0</v>
      </c>
      <c r="S57" s="142" cm="1">
        <f t="array" ref="S57">SUMPRODUCT(($G$58:$G$67="A")*$F$58:$F$67*S58:S67)/$F$56</f>
        <v>0</v>
      </c>
      <c r="T57" s="143" cm="1">
        <f t="array" ref="T57">SUMPRODUCT(($G$58:$G$67="A")*$F$58:$F$67*T58:T67)/$F$56</f>
        <v>0</v>
      </c>
      <c r="U57" s="145" cm="1">
        <f t="array" ref="U57">SUMPRODUCT(($G$58:$G$67="A")*$F$58:$F$67*U58:U67)/$F$56</f>
        <v>0</v>
      </c>
      <c r="V57" s="142" cm="1">
        <f t="array" ref="V57">SUMPRODUCT(($G$58:$G$67="A")*$F$58:$F$67*V58:V67)/$F$56</f>
        <v>0</v>
      </c>
      <c r="W57" s="142" cm="1">
        <f t="array" ref="W57">SUMPRODUCT(($G$58:$G$67="A")*$F$58:$F$67*W58:W67)/$F$56</f>
        <v>0</v>
      </c>
      <c r="X57" s="143" cm="1">
        <f t="array" ref="X57">SUMPRODUCT(($G$58:$G$67="A")*$F$58:$F$67*X58:X67)/$F$56</f>
        <v>0</v>
      </c>
      <c r="Y57" s="144" cm="1">
        <f t="array" ref="Y57">SUMPRODUCT(($G$58:$G$67="A")*$F$58:$F$67*Y58:Y67)/$F$56</f>
        <v>0</v>
      </c>
      <c r="Z57" s="142" cm="1">
        <f t="array" ref="Z57">SUMPRODUCT(($G$58:$G$67="A")*$F$58:$F$67*Z58:Z67)/$F$56</f>
        <v>0</v>
      </c>
      <c r="AA57" s="142" cm="1">
        <f t="array" ref="AA57">SUMPRODUCT(($G$58:$G$67="A")*$F$58:$F$67*AA58:AA67)/$F$56</f>
        <v>0</v>
      </c>
      <c r="AB57" s="146" cm="1">
        <f t="array" ref="AB57">SUMPRODUCT(($G$58:$G$67="A")*$F$58:$F$67*AB58:AB67)/$F$56</f>
        <v>0</v>
      </c>
      <c r="AC57" s="143" cm="1">
        <f t="array" ref="AC57">SUMPRODUCT(($G$58:$G$67="A")*$F$58:$F$67*AC58:AC67)/$F$56</f>
        <v>0</v>
      </c>
      <c r="AD57" s="144" cm="1">
        <f t="array" ref="AD57">SUMPRODUCT(($G$58:$G$67="A")*$F$58:$F$67*AD58:AD67)/$F$56</f>
        <v>0</v>
      </c>
      <c r="AE57" s="142" cm="1">
        <f t="array" ref="AE57">SUMPRODUCT(($G$58:$G$67="A")*$F$58:$F$67*AE58:AE67)/$F$56</f>
        <v>0</v>
      </c>
      <c r="AF57" s="142" cm="1">
        <f t="array" ref="AF57">SUMPRODUCT(($G$58:$G$67="A")*$F$58:$F$67*AF58:AF67)/$F$56</f>
        <v>0</v>
      </c>
      <c r="AG57" s="143" cm="1">
        <f t="array" ref="AG57">SUMPRODUCT(($G$58:$G$67="A")*$F$58:$F$67*AG58:AG67)/$F$56</f>
        <v>0</v>
      </c>
      <c r="AH57" s="145" cm="1">
        <f t="array" ref="AH57">SUMPRODUCT(($G$58:$G$67="A")*$F$58:$F$67*AH58:AH67)/$F$56</f>
        <v>0</v>
      </c>
      <c r="AI57" s="142" cm="1">
        <f t="array" ref="AI57">SUMPRODUCT(($G$58:$G$67="A")*$F$58:$F$67*AI58:AI67)/$F$56</f>
        <v>0</v>
      </c>
      <c r="AJ57" s="142" cm="1">
        <f t="array" ref="AJ57">SUMPRODUCT(($G$58:$G$67="A")*$F$58:$F$67*AJ58:AJ67)/$F$56</f>
        <v>0</v>
      </c>
      <c r="AK57" s="142" cm="1">
        <f t="array" ref="AK57">SUMPRODUCT(($G$58:$G$67="A")*$F$58:$F$67*AK58:AK67)/$F$56</f>
        <v>0</v>
      </c>
      <c r="AL57" s="147" cm="1">
        <f t="array" ref="AL57">SUMPRODUCT(($G$58:$G$67="A")*$F$58:$F$67*AL58:AL67)/$F$56</f>
        <v>0</v>
      </c>
      <c r="AM57" s="144" cm="1">
        <f t="array" ref="AM57">SUMPRODUCT(($G$58:$G$67="A")*$F$58:$F$67*AM58:AM67)/$F$56</f>
        <v>0</v>
      </c>
      <c r="AN57" s="142" cm="1">
        <f t="array" ref="AN57">SUMPRODUCT(($G$58:$G$67="A")*$F$58:$F$67*AN58:AN67)/$F$56</f>
        <v>0</v>
      </c>
      <c r="AO57" s="154" cm="1">
        <f t="array" ref="AO57">SUMPRODUCT(($G$58:$G$67="A")*$F$58:$F$67*AO58:AO67)/$F$56</f>
        <v>0</v>
      </c>
      <c r="AP57" s="143" cm="1">
        <f t="array" ref="AP57">SUMPRODUCT(($G$58:$G$67="A")*$F$58:$F$67*AP58:AP67)/$F$56</f>
        <v>0</v>
      </c>
      <c r="AQ57" s="165" cm="1">
        <f t="array" ref="AQ57">SUMPRODUCT(($G$58:$G$67="A")*$F$58:$F$67*AQ58:AQ67)/$F$56</f>
        <v>0</v>
      </c>
      <c r="AR57" s="163" cm="1">
        <f t="array" ref="AR57">SUMPRODUCT(($G$58:$G$67="A")*$F$58:$F$67*AR58:AR67)/$F$56</f>
        <v>0</v>
      </c>
      <c r="AS57" s="163" cm="1">
        <f t="array" ref="AS57">SUMPRODUCT(($G$58:$G$67="A")*$F$58:$F$67*AS58:AS67)/$F$56</f>
        <v>1.0042646109122734E-2</v>
      </c>
      <c r="AT57" s="164" cm="1">
        <f t="array" ref="AT57">SUMPRODUCT(($G$58:$G$67="A")*$F$58:$F$67*AT58:AT67)/$F$56</f>
        <v>1.0042646109122734E-2</v>
      </c>
      <c r="AU57" s="165" cm="1">
        <f t="array" ref="AU57">SUMPRODUCT(($G$58:$G$67="A")*$F$58:$F$67*AU58:AU67)/$F$56</f>
        <v>0</v>
      </c>
      <c r="AV57" s="163" cm="1">
        <f t="array" ref="AV57">SUMPRODUCT(($G$58:$G$67="A")*$F$58:$F$67*AV58:AV67)/$F$56</f>
        <v>0</v>
      </c>
      <c r="AW57" s="163" cm="1">
        <f t="array" ref="AW57">SUMPRODUCT(($G$58:$G$67="A")*$F$58:$F$67*AW58:AW67)/$F$56</f>
        <v>0</v>
      </c>
      <c r="AX57" s="163" cm="1">
        <f t="array" ref="AX57">SUMPRODUCT(($G$58:$G$67="A")*$F$58:$F$67*AX58:AX67)/$F$56</f>
        <v>0</v>
      </c>
      <c r="AY57" s="168" cm="1">
        <f t="array" ref="AY57">SUMPRODUCT(($G$58:$G$67="A")*$F$58:$F$67*AY58:AY67)/$F$56</f>
        <v>0</v>
      </c>
      <c r="AZ57" s="165" cm="1">
        <f t="array" ref="AZ57">SUMPRODUCT(($G$58:$G$67="A")*$F$58:$F$67*AZ58:AZ67)/$F$56</f>
        <v>0</v>
      </c>
      <c r="BA57" s="163" cm="1">
        <f t="array" ref="BA57">SUMPRODUCT(($G$58:$G$67="A")*$F$58:$F$67*BA58:BA67)/$F$56</f>
        <v>0</v>
      </c>
      <c r="BB57" s="163" cm="1">
        <f t="array" ref="BB57">SUMPRODUCT(($G$58:$G$67="A")*$F$58:$F$67*BB58:BB67)/$F$56</f>
        <v>0</v>
      </c>
      <c r="BC57" s="167" cm="1">
        <f t="array" ref="BC57">SUMPRODUCT(($G$58:$G$67="A")*$F$58:$F$67*BC58:BC67)/$F$56</f>
        <v>0</v>
      </c>
      <c r="BD57" s="144" cm="1">
        <f t="array" ref="BD57">SUMPRODUCT(($G$58:$G$67="A")*$F$58:$F$67*BD58:BD67)/$F$56</f>
        <v>0</v>
      </c>
      <c r="BE57" s="142" cm="1">
        <f t="array" ref="BE57">SUMPRODUCT(($G$58:$G$67="A")*$F$58:$F$67*BE58:BE67)/$F$56</f>
        <v>0</v>
      </c>
      <c r="BF57" s="142" cm="1">
        <f t="array" ref="BF57">SUMPRODUCT(($G$58:$G$67="A")*$F$58:$F$67*BF58:BF67)/$F$56</f>
        <v>0</v>
      </c>
      <c r="BG57" s="143" cm="1">
        <f t="array" ref="BG57">SUMPRODUCT(($G$58:$G$67="A")*$F$58:$F$67*BG58:BG67)/$F$56</f>
        <v>0</v>
      </c>
      <c r="BH57" s="144" cm="1">
        <f t="array" ref="BH57">SUMPRODUCT(($G$58:$G$67="A")*$F$58:$F$67*BH58:BH67)/$F$56</f>
        <v>0</v>
      </c>
      <c r="BI57" s="142" cm="1">
        <f t="array" ref="BI57">SUMPRODUCT(($G$58:$G$67="A")*$F$58:$F$67*BI58:BI67)/$F$56</f>
        <v>0</v>
      </c>
      <c r="BJ57" s="142" cm="1">
        <f t="array" ref="BJ57">SUMPRODUCT(($G$58:$G$67="A")*$F$58:$F$67*BJ58:BJ67)/$F$56</f>
        <v>0</v>
      </c>
      <c r="BK57" s="142" cm="1">
        <f t="array" ref="BK57">SUMPRODUCT(($G$58:$G$67="A")*$F$58:$F$67*BK58:BK67)/$F$56</f>
        <v>0</v>
      </c>
      <c r="BL57" s="147" cm="1">
        <f t="array" ref="BL57">SUMPRODUCT(($G$58:$G$67="A")*$F$58:$F$67*BL58:BL67)/$F$56</f>
        <v>0</v>
      </c>
      <c r="BM57" s="144" cm="1">
        <f t="array" ref="BM57">SUMPRODUCT(($G$58:$G$67="A")*$F$58:$F$67*BM58:BM67)/$F$56</f>
        <v>0</v>
      </c>
      <c r="BN57" s="142" cm="1">
        <f t="array" ref="BN57">SUMPRODUCT(($G$58:$G$67="A")*$F$58:$F$67*BN58:BN67)/$F$56</f>
        <v>0</v>
      </c>
      <c r="BO57" s="142" cm="1">
        <f t="array" ref="BO57">SUMPRODUCT(($G$58:$G$67="A")*$F$58:$F$67*BO58:BO67)/$F$56</f>
        <v>0</v>
      </c>
      <c r="BP57" s="143" cm="1">
        <f t="array" ref="BP57">SUMPRODUCT(($G$58:$G$67="A")*$F$58:$F$67*BP58:BP67)/$F$56</f>
        <v>0</v>
      </c>
      <c r="BQ57" s="144" cm="1">
        <f t="array" ref="BQ57">SUMPRODUCT(($G$58:$G$67="A")*$F$58:$F$67*BQ58:BQ67)/$F$56</f>
        <v>0</v>
      </c>
      <c r="BR57" s="142" cm="1">
        <f t="array" ref="BR57">SUMPRODUCT(($G$58:$G$67="A")*$F$58:$F$67*BR58:BR67)/$F$56</f>
        <v>0</v>
      </c>
      <c r="BS57" s="142" cm="1">
        <f t="array" ref="BS57">SUMPRODUCT(($G$58:$G$67="A")*$F$58:$F$67*BS58:BS67)/$F$56</f>
        <v>0</v>
      </c>
      <c r="BT57" s="143" cm="1">
        <f t="array" ref="BT57">SUMPRODUCT(($G$58:$G$67="A")*$F$58:$F$67*BT58:BT67)/$F$56</f>
        <v>0</v>
      </c>
      <c r="BU57" s="144" cm="1">
        <f t="array" ref="BU57">SUMPRODUCT(($G$58:$G$67="A")*$F$58:$F$67*BU58:BU67)/$F$56</f>
        <v>0</v>
      </c>
      <c r="BV57" s="142" cm="1">
        <f t="array" ref="BV57">SUMPRODUCT(($G$58:$G$67="A")*$F$58:$F$67*BV58:BV67)/$F$56</f>
        <v>0</v>
      </c>
      <c r="BW57" s="142" cm="1">
        <f t="array" ref="BW57">SUMPRODUCT(($G$58:$G$67="A")*$F$58:$F$67*BW58:BW67)/$F$56</f>
        <v>0</v>
      </c>
      <c r="BX57" s="146" cm="1">
        <f t="array" ref="BX57">SUMPRODUCT(($G$58:$G$67="A")*$F$58:$F$67*BX58:BX67)/$F$56</f>
        <v>0</v>
      </c>
      <c r="BY57" s="147" cm="1">
        <f t="array" ref="BY57">SUMPRODUCT(($G$58:$G$67="A")*$F$58:$F$67*BY58:BY67)/$F$56</f>
        <v>0</v>
      </c>
      <c r="BZ57" s="144" cm="1">
        <f t="array" ref="BZ57">SUMPRODUCT(($G$58:$G$67="A")*$F$58:$F$67*BZ58:BZ67)/$F$56</f>
        <v>0</v>
      </c>
      <c r="CA57" s="142" cm="1">
        <f t="array" ref="CA57">SUMPRODUCT(($G$58:$G$67="A")*$F$58:$F$67*CA58:CA67)/$F$56</f>
        <v>0</v>
      </c>
      <c r="CB57" s="142" cm="1">
        <f t="array" ref="CB57">SUMPRODUCT(($G$58:$G$67="A")*$F$58:$F$67*CB58:CB67)/$F$56</f>
        <v>0</v>
      </c>
      <c r="CC57" s="143" cm="1">
        <f t="array" ref="CC57">SUMPRODUCT(($G$58:$G$67="A")*$F$58:$F$67*CC58:CC67)/$F$56</f>
        <v>0</v>
      </c>
      <c r="CD57" s="144" cm="1">
        <f t="array" ref="CD57">SUMPRODUCT(($G$58:$G$67="A")*$F$58:$F$67*CD58:CD67)/$F$56</f>
        <v>0</v>
      </c>
      <c r="CE57" s="142" cm="1">
        <f t="array" ref="CE57">SUMPRODUCT(($G$58:$G$67="A")*$F$58:$F$67*CE58:CE67)/$F$56</f>
        <v>0</v>
      </c>
      <c r="CF57" s="142" cm="1">
        <f t="array" ref="CF57">SUMPRODUCT(($G$58:$G$67="A")*$F$58:$F$67*CF58:CF67)/$F$56</f>
        <v>0</v>
      </c>
      <c r="CG57" s="143" cm="1">
        <f t="array" ref="CG57">SUMPRODUCT(($G$58:$G$67="A")*$F$58:$F$67*CG58:CG67)/$F$56</f>
        <v>0</v>
      </c>
      <c r="CH57" s="144" cm="1">
        <f t="array" ref="CH57">SUMPRODUCT(($G$58:$G$67="A")*$F$58:$F$67*CH58:CH67)/$F$56</f>
        <v>0</v>
      </c>
      <c r="CI57" s="142" cm="1">
        <f t="array" ref="CI57">SUMPRODUCT(($G$58:$G$67="A")*$F$58:$F$67*CI58:CI67)/$F$56</f>
        <v>0</v>
      </c>
      <c r="CJ57" s="142" cm="1">
        <f t="array" ref="CJ57">SUMPRODUCT(($G$58:$G$67="A")*$F$58:$F$67*CJ58:CJ67)/$F$56</f>
        <v>0</v>
      </c>
      <c r="CK57" s="142" cm="1">
        <f t="array" ref="CK57">SUMPRODUCT(($G$58:$G$67="A")*$F$58:$F$67*CK58:CK67)/$F$56</f>
        <v>0</v>
      </c>
      <c r="CL57" s="147" cm="1">
        <f t="array" ref="CL57">SUMPRODUCT(($G$58:$G$67="A")*$F$58:$F$67*CL58:CL67)/$F$56</f>
        <v>0</v>
      </c>
      <c r="CM57" s="144" cm="1">
        <f t="array" ref="CM57">SUMPRODUCT(($G$58:$G$67="A")*$F$58:$F$67*CM58:CM67)/$F$56</f>
        <v>0</v>
      </c>
      <c r="CN57" s="142" cm="1">
        <f t="array" ref="CN57">SUMPRODUCT(($G$58:$G$67="A")*$F$58:$F$67*CN58:CN67)/$F$56</f>
        <v>0</v>
      </c>
      <c r="CO57" s="142" cm="1">
        <f t="array" ref="CO57">SUMPRODUCT(($G$58:$G$67="A")*$F$58:$F$67*CO58:CO67)/$F$56</f>
        <v>0</v>
      </c>
      <c r="CP57" s="143" cm="1">
        <f t="array" ref="CP57">SUMPRODUCT(($G$58:$G$67="A")*$F$58:$F$67*CP58:CP67)/$F$56</f>
        <v>0</v>
      </c>
      <c r="CQ57" s="141" cm="1">
        <f t="array" ref="CQ57">SUMPRODUCT(($G$58:$G$67="A")*$F$58:$F$67*CQ58:CQ67)/$F$56</f>
        <v>0</v>
      </c>
      <c r="CR57" s="141" cm="1">
        <f t="array" ref="CR57">SUMPRODUCT(($G$58:$G$67="A")*$F$58:$F$67*CR58:CR67)/$F$56</f>
        <v>0</v>
      </c>
      <c r="CS57" s="141" cm="1">
        <f t="array" ref="CS57">SUMPRODUCT(($G$58:$G$67="A")*$F$58:$F$67*CS58:CS67)/$F$56</f>
        <v>0</v>
      </c>
      <c r="CT57" s="141" cm="1">
        <f t="array" ref="CT57">SUMPRODUCT(($G$58:$G$67="A")*$F$58:$F$67*CT58:CT67)/$F$56</f>
        <v>0</v>
      </c>
      <c r="CU57" s="141" cm="1">
        <f t="array" ref="CU57">SUMPRODUCT(($G$58:$G$67="A")*$F$58:$F$67*CU58:CU67)/$F$56</f>
        <v>0</v>
      </c>
      <c r="CV57" s="141" cm="1">
        <f t="array" ref="CV57">SUMPRODUCT(($G$58:$G$67="A")*$F$58:$F$67*CV58:CV67)/$F$56</f>
        <v>0</v>
      </c>
      <c r="CW57" s="141" cm="1">
        <f t="array" ref="CW57">SUMPRODUCT(($G$58:$G$67="A")*$F$58:$F$67*CW58:CW67)/$F$56</f>
        <v>0</v>
      </c>
      <c r="CX57" s="141" cm="1">
        <f t="array" ref="CX57">SUMPRODUCT(($G$58:$G$67="A")*$F$58:$F$67*CX58:CX67)/$F$56</f>
        <v>0</v>
      </c>
      <c r="CY57" s="141" cm="1">
        <f t="array" ref="CY57">SUMPRODUCT(($G$58:$G$67="A")*$F$58:$F$67*CY58:CY67)/$F$56</f>
        <v>0</v>
      </c>
      <c r="CZ57" s="141" cm="1">
        <f t="array" ref="CZ57">SUMPRODUCT(($G$58:$G$67="A")*$F$58:$F$67*CZ58:CZ67)/$F$56</f>
        <v>0</v>
      </c>
      <c r="DA57" s="141" cm="1">
        <f t="array" ref="DA57">SUMPRODUCT(($G$58:$G$67="A")*$F$58:$F$67*DA58:DA67)/$F$56</f>
        <v>0</v>
      </c>
      <c r="DB57" s="141" cm="1">
        <f t="array" ref="DB57">SUMPRODUCT(($G$58:$G$67="A")*$F$58:$F$67*DB58:DB67)/$F$56</f>
        <v>0</v>
      </c>
      <c r="DC57" s="141" cm="1">
        <f t="array" ref="DC57">SUMPRODUCT(($G$58:$G$67="A")*$F$58:$F$67*DC58:DC67)/$F$56</f>
        <v>0</v>
      </c>
      <c r="DD57" s="79"/>
      <c r="DE57" s="79"/>
    </row>
    <row r="58" spans="1:109" ht="24.95" customHeight="1" outlineLevel="1" x14ac:dyDescent="0.55000000000000004">
      <c r="A58" s="330" t="s">
        <v>58</v>
      </c>
      <c r="B58" s="199" t="str">
        <f t="shared" ref="B58" si="154">A58</f>
        <v>1.4.1.1</v>
      </c>
      <c r="C58" s="285" t="s">
        <v>4</v>
      </c>
      <c r="D58" s="203" t="str">
        <f t="shared" ref="D58" si="155">C58</f>
        <v xml:space="preserve">            Roof</v>
      </c>
      <c r="E58" s="41">
        <v>7011934.1726701101</v>
      </c>
      <c r="F58" s="42">
        <f t="shared" ref="F58" si="156">E58</f>
        <v>7011934.1726701101</v>
      </c>
      <c r="G58" s="81" t="s">
        <v>41</v>
      </c>
      <c r="H58" s="189">
        <v>0</v>
      </c>
      <c r="I58" s="189"/>
      <c r="J58" s="189"/>
      <c r="K58" s="120">
        <f t="shared" si="102"/>
        <v>1.0000000000000002</v>
      </c>
      <c r="L58" s="110">
        <f t="shared" ref="L58:L75" si="157">K58*F58</f>
        <v>7011934.172670112</v>
      </c>
      <c r="M58" s="134"/>
      <c r="N58" s="135"/>
      <c r="O58" s="135"/>
      <c r="P58" s="136"/>
      <c r="Q58" s="137"/>
      <c r="R58" s="135"/>
      <c r="S58" s="135"/>
      <c r="T58" s="136"/>
      <c r="U58" s="138"/>
      <c r="V58" s="135"/>
      <c r="W58" s="135"/>
      <c r="X58" s="136"/>
      <c r="Y58" s="137"/>
      <c r="Z58" s="135"/>
      <c r="AA58" s="135"/>
      <c r="AB58" s="139"/>
      <c r="AC58" s="136"/>
      <c r="AD58" s="137"/>
      <c r="AE58" s="135"/>
      <c r="AF58" s="135"/>
      <c r="AG58" s="136"/>
      <c r="AH58" s="138"/>
      <c r="AI58" s="135"/>
      <c r="AJ58" s="135"/>
      <c r="AK58" s="135"/>
      <c r="AL58" s="140"/>
      <c r="AM58" s="137"/>
      <c r="AN58" s="149"/>
      <c r="AO58" s="149">
        <v>0.05</v>
      </c>
      <c r="AP58" s="156">
        <v>0.05</v>
      </c>
      <c r="AQ58" s="157">
        <v>0.05</v>
      </c>
      <c r="AR58" s="149">
        <v>0.05</v>
      </c>
      <c r="AS58" s="149">
        <v>0.05</v>
      </c>
      <c r="AT58" s="156">
        <v>0.05</v>
      </c>
      <c r="AU58" s="157">
        <v>0.05</v>
      </c>
      <c r="AV58" s="149">
        <v>0.1</v>
      </c>
      <c r="AW58" s="148">
        <v>0.1</v>
      </c>
      <c r="AX58" s="148">
        <v>0.1</v>
      </c>
      <c r="AY58" s="170">
        <v>0.05</v>
      </c>
      <c r="AZ58" s="161">
        <v>0.05</v>
      </c>
      <c r="BA58" s="162">
        <v>0.05</v>
      </c>
      <c r="BB58" s="162">
        <v>0.05</v>
      </c>
      <c r="BC58" s="171">
        <v>0.05</v>
      </c>
      <c r="BD58" s="161">
        <v>0.05</v>
      </c>
      <c r="BE58" s="162">
        <v>0.05</v>
      </c>
      <c r="BF58" s="149"/>
      <c r="BG58" s="156"/>
      <c r="BH58" s="137"/>
      <c r="BI58" s="135"/>
      <c r="BJ58" s="135"/>
      <c r="BK58" s="135"/>
      <c r="BL58" s="140"/>
      <c r="BM58" s="137"/>
      <c r="BN58" s="135"/>
      <c r="BO58" s="135"/>
      <c r="BP58" s="136"/>
      <c r="BQ58" s="137"/>
      <c r="BR58" s="135"/>
      <c r="BS58" s="135"/>
      <c r="BT58" s="136"/>
      <c r="BU58" s="137"/>
      <c r="BV58" s="135"/>
      <c r="BW58" s="135"/>
      <c r="BX58" s="139"/>
      <c r="BY58" s="140"/>
      <c r="BZ58" s="137"/>
      <c r="CA58" s="135"/>
      <c r="CB58" s="135"/>
      <c r="CC58" s="136"/>
      <c r="CD58" s="137"/>
      <c r="CE58" s="135"/>
      <c r="CF58" s="135"/>
      <c r="CG58" s="136"/>
      <c r="CH58" s="137"/>
      <c r="CI58" s="135"/>
      <c r="CJ58" s="135"/>
      <c r="CK58" s="135"/>
      <c r="CL58" s="140"/>
      <c r="CM58" s="137"/>
      <c r="CN58" s="135"/>
      <c r="CO58" s="135"/>
      <c r="CP58" s="136"/>
      <c r="CQ58" s="133"/>
      <c r="CR58" s="131"/>
      <c r="CS58" s="131"/>
      <c r="CT58" s="132"/>
      <c r="CU58" s="133"/>
      <c r="CV58" s="131"/>
      <c r="CW58" s="131"/>
      <c r="CX58" s="132"/>
      <c r="CY58" s="133"/>
      <c r="CZ58" s="131"/>
      <c r="DA58" s="131"/>
      <c r="DB58" s="132"/>
      <c r="DC58" s="82"/>
      <c r="DD58" s="79"/>
      <c r="DE58" s="79"/>
    </row>
    <row r="59" spans="1:109" ht="24.95" customHeight="1" outlineLevel="1" x14ac:dyDescent="0.55000000000000004">
      <c r="A59" s="330"/>
      <c r="B59" s="199" t="str">
        <f t="shared" ref="B59" si="158">B58</f>
        <v>1.4.1.1</v>
      </c>
      <c r="C59" s="285"/>
      <c r="D59" s="203" t="str">
        <f t="shared" ref="D59" si="159">D58</f>
        <v xml:space="preserve">            Roof</v>
      </c>
      <c r="E59" s="41"/>
      <c r="F59" s="42">
        <f t="shared" ref="F59" si="160">E58</f>
        <v>7011934.1726701101</v>
      </c>
      <c r="G59" s="83" t="s">
        <v>42</v>
      </c>
      <c r="H59" s="190">
        <v>0</v>
      </c>
      <c r="I59" s="190"/>
      <c r="J59" s="190"/>
      <c r="K59" s="121">
        <f t="shared" si="102"/>
        <v>0.2</v>
      </c>
      <c r="L59" s="111">
        <f t="shared" si="157"/>
        <v>1402386.834534022</v>
      </c>
      <c r="M59" s="141"/>
      <c r="N59" s="142"/>
      <c r="O59" s="142"/>
      <c r="P59" s="143"/>
      <c r="Q59" s="144"/>
      <c r="R59" s="142"/>
      <c r="S59" s="142"/>
      <c r="T59" s="143"/>
      <c r="U59" s="145"/>
      <c r="V59" s="142"/>
      <c r="W59" s="142"/>
      <c r="X59" s="143"/>
      <c r="Y59" s="144"/>
      <c r="Z59" s="142"/>
      <c r="AA59" s="142"/>
      <c r="AB59" s="146"/>
      <c r="AC59" s="143"/>
      <c r="AD59" s="144"/>
      <c r="AE59" s="142"/>
      <c r="AF59" s="142"/>
      <c r="AG59" s="143"/>
      <c r="AH59" s="145"/>
      <c r="AI59" s="142"/>
      <c r="AJ59" s="163"/>
      <c r="AK59" s="163"/>
      <c r="AL59" s="168"/>
      <c r="AM59" s="165"/>
      <c r="AN59" s="163"/>
      <c r="AO59" s="163"/>
      <c r="AP59" s="164"/>
      <c r="AQ59" s="165"/>
      <c r="AR59" s="163"/>
      <c r="AS59" s="163">
        <v>0.1</v>
      </c>
      <c r="AT59" s="164">
        <v>0.1</v>
      </c>
      <c r="AU59" s="165"/>
      <c r="AV59" s="163"/>
      <c r="AW59" s="163"/>
      <c r="AX59" s="163"/>
      <c r="AY59" s="168"/>
      <c r="AZ59" s="165"/>
      <c r="BA59" s="163"/>
      <c r="BB59" s="163"/>
      <c r="BC59" s="167"/>
      <c r="BD59" s="165"/>
      <c r="BE59" s="163"/>
      <c r="BF59" s="163"/>
      <c r="BG59" s="164"/>
      <c r="BH59" s="144"/>
      <c r="BI59" s="142"/>
      <c r="BJ59" s="142"/>
      <c r="BK59" s="142"/>
      <c r="BL59" s="147"/>
      <c r="BM59" s="144"/>
      <c r="BN59" s="142"/>
      <c r="BO59" s="142"/>
      <c r="BP59" s="143"/>
      <c r="BQ59" s="144"/>
      <c r="BR59" s="142"/>
      <c r="BS59" s="142"/>
      <c r="BT59" s="143"/>
      <c r="BU59" s="144"/>
      <c r="BV59" s="142"/>
      <c r="BW59" s="142"/>
      <c r="BX59" s="146"/>
      <c r="BY59" s="147"/>
      <c r="BZ59" s="144"/>
      <c r="CA59" s="142"/>
      <c r="CB59" s="142"/>
      <c r="CC59" s="143"/>
      <c r="CD59" s="144"/>
      <c r="CE59" s="142"/>
      <c r="CF59" s="142"/>
      <c r="CG59" s="143"/>
      <c r="CH59" s="144"/>
      <c r="CI59" s="142"/>
      <c r="CJ59" s="142"/>
      <c r="CK59" s="142"/>
      <c r="CL59" s="147"/>
      <c r="CM59" s="144"/>
      <c r="CN59" s="142"/>
      <c r="CO59" s="142"/>
      <c r="CP59" s="143"/>
      <c r="CQ59" s="130"/>
      <c r="CR59" s="128"/>
      <c r="CS59" s="128"/>
      <c r="CT59" s="129"/>
      <c r="CU59" s="130"/>
      <c r="CV59" s="128"/>
      <c r="CW59" s="128"/>
      <c r="CX59" s="129"/>
      <c r="CY59" s="130"/>
      <c r="CZ59" s="128"/>
      <c r="DA59" s="128"/>
      <c r="DB59" s="129"/>
      <c r="DC59" s="80"/>
      <c r="DD59" s="79"/>
      <c r="DE59" s="79"/>
    </row>
    <row r="60" spans="1:109" ht="24.95" customHeight="1" outlineLevel="1" x14ac:dyDescent="0.55000000000000004">
      <c r="A60" s="330" t="s">
        <v>59</v>
      </c>
      <c r="B60" s="199" t="str">
        <f t="shared" ref="B60" si="161">A60</f>
        <v>1.4.1.2</v>
      </c>
      <c r="C60" s="285" t="s">
        <v>3</v>
      </c>
      <c r="D60" s="203" t="str">
        <f t="shared" ref="D60" si="162">C60</f>
        <v xml:space="preserve">            3rd Floor</v>
      </c>
      <c r="E60" s="41">
        <v>18765198.894683938</v>
      </c>
      <c r="F60" s="42">
        <f t="shared" ref="F60" si="163">E60</f>
        <v>18765198.894683938</v>
      </c>
      <c r="G60" s="81" t="s">
        <v>41</v>
      </c>
      <c r="H60" s="189">
        <v>0</v>
      </c>
      <c r="I60" s="189"/>
      <c r="J60" s="189"/>
      <c r="K60" s="120">
        <f t="shared" si="102"/>
        <v>1.0000000000000002</v>
      </c>
      <c r="L60" s="110">
        <f t="shared" si="157"/>
        <v>18765198.894683942</v>
      </c>
      <c r="M60" s="134"/>
      <c r="N60" s="135"/>
      <c r="O60" s="135"/>
      <c r="P60" s="136"/>
      <c r="Q60" s="137"/>
      <c r="R60" s="135"/>
      <c r="S60" s="135"/>
      <c r="T60" s="136"/>
      <c r="U60" s="138"/>
      <c r="V60" s="135"/>
      <c r="W60" s="135"/>
      <c r="X60" s="136"/>
      <c r="Y60" s="157"/>
      <c r="Z60" s="149"/>
      <c r="AA60" s="149"/>
      <c r="AB60" s="158"/>
      <c r="AC60" s="156"/>
      <c r="AD60" s="157"/>
      <c r="AE60" s="149"/>
      <c r="AF60" s="149"/>
      <c r="AG60" s="156"/>
      <c r="AH60" s="155"/>
      <c r="AI60" s="149"/>
      <c r="AJ60" s="149"/>
      <c r="AK60" s="149"/>
      <c r="AL60" s="150"/>
      <c r="AM60" s="157"/>
      <c r="AN60" s="149"/>
      <c r="AO60" s="149"/>
      <c r="AP60" s="156"/>
      <c r="AQ60" s="157"/>
      <c r="AR60" s="149"/>
      <c r="AS60" s="149"/>
      <c r="AT60" s="156"/>
      <c r="AU60" s="137"/>
      <c r="AV60" s="135"/>
      <c r="AW60" s="135"/>
      <c r="AX60" s="135"/>
      <c r="AY60" s="140"/>
      <c r="AZ60" s="137"/>
      <c r="BA60" s="135"/>
      <c r="BB60" s="135"/>
      <c r="BC60" s="139"/>
      <c r="BD60" s="137"/>
      <c r="BE60" s="135"/>
      <c r="BF60" s="152">
        <v>0.05</v>
      </c>
      <c r="BG60" s="153">
        <v>0.05</v>
      </c>
      <c r="BH60" s="151">
        <v>0.05</v>
      </c>
      <c r="BI60" s="152">
        <v>0.05</v>
      </c>
      <c r="BJ60" s="152">
        <v>0.05</v>
      </c>
      <c r="BK60" s="152">
        <v>0.1</v>
      </c>
      <c r="BL60" s="159">
        <v>0.1</v>
      </c>
      <c r="BM60" s="151">
        <v>0.1</v>
      </c>
      <c r="BN60" s="152">
        <v>0.1</v>
      </c>
      <c r="BO60" s="152">
        <v>0.05</v>
      </c>
      <c r="BP60" s="153">
        <v>0.05</v>
      </c>
      <c r="BQ60" s="151">
        <v>0.05</v>
      </c>
      <c r="BR60" s="152">
        <v>0.05</v>
      </c>
      <c r="BS60" s="135">
        <v>0.05</v>
      </c>
      <c r="BT60" s="136">
        <v>0.05</v>
      </c>
      <c r="BU60" s="137">
        <v>0.05</v>
      </c>
      <c r="BV60" s="135"/>
      <c r="BW60" s="135"/>
      <c r="BX60" s="139"/>
      <c r="BY60" s="140"/>
      <c r="BZ60" s="137"/>
      <c r="CA60" s="135"/>
      <c r="CB60" s="135"/>
      <c r="CC60" s="136"/>
      <c r="CD60" s="137"/>
      <c r="CE60" s="135"/>
      <c r="CF60" s="135"/>
      <c r="CG60" s="136"/>
      <c r="CH60" s="137"/>
      <c r="CI60" s="135"/>
      <c r="CJ60" s="135"/>
      <c r="CK60" s="135"/>
      <c r="CL60" s="140"/>
      <c r="CM60" s="137"/>
      <c r="CN60" s="135"/>
      <c r="CO60" s="135"/>
      <c r="CP60" s="136"/>
      <c r="CQ60" s="133"/>
      <c r="CR60" s="131"/>
      <c r="CS60" s="131"/>
      <c r="CT60" s="132"/>
      <c r="CU60" s="133"/>
      <c r="CV60" s="131"/>
      <c r="CW60" s="131"/>
      <c r="CX60" s="132"/>
      <c r="CY60" s="133"/>
      <c r="CZ60" s="131"/>
      <c r="DA60" s="131"/>
      <c r="DB60" s="132"/>
      <c r="DC60" s="82"/>
      <c r="DD60" s="79"/>
      <c r="DE60" s="79"/>
    </row>
    <row r="61" spans="1:109" ht="24.95" customHeight="1" outlineLevel="1" x14ac:dyDescent="0.55000000000000004">
      <c r="A61" s="330"/>
      <c r="B61" s="199" t="str">
        <f t="shared" ref="B61" si="164">B60</f>
        <v>1.4.1.2</v>
      </c>
      <c r="C61" s="285"/>
      <c r="D61" s="203" t="str">
        <f t="shared" ref="D61" si="165">D60</f>
        <v xml:space="preserve">            3rd Floor</v>
      </c>
      <c r="E61" s="41"/>
      <c r="F61" s="42">
        <f t="shared" ref="F61" si="166">E60</f>
        <v>18765198.894683938</v>
      </c>
      <c r="G61" s="83" t="s">
        <v>42</v>
      </c>
      <c r="H61" s="190">
        <v>0</v>
      </c>
      <c r="I61" s="190"/>
      <c r="J61" s="190"/>
      <c r="K61" s="121">
        <f t="shared" si="102"/>
        <v>0</v>
      </c>
      <c r="L61" s="111">
        <f t="shared" si="157"/>
        <v>0</v>
      </c>
      <c r="M61" s="141"/>
      <c r="N61" s="142"/>
      <c r="O61" s="142"/>
      <c r="P61" s="143"/>
      <c r="Q61" s="144"/>
      <c r="R61" s="142"/>
      <c r="S61" s="142"/>
      <c r="T61" s="143"/>
      <c r="U61" s="145"/>
      <c r="V61" s="142"/>
      <c r="W61" s="163"/>
      <c r="X61" s="143"/>
      <c r="Y61" s="144"/>
      <c r="Z61" s="142"/>
      <c r="AA61" s="142"/>
      <c r="AB61" s="146"/>
      <c r="AC61" s="143"/>
      <c r="AD61" s="144"/>
      <c r="AE61" s="142"/>
      <c r="AF61" s="142"/>
      <c r="AG61" s="143"/>
      <c r="AH61" s="145"/>
      <c r="AI61" s="142"/>
      <c r="AJ61" s="142"/>
      <c r="AK61" s="142"/>
      <c r="AL61" s="147"/>
      <c r="AM61" s="144"/>
      <c r="AN61" s="142"/>
      <c r="AO61" s="142"/>
      <c r="AP61" s="143"/>
      <c r="AQ61" s="144"/>
      <c r="AR61" s="142"/>
      <c r="AS61" s="142"/>
      <c r="AT61" s="143"/>
      <c r="AU61" s="144"/>
      <c r="AV61" s="142"/>
      <c r="AW61" s="142"/>
      <c r="AX61" s="142"/>
      <c r="AY61" s="147"/>
      <c r="AZ61" s="144"/>
      <c r="BA61" s="142"/>
      <c r="BB61" s="142"/>
      <c r="BC61" s="146"/>
      <c r="BD61" s="144"/>
      <c r="BE61" s="142"/>
      <c r="BF61" s="142"/>
      <c r="BG61" s="143"/>
      <c r="BH61" s="144"/>
      <c r="BI61" s="142"/>
      <c r="BJ61" s="142"/>
      <c r="BK61" s="142"/>
      <c r="BL61" s="147"/>
      <c r="BM61" s="144"/>
      <c r="BN61" s="142"/>
      <c r="BO61" s="142"/>
      <c r="BP61" s="143"/>
      <c r="BQ61" s="144"/>
      <c r="BR61" s="142"/>
      <c r="BS61" s="142"/>
      <c r="BT61" s="143"/>
      <c r="BU61" s="144"/>
      <c r="BV61" s="142"/>
      <c r="BW61" s="142"/>
      <c r="BX61" s="146"/>
      <c r="BY61" s="147"/>
      <c r="BZ61" s="144"/>
      <c r="CA61" s="142"/>
      <c r="CB61" s="142"/>
      <c r="CC61" s="143"/>
      <c r="CD61" s="144"/>
      <c r="CE61" s="142"/>
      <c r="CF61" s="142"/>
      <c r="CG61" s="143"/>
      <c r="CH61" s="144"/>
      <c r="CI61" s="142"/>
      <c r="CJ61" s="142"/>
      <c r="CK61" s="142"/>
      <c r="CL61" s="147"/>
      <c r="CM61" s="144"/>
      <c r="CN61" s="142"/>
      <c r="CO61" s="142"/>
      <c r="CP61" s="143"/>
      <c r="CQ61" s="130"/>
      <c r="CR61" s="128"/>
      <c r="CS61" s="128"/>
      <c r="CT61" s="129"/>
      <c r="CU61" s="130"/>
      <c r="CV61" s="128"/>
      <c r="CW61" s="128"/>
      <c r="CX61" s="129"/>
      <c r="CY61" s="130"/>
      <c r="CZ61" s="128"/>
      <c r="DA61" s="128"/>
      <c r="DB61" s="129"/>
      <c r="DC61" s="80"/>
      <c r="DD61" s="79"/>
      <c r="DE61" s="79"/>
    </row>
    <row r="62" spans="1:109" ht="24.95" customHeight="1" outlineLevel="1" x14ac:dyDescent="0.55000000000000004">
      <c r="A62" s="330" t="s">
        <v>60</v>
      </c>
      <c r="B62" s="199" t="str">
        <f t="shared" ref="B62" si="167">A62</f>
        <v>1.4.1.3</v>
      </c>
      <c r="C62" s="285" t="s">
        <v>2</v>
      </c>
      <c r="D62" s="203" t="str">
        <f t="shared" ref="D62" si="168">C62</f>
        <v xml:space="preserve">            2nd Floor</v>
      </c>
      <c r="E62" s="41">
        <v>17875972.6833519</v>
      </c>
      <c r="F62" s="42">
        <f t="shared" ref="F62" si="169">E62</f>
        <v>17875972.6833519</v>
      </c>
      <c r="G62" s="81" t="s">
        <v>41</v>
      </c>
      <c r="H62" s="189">
        <v>0</v>
      </c>
      <c r="I62" s="189"/>
      <c r="J62" s="189"/>
      <c r="K62" s="120">
        <f t="shared" si="102"/>
        <v>0.99999999999999989</v>
      </c>
      <c r="L62" s="110">
        <f t="shared" si="157"/>
        <v>17875972.683351897</v>
      </c>
      <c r="M62" s="134"/>
      <c r="N62" s="135"/>
      <c r="O62" s="135"/>
      <c r="P62" s="136"/>
      <c r="Q62" s="137"/>
      <c r="R62" s="135"/>
      <c r="S62" s="135"/>
      <c r="T62" s="136"/>
      <c r="U62" s="138"/>
      <c r="V62" s="135"/>
      <c r="W62" s="135"/>
      <c r="X62" s="136"/>
      <c r="Y62" s="137"/>
      <c r="Z62" s="135"/>
      <c r="AA62" s="135"/>
      <c r="AB62" s="139"/>
      <c r="AC62" s="136"/>
      <c r="AD62" s="157"/>
      <c r="AE62" s="149"/>
      <c r="AF62" s="149"/>
      <c r="AG62" s="156"/>
      <c r="AH62" s="155"/>
      <c r="AI62" s="149"/>
      <c r="AJ62" s="149"/>
      <c r="AK62" s="149"/>
      <c r="AL62" s="150"/>
      <c r="AM62" s="157"/>
      <c r="AN62" s="149"/>
      <c r="AO62" s="149"/>
      <c r="AP62" s="156"/>
      <c r="AQ62" s="157"/>
      <c r="AR62" s="149"/>
      <c r="AS62" s="149"/>
      <c r="AT62" s="156"/>
      <c r="AU62" s="157"/>
      <c r="AV62" s="149"/>
      <c r="AW62" s="149"/>
      <c r="AX62" s="149"/>
      <c r="AY62" s="150"/>
      <c r="AZ62" s="157"/>
      <c r="BA62" s="149"/>
      <c r="BB62" s="149"/>
      <c r="BC62" s="158"/>
      <c r="BD62" s="151">
        <v>0.03</v>
      </c>
      <c r="BE62" s="152">
        <v>0.05</v>
      </c>
      <c r="BF62" s="152">
        <v>0.05</v>
      </c>
      <c r="BG62" s="153">
        <v>0.05</v>
      </c>
      <c r="BH62" s="151">
        <v>0.05</v>
      </c>
      <c r="BI62" s="152">
        <v>0.1</v>
      </c>
      <c r="BJ62" s="152">
        <v>0.1</v>
      </c>
      <c r="BK62" s="152">
        <v>0.1</v>
      </c>
      <c r="BL62" s="159">
        <v>0.05</v>
      </c>
      <c r="BM62" s="151">
        <v>0.05</v>
      </c>
      <c r="BN62" s="152">
        <v>0.08</v>
      </c>
      <c r="BO62" s="152">
        <v>0.08</v>
      </c>
      <c r="BP62" s="153">
        <v>0.08</v>
      </c>
      <c r="BQ62" s="137">
        <v>0.08</v>
      </c>
      <c r="BR62" s="135">
        <v>0.05</v>
      </c>
      <c r="BS62" s="135"/>
      <c r="BT62" s="136"/>
      <c r="BU62" s="137"/>
      <c r="BV62" s="135"/>
      <c r="BW62" s="135"/>
      <c r="BX62" s="139"/>
      <c r="BY62" s="140"/>
      <c r="BZ62" s="137"/>
      <c r="CA62" s="135"/>
      <c r="CB62" s="135"/>
      <c r="CC62" s="136"/>
      <c r="CD62" s="137"/>
      <c r="CE62" s="135"/>
      <c r="CF62" s="135"/>
      <c r="CG62" s="136"/>
      <c r="CH62" s="137"/>
      <c r="CI62" s="135"/>
      <c r="CJ62" s="135"/>
      <c r="CK62" s="135"/>
      <c r="CL62" s="140"/>
      <c r="CM62" s="137"/>
      <c r="CN62" s="135"/>
      <c r="CO62" s="135"/>
      <c r="CP62" s="136"/>
      <c r="CQ62" s="133"/>
      <c r="CR62" s="131"/>
      <c r="CS62" s="131"/>
      <c r="CT62" s="132"/>
      <c r="CU62" s="133"/>
      <c r="CV62" s="131"/>
      <c r="CW62" s="131"/>
      <c r="CX62" s="132"/>
      <c r="CY62" s="133"/>
      <c r="CZ62" s="131"/>
      <c r="DA62" s="131"/>
      <c r="DB62" s="132"/>
      <c r="DC62" s="82"/>
      <c r="DD62" s="79"/>
      <c r="DE62" s="79"/>
    </row>
    <row r="63" spans="1:109" ht="24.95" customHeight="1" outlineLevel="1" x14ac:dyDescent="0.55000000000000004">
      <c r="A63" s="330"/>
      <c r="B63" s="199" t="str">
        <f t="shared" ref="B63" si="170">B62</f>
        <v>1.4.1.3</v>
      </c>
      <c r="C63" s="285"/>
      <c r="D63" s="203" t="str">
        <f t="shared" ref="D63" si="171">D62</f>
        <v xml:space="preserve">            2nd Floor</v>
      </c>
      <c r="E63" s="41"/>
      <c r="F63" s="42">
        <f t="shared" ref="F63" si="172">E62</f>
        <v>17875972.6833519</v>
      </c>
      <c r="G63" s="83" t="s">
        <v>42</v>
      </c>
      <c r="H63" s="190">
        <v>0</v>
      </c>
      <c r="I63" s="190"/>
      <c r="J63" s="190"/>
      <c r="K63" s="121">
        <f t="shared" si="102"/>
        <v>0</v>
      </c>
      <c r="L63" s="111">
        <f t="shared" si="157"/>
        <v>0</v>
      </c>
      <c r="M63" s="141"/>
      <c r="N63" s="142"/>
      <c r="O63" s="142"/>
      <c r="P63" s="143"/>
      <c r="Q63" s="144"/>
      <c r="R63" s="142"/>
      <c r="S63" s="142"/>
      <c r="T63" s="143"/>
      <c r="U63" s="145"/>
      <c r="V63" s="142"/>
      <c r="W63" s="142"/>
      <c r="X63" s="143"/>
      <c r="Y63" s="144"/>
      <c r="Z63" s="142"/>
      <c r="AA63" s="154"/>
      <c r="AB63" s="146"/>
      <c r="AC63" s="143"/>
      <c r="AD63" s="165"/>
      <c r="AE63" s="163"/>
      <c r="AF63" s="163"/>
      <c r="AG63" s="164"/>
      <c r="AH63" s="166"/>
      <c r="AI63" s="163"/>
      <c r="AJ63" s="163"/>
      <c r="AK63" s="163"/>
      <c r="AL63" s="168"/>
      <c r="AM63" s="165"/>
      <c r="AN63" s="163"/>
      <c r="AO63" s="163"/>
      <c r="AP63" s="164"/>
      <c r="AQ63" s="165"/>
      <c r="AR63" s="163"/>
      <c r="AS63" s="163"/>
      <c r="AT63" s="164"/>
      <c r="AU63" s="165"/>
      <c r="AV63" s="163"/>
      <c r="AW63" s="163"/>
      <c r="AX63" s="163"/>
      <c r="AY63" s="168"/>
      <c r="AZ63" s="165"/>
      <c r="BA63" s="163"/>
      <c r="BB63" s="163"/>
      <c r="BC63" s="167"/>
      <c r="BD63" s="144"/>
      <c r="BE63" s="142"/>
      <c r="BF63" s="142"/>
      <c r="BG63" s="143"/>
      <c r="BH63" s="144"/>
      <c r="BI63" s="142"/>
      <c r="BJ63" s="142"/>
      <c r="BK63" s="142"/>
      <c r="BL63" s="147"/>
      <c r="BM63" s="144"/>
      <c r="BN63" s="142"/>
      <c r="BO63" s="142"/>
      <c r="BP63" s="143"/>
      <c r="BQ63" s="144"/>
      <c r="BR63" s="142"/>
      <c r="BS63" s="142"/>
      <c r="BT63" s="143"/>
      <c r="BU63" s="144"/>
      <c r="BV63" s="142"/>
      <c r="BW63" s="142"/>
      <c r="BX63" s="146"/>
      <c r="BY63" s="147"/>
      <c r="BZ63" s="144"/>
      <c r="CA63" s="142"/>
      <c r="CB63" s="142"/>
      <c r="CC63" s="143"/>
      <c r="CD63" s="144"/>
      <c r="CE63" s="142"/>
      <c r="CF63" s="142"/>
      <c r="CG63" s="143"/>
      <c r="CH63" s="144"/>
      <c r="CI63" s="142"/>
      <c r="CJ63" s="142"/>
      <c r="CK63" s="142"/>
      <c r="CL63" s="147"/>
      <c r="CM63" s="144"/>
      <c r="CN63" s="142"/>
      <c r="CO63" s="142"/>
      <c r="CP63" s="143"/>
      <c r="CQ63" s="130"/>
      <c r="CR63" s="128"/>
      <c r="CS63" s="128"/>
      <c r="CT63" s="129"/>
      <c r="CU63" s="130"/>
      <c r="CV63" s="128"/>
      <c r="CW63" s="128"/>
      <c r="CX63" s="129"/>
      <c r="CY63" s="130"/>
      <c r="CZ63" s="128"/>
      <c r="DA63" s="128"/>
      <c r="DB63" s="129"/>
      <c r="DC63" s="80"/>
      <c r="DD63" s="79"/>
      <c r="DE63" s="79"/>
    </row>
    <row r="64" spans="1:109" ht="24.95" customHeight="1" outlineLevel="1" x14ac:dyDescent="0.55000000000000004">
      <c r="A64" s="330" t="s">
        <v>61</v>
      </c>
      <c r="B64" s="199" t="str">
        <f t="shared" ref="B64" si="173">A64</f>
        <v>1.4.1.4</v>
      </c>
      <c r="C64" s="285" t="s">
        <v>5</v>
      </c>
      <c r="D64" s="203" t="str">
        <f t="shared" ref="D64" si="174">C64</f>
        <v xml:space="preserve">            1M Floor</v>
      </c>
      <c r="E64" s="41">
        <v>6538779.013872372</v>
      </c>
      <c r="F64" s="42">
        <f t="shared" ref="F64" si="175">E64</f>
        <v>6538779.013872372</v>
      </c>
      <c r="G64" s="81" t="s">
        <v>41</v>
      </c>
      <c r="H64" s="189">
        <v>0</v>
      </c>
      <c r="I64" s="189"/>
      <c r="J64" s="189"/>
      <c r="K64" s="120">
        <f t="shared" si="102"/>
        <v>1</v>
      </c>
      <c r="L64" s="110">
        <f t="shared" si="157"/>
        <v>6538779.013872372</v>
      </c>
      <c r="M64" s="134"/>
      <c r="N64" s="135"/>
      <c r="O64" s="135"/>
      <c r="P64" s="136"/>
      <c r="Q64" s="137"/>
      <c r="R64" s="135"/>
      <c r="S64" s="135"/>
      <c r="T64" s="136"/>
      <c r="U64" s="138"/>
      <c r="V64" s="135"/>
      <c r="W64" s="135"/>
      <c r="X64" s="136"/>
      <c r="Y64" s="137"/>
      <c r="Z64" s="135"/>
      <c r="AA64" s="135"/>
      <c r="AB64" s="139"/>
      <c r="AC64" s="136"/>
      <c r="AD64" s="157"/>
      <c r="AE64" s="149"/>
      <c r="AF64" s="149"/>
      <c r="AG64" s="156"/>
      <c r="AH64" s="155"/>
      <c r="AI64" s="149"/>
      <c r="AJ64" s="149"/>
      <c r="AK64" s="149"/>
      <c r="AL64" s="150"/>
      <c r="AM64" s="157"/>
      <c r="AN64" s="149"/>
      <c r="AO64" s="149"/>
      <c r="AP64" s="156"/>
      <c r="AQ64" s="157"/>
      <c r="AR64" s="149"/>
      <c r="AS64" s="149"/>
      <c r="AT64" s="156"/>
      <c r="AU64" s="137"/>
      <c r="AV64" s="135"/>
      <c r="AW64" s="135"/>
      <c r="AX64" s="135"/>
      <c r="AY64" s="140"/>
      <c r="AZ64" s="137"/>
      <c r="BA64" s="135"/>
      <c r="BB64" s="152">
        <v>0.04</v>
      </c>
      <c r="BC64" s="169">
        <v>0.04</v>
      </c>
      <c r="BD64" s="151">
        <v>0.05</v>
      </c>
      <c r="BE64" s="152">
        <v>0.05</v>
      </c>
      <c r="BF64" s="152">
        <v>0.08</v>
      </c>
      <c r="BG64" s="153">
        <v>0.08</v>
      </c>
      <c r="BH64" s="151">
        <v>0.08</v>
      </c>
      <c r="BI64" s="152">
        <v>0.1</v>
      </c>
      <c r="BJ64" s="152">
        <v>0.1</v>
      </c>
      <c r="BK64" s="152">
        <v>0.1</v>
      </c>
      <c r="BL64" s="159">
        <v>0.1</v>
      </c>
      <c r="BM64" s="151">
        <v>0.06</v>
      </c>
      <c r="BN64" s="152">
        <v>0.04</v>
      </c>
      <c r="BO64" s="135">
        <v>0.04</v>
      </c>
      <c r="BP64" s="136">
        <v>0.04</v>
      </c>
      <c r="BQ64" s="137"/>
      <c r="BR64" s="135"/>
      <c r="BS64" s="135"/>
      <c r="BT64" s="136"/>
      <c r="BU64" s="137"/>
      <c r="BV64" s="135"/>
      <c r="BW64" s="135"/>
      <c r="BX64" s="139"/>
      <c r="BY64" s="140"/>
      <c r="BZ64" s="137"/>
      <c r="CA64" s="135"/>
      <c r="CB64" s="135"/>
      <c r="CC64" s="136"/>
      <c r="CD64" s="137"/>
      <c r="CE64" s="135"/>
      <c r="CF64" s="135"/>
      <c r="CG64" s="136"/>
      <c r="CH64" s="137"/>
      <c r="CI64" s="135"/>
      <c r="CJ64" s="135"/>
      <c r="CK64" s="135"/>
      <c r="CL64" s="140"/>
      <c r="CM64" s="137"/>
      <c r="CN64" s="135"/>
      <c r="CO64" s="135"/>
      <c r="CP64" s="136"/>
      <c r="CQ64" s="133"/>
      <c r="CR64" s="131"/>
      <c r="CS64" s="131"/>
      <c r="CT64" s="132"/>
      <c r="CU64" s="133"/>
      <c r="CV64" s="131"/>
      <c r="CW64" s="131"/>
      <c r="CX64" s="132"/>
      <c r="CY64" s="133"/>
      <c r="CZ64" s="131"/>
      <c r="DA64" s="131"/>
      <c r="DB64" s="132"/>
      <c r="DC64" s="82"/>
      <c r="DD64" s="79"/>
      <c r="DE64" s="79"/>
    </row>
    <row r="65" spans="1:109" ht="24.95" customHeight="1" outlineLevel="1" x14ac:dyDescent="0.55000000000000004">
      <c r="A65" s="330"/>
      <c r="B65" s="199" t="str">
        <f t="shared" ref="B65" si="176">B64</f>
        <v>1.4.1.4</v>
      </c>
      <c r="C65" s="285"/>
      <c r="D65" s="203" t="str">
        <f t="shared" ref="D65" si="177">D64</f>
        <v xml:space="preserve">            1M Floor</v>
      </c>
      <c r="E65" s="41"/>
      <c r="F65" s="42">
        <f t="shared" ref="F65" si="178">E64</f>
        <v>6538779.013872372</v>
      </c>
      <c r="G65" s="83" t="s">
        <v>42</v>
      </c>
      <c r="H65" s="190">
        <v>0</v>
      </c>
      <c r="I65" s="190"/>
      <c r="J65" s="190"/>
      <c r="K65" s="121">
        <f t="shared" si="102"/>
        <v>0</v>
      </c>
      <c r="L65" s="111">
        <f t="shared" si="157"/>
        <v>0</v>
      </c>
      <c r="M65" s="141"/>
      <c r="N65" s="142"/>
      <c r="O65" s="142"/>
      <c r="P65" s="143"/>
      <c r="Q65" s="144"/>
      <c r="R65" s="142"/>
      <c r="S65" s="142"/>
      <c r="T65" s="143"/>
      <c r="U65" s="145"/>
      <c r="V65" s="142"/>
      <c r="W65" s="142"/>
      <c r="X65" s="143"/>
      <c r="Y65" s="144"/>
      <c r="Z65" s="142"/>
      <c r="AA65" s="154"/>
      <c r="AB65" s="146"/>
      <c r="AC65" s="143"/>
      <c r="AD65" s="165"/>
      <c r="AE65" s="163"/>
      <c r="AF65" s="163"/>
      <c r="AG65" s="164"/>
      <c r="AH65" s="166"/>
      <c r="AI65" s="163"/>
      <c r="AJ65" s="163"/>
      <c r="AK65" s="163"/>
      <c r="AL65" s="168"/>
      <c r="AM65" s="165"/>
      <c r="AN65" s="163"/>
      <c r="AO65" s="163"/>
      <c r="AP65" s="164"/>
      <c r="AQ65" s="165"/>
      <c r="AR65" s="163"/>
      <c r="AS65" s="163"/>
      <c r="AT65" s="164"/>
      <c r="AU65" s="144"/>
      <c r="AV65" s="142"/>
      <c r="AW65" s="142"/>
      <c r="AX65" s="142"/>
      <c r="AY65" s="147"/>
      <c r="AZ65" s="144"/>
      <c r="BA65" s="142"/>
      <c r="BB65" s="142"/>
      <c r="BC65" s="146"/>
      <c r="BD65" s="144"/>
      <c r="BE65" s="142"/>
      <c r="BF65" s="142"/>
      <c r="BG65" s="143"/>
      <c r="BH65" s="144"/>
      <c r="BI65" s="142"/>
      <c r="BJ65" s="142"/>
      <c r="BK65" s="142"/>
      <c r="BL65" s="147"/>
      <c r="BM65" s="144"/>
      <c r="BN65" s="142"/>
      <c r="BO65" s="142"/>
      <c r="BP65" s="143"/>
      <c r="BQ65" s="144"/>
      <c r="BR65" s="142"/>
      <c r="BS65" s="142"/>
      <c r="BT65" s="143"/>
      <c r="BU65" s="144"/>
      <c r="BV65" s="142"/>
      <c r="BW65" s="142"/>
      <c r="BX65" s="146"/>
      <c r="BY65" s="147"/>
      <c r="BZ65" s="144"/>
      <c r="CA65" s="142"/>
      <c r="CB65" s="142"/>
      <c r="CC65" s="143"/>
      <c r="CD65" s="144"/>
      <c r="CE65" s="142"/>
      <c r="CF65" s="142"/>
      <c r="CG65" s="143"/>
      <c r="CH65" s="144"/>
      <c r="CI65" s="142"/>
      <c r="CJ65" s="142"/>
      <c r="CK65" s="142"/>
      <c r="CL65" s="147"/>
      <c r="CM65" s="144"/>
      <c r="CN65" s="142"/>
      <c r="CO65" s="142"/>
      <c r="CP65" s="143"/>
      <c r="CQ65" s="130"/>
      <c r="CR65" s="128"/>
      <c r="CS65" s="128"/>
      <c r="CT65" s="129"/>
      <c r="CU65" s="130"/>
      <c r="CV65" s="128"/>
      <c r="CW65" s="128"/>
      <c r="CX65" s="129"/>
      <c r="CY65" s="130"/>
      <c r="CZ65" s="128"/>
      <c r="DA65" s="128"/>
      <c r="DB65" s="129"/>
      <c r="DC65" s="80"/>
      <c r="DD65" s="79"/>
      <c r="DE65" s="79"/>
    </row>
    <row r="66" spans="1:109" ht="24.95" customHeight="1" outlineLevel="1" x14ac:dyDescent="0.55000000000000004">
      <c r="A66" s="330" t="s">
        <v>62</v>
      </c>
      <c r="B66" s="199" t="str">
        <f t="shared" ref="B66" si="179">A66</f>
        <v>1.4.1.5</v>
      </c>
      <c r="C66" s="285" t="s">
        <v>1</v>
      </c>
      <c r="D66" s="203" t="str">
        <f t="shared" ref="D66" si="180">C66</f>
        <v xml:space="preserve">            1st Floor</v>
      </c>
      <c r="E66" s="41">
        <v>19629695.090759546</v>
      </c>
      <c r="F66" s="42">
        <f t="shared" ref="F66" si="181">E66</f>
        <v>19629695.090759546</v>
      </c>
      <c r="G66" s="81" t="s">
        <v>41</v>
      </c>
      <c r="H66" s="189">
        <v>0</v>
      </c>
      <c r="I66" s="189"/>
      <c r="J66" s="189"/>
      <c r="K66" s="120">
        <f t="shared" si="102"/>
        <v>1.0000000000000002</v>
      </c>
      <c r="L66" s="110">
        <f t="shared" si="157"/>
        <v>19629695.090759549</v>
      </c>
      <c r="M66" s="134"/>
      <c r="N66" s="135"/>
      <c r="O66" s="135"/>
      <c r="P66" s="136"/>
      <c r="Q66" s="137"/>
      <c r="R66" s="135"/>
      <c r="S66" s="135"/>
      <c r="T66" s="136"/>
      <c r="U66" s="138"/>
      <c r="V66" s="135"/>
      <c r="W66" s="135"/>
      <c r="X66" s="136"/>
      <c r="Y66" s="137"/>
      <c r="Z66" s="135"/>
      <c r="AA66" s="135"/>
      <c r="AB66" s="139"/>
      <c r="AC66" s="136"/>
      <c r="AD66" s="157"/>
      <c r="AE66" s="149"/>
      <c r="AF66" s="149"/>
      <c r="AG66" s="156"/>
      <c r="AH66" s="155"/>
      <c r="AI66" s="149"/>
      <c r="AJ66" s="149"/>
      <c r="AK66" s="149"/>
      <c r="AL66" s="150"/>
      <c r="AM66" s="157"/>
      <c r="AN66" s="149"/>
      <c r="AO66" s="149"/>
      <c r="AP66" s="156"/>
      <c r="AQ66" s="157"/>
      <c r="AR66" s="149"/>
      <c r="AS66" s="149"/>
      <c r="AT66" s="156"/>
      <c r="AU66" s="157"/>
      <c r="AV66" s="149">
        <v>0.05</v>
      </c>
      <c r="AW66" s="149">
        <v>0.05</v>
      </c>
      <c r="AX66" s="149">
        <v>0.05</v>
      </c>
      <c r="AY66" s="150">
        <v>0.05</v>
      </c>
      <c r="AZ66" s="157">
        <v>0.05</v>
      </c>
      <c r="BA66" s="149">
        <v>0.05</v>
      </c>
      <c r="BB66" s="149">
        <v>0.05</v>
      </c>
      <c r="BC66" s="158">
        <v>0.05</v>
      </c>
      <c r="BD66" s="157">
        <v>0.05</v>
      </c>
      <c r="BE66" s="152">
        <v>0.05</v>
      </c>
      <c r="BF66" s="152">
        <v>0.05</v>
      </c>
      <c r="BG66" s="153">
        <v>0.05</v>
      </c>
      <c r="BH66" s="151">
        <v>0.05</v>
      </c>
      <c r="BI66" s="152">
        <v>0.05</v>
      </c>
      <c r="BJ66" s="152">
        <v>0.05</v>
      </c>
      <c r="BK66" s="152">
        <v>0.05</v>
      </c>
      <c r="BL66" s="159">
        <v>0.05</v>
      </c>
      <c r="BM66" s="151">
        <v>0.05</v>
      </c>
      <c r="BN66" s="152">
        <v>0.05</v>
      </c>
      <c r="BO66" s="135">
        <v>0.05</v>
      </c>
      <c r="BP66" s="136"/>
      <c r="BQ66" s="137"/>
      <c r="BR66" s="135"/>
      <c r="BS66" s="135"/>
      <c r="BT66" s="136"/>
      <c r="BU66" s="137"/>
      <c r="BV66" s="135"/>
      <c r="BW66" s="135"/>
      <c r="BX66" s="139"/>
      <c r="BY66" s="140"/>
      <c r="BZ66" s="137"/>
      <c r="CA66" s="135"/>
      <c r="CB66" s="135"/>
      <c r="CC66" s="136"/>
      <c r="CD66" s="137"/>
      <c r="CE66" s="135"/>
      <c r="CF66" s="135"/>
      <c r="CG66" s="136"/>
      <c r="CH66" s="137"/>
      <c r="CI66" s="135"/>
      <c r="CJ66" s="135"/>
      <c r="CK66" s="135"/>
      <c r="CL66" s="140"/>
      <c r="CM66" s="137"/>
      <c r="CN66" s="135"/>
      <c r="CO66" s="135"/>
      <c r="CP66" s="136"/>
      <c r="CQ66" s="133"/>
      <c r="CR66" s="131"/>
      <c r="CS66" s="131"/>
      <c r="CT66" s="132"/>
      <c r="CU66" s="133"/>
      <c r="CV66" s="131"/>
      <c r="CW66" s="131"/>
      <c r="CX66" s="132"/>
      <c r="CY66" s="133"/>
      <c r="CZ66" s="131"/>
      <c r="DA66" s="131"/>
      <c r="DB66" s="132"/>
      <c r="DC66" s="82"/>
      <c r="DD66" s="79"/>
      <c r="DE66" s="79"/>
    </row>
    <row r="67" spans="1:109" ht="24.95" customHeight="1" outlineLevel="1" x14ac:dyDescent="0.55000000000000004">
      <c r="A67" s="330"/>
      <c r="B67" s="199" t="str">
        <f t="shared" ref="B67" si="182">B66</f>
        <v>1.4.1.5</v>
      </c>
      <c r="C67" s="285"/>
      <c r="D67" s="203" t="str">
        <f t="shared" ref="D67" si="183">D66</f>
        <v xml:space="preserve">            1st Floor</v>
      </c>
      <c r="E67" s="41"/>
      <c r="F67" s="42">
        <f t="shared" ref="F67" si="184">E66</f>
        <v>19629695.090759546</v>
      </c>
      <c r="G67" s="83" t="s">
        <v>42</v>
      </c>
      <c r="H67" s="190">
        <v>0</v>
      </c>
      <c r="I67" s="190"/>
      <c r="J67" s="190"/>
      <c r="K67" s="121">
        <f t="shared" si="102"/>
        <v>0</v>
      </c>
      <c r="L67" s="111">
        <f t="shared" si="157"/>
        <v>0</v>
      </c>
      <c r="M67" s="141"/>
      <c r="N67" s="142"/>
      <c r="O67" s="142"/>
      <c r="P67" s="143"/>
      <c r="Q67" s="144"/>
      <c r="R67" s="142"/>
      <c r="S67" s="142"/>
      <c r="T67" s="143"/>
      <c r="U67" s="145"/>
      <c r="V67" s="142"/>
      <c r="W67" s="142"/>
      <c r="X67" s="143"/>
      <c r="Y67" s="144"/>
      <c r="Z67" s="142"/>
      <c r="AA67" s="154"/>
      <c r="AB67" s="146"/>
      <c r="AC67" s="143"/>
      <c r="AD67" s="165"/>
      <c r="AE67" s="163"/>
      <c r="AF67" s="163"/>
      <c r="AG67" s="164"/>
      <c r="AH67" s="166"/>
      <c r="AI67" s="163"/>
      <c r="AJ67" s="163"/>
      <c r="AK67" s="163"/>
      <c r="AL67" s="168"/>
      <c r="AM67" s="165"/>
      <c r="AN67" s="163"/>
      <c r="AO67" s="163"/>
      <c r="AP67" s="164"/>
      <c r="AQ67" s="165"/>
      <c r="AR67" s="163"/>
      <c r="AS67" s="163"/>
      <c r="AT67" s="164"/>
      <c r="AU67" s="165"/>
      <c r="AV67" s="163"/>
      <c r="AW67" s="163"/>
      <c r="AX67" s="163"/>
      <c r="AY67" s="168"/>
      <c r="AZ67" s="165"/>
      <c r="BA67" s="163"/>
      <c r="BB67" s="163"/>
      <c r="BC67" s="167"/>
      <c r="BD67" s="165"/>
      <c r="BE67" s="142"/>
      <c r="BF67" s="142"/>
      <c r="BG67" s="143"/>
      <c r="BH67" s="144"/>
      <c r="BI67" s="142"/>
      <c r="BJ67" s="142"/>
      <c r="BK67" s="142"/>
      <c r="BL67" s="147"/>
      <c r="BM67" s="144"/>
      <c r="BN67" s="142"/>
      <c r="BO67" s="142"/>
      <c r="BP67" s="143"/>
      <c r="BQ67" s="144"/>
      <c r="BR67" s="142"/>
      <c r="BS67" s="142"/>
      <c r="BT67" s="143"/>
      <c r="BU67" s="144"/>
      <c r="BV67" s="142"/>
      <c r="BW67" s="142"/>
      <c r="BX67" s="146"/>
      <c r="BY67" s="147"/>
      <c r="BZ67" s="144"/>
      <c r="CA67" s="142"/>
      <c r="CB67" s="142"/>
      <c r="CC67" s="143"/>
      <c r="CD67" s="144"/>
      <c r="CE67" s="142"/>
      <c r="CF67" s="142"/>
      <c r="CG67" s="143"/>
      <c r="CH67" s="144"/>
      <c r="CI67" s="142"/>
      <c r="CJ67" s="142"/>
      <c r="CK67" s="142"/>
      <c r="CL67" s="147"/>
      <c r="CM67" s="144"/>
      <c r="CN67" s="142"/>
      <c r="CO67" s="142"/>
      <c r="CP67" s="143"/>
      <c r="CQ67" s="130"/>
      <c r="CR67" s="128"/>
      <c r="CS67" s="128"/>
      <c r="CT67" s="129"/>
      <c r="CU67" s="130"/>
      <c r="CV67" s="128"/>
      <c r="CW67" s="128"/>
      <c r="CX67" s="129"/>
      <c r="CY67" s="130"/>
      <c r="CZ67" s="128"/>
      <c r="DA67" s="128"/>
      <c r="DB67" s="129"/>
      <c r="DC67" s="80"/>
      <c r="DD67" s="79"/>
      <c r="DE67" s="79"/>
    </row>
    <row r="68" spans="1:109" ht="24.95" customHeight="1" x14ac:dyDescent="0.55000000000000004">
      <c r="A68" s="331" t="s">
        <v>63</v>
      </c>
      <c r="B68" s="198" t="str">
        <f t="shared" ref="B68" si="185">A68</f>
        <v>1.4.3</v>
      </c>
      <c r="C68" s="332" t="s">
        <v>128</v>
      </c>
      <c r="D68" s="206" t="str">
        <f t="shared" ref="D68" si="186">C68</f>
        <v>Existing Stair Repair</v>
      </c>
      <c r="E68" s="29">
        <v>3065369.6835999996</v>
      </c>
      <c r="F68" s="30">
        <f t="shared" ref="F68" si="187">E68</f>
        <v>3065369.6835999996</v>
      </c>
      <c r="G68" s="116" t="s">
        <v>41</v>
      </c>
      <c r="H68" s="191">
        <v>0</v>
      </c>
      <c r="I68" s="191" t="s">
        <v>42</v>
      </c>
      <c r="J68" s="191"/>
      <c r="K68" s="124">
        <f t="shared" si="102"/>
        <v>1</v>
      </c>
      <c r="L68" s="117">
        <f t="shared" si="157"/>
        <v>3065369.6835999996</v>
      </c>
      <c r="M68" s="134"/>
      <c r="N68" s="135"/>
      <c r="O68" s="135"/>
      <c r="P68" s="136"/>
      <c r="Q68" s="137"/>
      <c r="R68" s="135"/>
      <c r="S68" s="135"/>
      <c r="T68" s="136"/>
      <c r="U68" s="138"/>
      <c r="V68" s="135"/>
      <c r="W68" s="135"/>
      <c r="X68" s="136"/>
      <c r="Y68" s="137"/>
      <c r="Z68" s="135"/>
      <c r="AA68" s="135"/>
      <c r="AB68" s="139"/>
      <c r="AC68" s="136"/>
      <c r="AD68" s="137"/>
      <c r="AE68" s="135"/>
      <c r="AF68" s="135"/>
      <c r="AG68" s="136"/>
      <c r="AH68" s="155"/>
      <c r="AI68" s="149"/>
      <c r="AJ68" s="149"/>
      <c r="AK68" s="149"/>
      <c r="AL68" s="150"/>
      <c r="AM68" s="157"/>
      <c r="AN68" s="149"/>
      <c r="AO68" s="149"/>
      <c r="AP68" s="156"/>
      <c r="AQ68" s="157"/>
      <c r="AR68" s="149"/>
      <c r="AS68" s="149"/>
      <c r="AT68" s="156"/>
      <c r="AU68" s="157"/>
      <c r="AV68" s="135"/>
      <c r="AW68" s="135"/>
      <c r="AX68" s="135"/>
      <c r="AY68" s="140"/>
      <c r="AZ68" s="137"/>
      <c r="BA68" s="135"/>
      <c r="BB68" s="135"/>
      <c r="BC68" s="139"/>
      <c r="BD68" s="137"/>
      <c r="BE68" s="135"/>
      <c r="BF68" s="135"/>
      <c r="BG68" s="136"/>
      <c r="BH68" s="137"/>
      <c r="BI68" s="135"/>
      <c r="BJ68" s="135"/>
      <c r="BK68" s="135"/>
      <c r="BL68" s="140"/>
      <c r="BM68" s="137"/>
      <c r="BN68" s="135"/>
      <c r="BO68" s="135"/>
      <c r="BP68" s="136"/>
      <c r="BQ68" s="137">
        <v>0.05</v>
      </c>
      <c r="BR68" s="152">
        <v>0.05</v>
      </c>
      <c r="BS68" s="152">
        <v>0.1</v>
      </c>
      <c r="BT68" s="153">
        <v>0.15</v>
      </c>
      <c r="BU68" s="151">
        <v>0.15</v>
      </c>
      <c r="BV68" s="152">
        <v>0.15</v>
      </c>
      <c r="BW68" s="152">
        <v>0.15</v>
      </c>
      <c r="BX68" s="169">
        <v>0.1</v>
      </c>
      <c r="BY68" s="159">
        <v>0.1</v>
      </c>
      <c r="BZ68" s="137"/>
      <c r="CA68" s="135"/>
      <c r="CB68" s="135"/>
      <c r="CC68" s="136"/>
      <c r="CD68" s="137"/>
      <c r="CE68" s="135"/>
      <c r="CF68" s="135"/>
      <c r="CG68" s="136"/>
      <c r="CH68" s="137"/>
      <c r="CI68" s="135"/>
      <c r="CJ68" s="135"/>
      <c r="CK68" s="135"/>
      <c r="CL68" s="140"/>
      <c r="CM68" s="137"/>
      <c r="CN68" s="135"/>
      <c r="CO68" s="135"/>
      <c r="CP68" s="136"/>
      <c r="CQ68" s="133"/>
      <c r="CR68" s="131"/>
      <c r="CS68" s="131"/>
      <c r="CT68" s="132"/>
      <c r="CU68" s="133"/>
      <c r="CV68" s="131"/>
      <c r="CW68" s="131"/>
      <c r="CX68" s="132"/>
      <c r="CY68" s="133"/>
      <c r="CZ68" s="131"/>
      <c r="DA68" s="131"/>
      <c r="DB68" s="132"/>
      <c r="DC68" s="82"/>
      <c r="DD68" s="79"/>
      <c r="DE68" s="79"/>
    </row>
    <row r="69" spans="1:109" ht="24.95" customHeight="1" x14ac:dyDescent="0.55000000000000004">
      <c r="A69" s="331"/>
      <c r="B69" s="198" t="str">
        <f t="shared" ref="B69" si="188">B68</f>
        <v>1.4.3</v>
      </c>
      <c r="C69" s="332"/>
      <c r="D69" s="206" t="str">
        <f t="shared" ref="D69" si="189">D68</f>
        <v>Existing Stair Repair</v>
      </c>
      <c r="E69" s="29"/>
      <c r="F69" s="30">
        <f t="shared" ref="F69" si="190">E68</f>
        <v>3065369.6835999996</v>
      </c>
      <c r="G69" s="118" t="s">
        <v>42</v>
      </c>
      <c r="H69" s="192">
        <v>0</v>
      </c>
      <c r="I69" s="192" t="s">
        <v>42</v>
      </c>
      <c r="J69" s="192"/>
      <c r="K69" s="125">
        <f t="shared" si="102"/>
        <v>0</v>
      </c>
      <c r="L69" s="119">
        <f t="shared" si="157"/>
        <v>0</v>
      </c>
      <c r="M69" s="141"/>
      <c r="N69" s="142"/>
      <c r="O69" s="142"/>
      <c r="P69" s="143"/>
      <c r="Q69" s="144"/>
      <c r="R69" s="142"/>
      <c r="S69" s="142"/>
      <c r="T69" s="143"/>
      <c r="U69" s="145"/>
      <c r="V69" s="142"/>
      <c r="W69" s="142"/>
      <c r="X69" s="143"/>
      <c r="Y69" s="144"/>
      <c r="Z69" s="142"/>
      <c r="AA69" s="163"/>
      <c r="AB69" s="146"/>
      <c r="AC69" s="143"/>
      <c r="AD69" s="144"/>
      <c r="AE69" s="142"/>
      <c r="AF69" s="142"/>
      <c r="AG69" s="143"/>
      <c r="AH69" s="166"/>
      <c r="AI69" s="163"/>
      <c r="AJ69" s="163"/>
      <c r="AK69" s="163"/>
      <c r="AL69" s="168"/>
      <c r="AM69" s="165"/>
      <c r="AN69" s="163"/>
      <c r="AO69" s="163"/>
      <c r="AP69" s="164"/>
      <c r="AQ69" s="165"/>
      <c r="AR69" s="163"/>
      <c r="AS69" s="163"/>
      <c r="AT69" s="164"/>
      <c r="AU69" s="165"/>
      <c r="AV69" s="142"/>
      <c r="AW69" s="142"/>
      <c r="AX69" s="142"/>
      <c r="AY69" s="147"/>
      <c r="AZ69" s="144"/>
      <c r="BA69" s="142"/>
      <c r="BB69" s="142"/>
      <c r="BC69" s="146"/>
      <c r="BD69" s="144"/>
      <c r="BE69" s="142"/>
      <c r="BF69" s="142"/>
      <c r="BG69" s="143"/>
      <c r="BH69" s="144"/>
      <c r="BI69" s="142"/>
      <c r="BJ69" s="142"/>
      <c r="BK69" s="142"/>
      <c r="BL69" s="147"/>
      <c r="BM69" s="144"/>
      <c r="BN69" s="142"/>
      <c r="BO69" s="142"/>
      <c r="BP69" s="143"/>
      <c r="BQ69" s="144"/>
      <c r="BR69" s="142"/>
      <c r="BS69" s="142"/>
      <c r="BT69" s="143"/>
      <c r="BU69" s="144"/>
      <c r="BV69" s="142"/>
      <c r="BW69" s="142"/>
      <c r="BX69" s="146"/>
      <c r="BY69" s="147"/>
      <c r="BZ69" s="144"/>
      <c r="CA69" s="142"/>
      <c r="CB69" s="142"/>
      <c r="CC69" s="143"/>
      <c r="CD69" s="144"/>
      <c r="CE69" s="142"/>
      <c r="CF69" s="142"/>
      <c r="CG69" s="143"/>
      <c r="CH69" s="144"/>
      <c r="CI69" s="142"/>
      <c r="CJ69" s="142"/>
      <c r="CK69" s="142"/>
      <c r="CL69" s="147"/>
      <c r="CM69" s="144"/>
      <c r="CN69" s="142"/>
      <c r="CO69" s="142"/>
      <c r="CP69" s="143"/>
      <c r="CQ69" s="130"/>
      <c r="CR69" s="128"/>
      <c r="CS69" s="128"/>
      <c r="CT69" s="129"/>
      <c r="CU69" s="130"/>
      <c r="CV69" s="128"/>
      <c r="CW69" s="128"/>
      <c r="CX69" s="129"/>
      <c r="CY69" s="130"/>
      <c r="CZ69" s="128"/>
      <c r="DA69" s="128"/>
      <c r="DB69" s="129"/>
      <c r="DC69" s="80"/>
      <c r="DD69" s="79"/>
      <c r="DE69" s="79"/>
    </row>
    <row r="70" spans="1:109" ht="24.95" customHeight="1" x14ac:dyDescent="0.55000000000000004">
      <c r="A70" s="331" t="s">
        <v>64</v>
      </c>
      <c r="B70" s="198" t="str">
        <f t="shared" ref="B70" si="191">A70</f>
        <v>1.4.4</v>
      </c>
      <c r="C70" s="332" t="s">
        <v>129</v>
      </c>
      <c r="D70" s="206" t="str">
        <f t="shared" ref="D70" si="192">C70</f>
        <v>ID Work</v>
      </c>
      <c r="E70" s="29">
        <v>6237853.8786000004</v>
      </c>
      <c r="F70" s="30">
        <f t="shared" ref="F70" si="193">E70</f>
        <v>6237853.8786000004</v>
      </c>
      <c r="G70" s="116" t="s">
        <v>41</v>
      </c>
      <c r="H70" s="191">
        <v>0</v>
      </c>
      <c r="I70" s="191" t="s">
        <v>42</v>
      </c>
      <c r="J70" s="191"/>
      <c r="K70" s="124">
        <f t="shared" ref="K70:K91" si="194">SUM(M70:DC70)</f>
        <v>1</v>
      </c>
      <c r="L70" s="117">
        <f t="shared" si="157"/>
        <v>6237853.8786000004</v>
      </c>
      <c r="M70" s="134"/>
      <c r="N70" s="135"/>
      <c r="O70" s="135"/>
      <c r="P70" s="136"/>
      <c r="Q70" s="137"/>
      <c r="R70" s="135"/>
      <c r="S70" s="135"/>
      <c r="T70" s="136"/>
      <c r="U70" s="138"/>
      <c r="V70" s="135"/>
      <c r="W70" s="135"/>
      <c r="X70" s="136"/>
      <c r="Y70" s="137"/>
      <c r="Z70" s="135"/>
      <c r="AA70" s="135"/>
      <c r="AB70" s="139"/>
      <c r="AC70" s="136"/>
      <c r="AD70" s="137"/>
      <c r="AE70" s="135"/>
      <c r="AF70" s="135"/>
      <c r="AG70" s="136"/>
      <c r="AH70" s="138"/>
      <c r="AI70" s="135"/>
      <c r="AJ70" s="135"/>
      <c r="AK70" s="135"/>
      <c r="AL70" s="140"/>
      <c r="AM70" s="157"/>
      <c r="AN70" s="149"/>
      <c r="AO70" s="149"/>
      <c r="AP70" s="156"/>
      <c r="AQ70" s="157"/>
      <c r="AR70" s="149"/>
      <c r="AS70" s="149"/>
      <c r="AT70" s="156"/>
      <c r="AU70" s="157"/>
      <c r="AV70" s="149"/>
      <c r="AW70" s="149"/>
      <c r="AX70" s="149"/>
      <c r="AY70" s="150"/>
      <c r="AZ70" s="157"/>
      <c r="BA70" s="149"/>
      <c r="BB70" s="149"/>
      <c r="BC70" s="158"/>
      <c r="BD70" s="137"/>
      <c r="BE70" s="135"/>
      <c r="BF70" s="135"/>
      <c r="BG70" s="136"/>
      <c r="BH70" s="137"/>
      <c r="BI70" s="135"/>
      <c r="BJ70" s="135"/>
      <c r="BK70" s="135"/>
      <c r="BL70" s="140"/>
      <c r="BM70" s="151">
        <v>0.02</v>
      </c>
      <c r="BN70" s="152">
        <v>0.04</v>
      </c>
      <c r="BO70" s="152">
        <v>0.04</v>
      </c>
      <c r="BP70" s="153">
        <v>0.04</v>
      </c>
      <c r="BQ70" s="151">
        <v>0.1</v>
      </c>
      <c r="BR70" s="152">
        <v>0.1</v>
      </c>
      <c r="BS70" s="152">
        <v>0.1</v>
      </c>
      <c r="BT70" s="153">
        <v>0.1</v>
      </c>
      <c r="BU70" s="151">
        <v>0.09</v>
      </c>
      <c r="BV70" s="152">
        <v>0.09</v>
      </c>
      <c r="BW70" s="152">
        <v>0.08</v>
      </c>
      <c r="BX70" s="169">
        <v>0.08</v>
      </c>
      <c r="BY70" s="159">
        <v>0.04</v>
      </c>
      <c r="BZ70" s="151">
        <v>0.02</v>
      </c>
      <c r="CA70" s="152">
        <v>0.02</v>
      </c>
      <c r="CB70" s="152">
        <v>0.02</v>
      </c>
      <c r="CC70" s="136">
        <v>0.02</v>
      </c>
      <c r="CD70" s="137"/>
      <c r="CE70" s="135"/>
      <c r="CF70" s="135"/>
      <c r="CG70" s="136"/>
      <c r="CH70" s="137"/>
      <c r="CI70" s="135"/>
      <c r="CJ70" s="135"/>
      <c r="CK70" s="135"/>
      <c r="CL70" s="140"/>
      <c r="CM70" s="137"/>
      <c r="CN70" s="135"/>
      <c r="CO70" s="135"/>
      <c r="CP70" s="136"/>
      <c r="CQ70" s="133"/>
      <c r="CR70" s="131"/>
      <c r="CS70" s="131"/>
      <c r="CT70" s="132"/>
      <c r="CU70" s="133"/>
      <c r="CV70" s="131"/>
      <c r="CW70" s="131"/>
      <c r="CX70" s="132"/>
      <c r="CY70" s="133"/>
      <c r="CZ70" s="131"/>
      <c r="DA70" s="131"/>
      <c r="DB70" s="132"/>
      <c r="DC70" s="82"/>
      <c r="DD70" s="79"/>
      <c r="DE70" s="79"/>
    </row>
    <row r="71" spans="1:109" ht="24.95" customHeight="1" x14ac:dyDescent="0.55000000000000004">
      <c r="A71" s="331"/>
      <c r="B71" s="198" t="str">
        <f t="shared" ref="B71" si="195">B70</f>
        <v>1.4.4</v>
      </c>
      <c r="C71" s="332"/>
      <c r="D71" s="206" t="str">
        <f t="shared" ref="D71" si="196">D70</f>
        <v>ID Work</v>
      </c>
      <c r="E71" s="29"/>
      <c r="F71" s="30">
        <f t="shared" ref="F71" si="197">E70</f>
        <v>6237853.8786000004</v>
      </c>
      <c r="G71" s="118" t="s">
        <v>42</v>
      </c>
      <c r="H71" s="192">
        <v>0</v>
      </c>
      <c r="I71" s="192" t="s">
        <v>42</v>
      </c>
      <c r="J71" s="192"/>
      <c r="K71" s="125">
        <f t="shared" si="194"/>
        <v>0</v>
      </c>
      <c r="L71" s="119">
        <f t="shared" si="157"/>
        <v>0</v>
      </c>
      <c r="M71" s="141"/>
      <c r="N71" s="142"/>
      <c r="O71" s="142"/>
      <c r="P71" s="143"/>
      <c r="Q71" s="144"/>
      <c r="R71" s="142"/>
      <c r="S71" s="142"/>
      <c r="T71" s="143"/>
      <c r="U71" s="145"/>
      <c r="V71" s="142"/>
      <c r="W71" s="142"/>
      <c r="X71" s="143"/>
      <c r="Y71" s="144"/>
      <c r="Z71" s="142"/>
      <c r="AA71" s="142"/>
      <c r="AB71" s="146"/>
      <c r="AC71" s="143"/>
      <c r="AD71" s="144"/>
      <c r="AE71" s="142"/>
      <c r="AF71" s="142"/>
      <c r="AG71" s="143"/>
      <c r="AH71" s="145"/>
      <c r="AI71" s="142"/>
      <c r="AJ71" s="154"/>
      <c r="AK71" s="142"/>
      <c r="AL71" s="147"/>
      <c r="AM71" s="165"/>
      <c r="AN71" s="163"/>
      <c r="AO71" s="163"/>
      <c r="AP71" s="164"/>
      <c r="AQ71" s="165"/>
      <c r="AR71" s="163"/>
      <c r="AS71" s="163"/>
      <c r="AT71" s="164"/>
      <c r="AU71" s="165"/>
      <c r="AV71" s="163"/>
      <c r="AW71" s="163"/>
      <c r="AX71" s="163"/>
      <c r="AY71" s="168"/>
      <c r="AZ71" s="165"/>
      <c r="BA71" s="163"/>
      <c r="BB71" s="163"/>
      <c r="BC71" s="167"/>
      <c r="BD71" s="144"/>
      <c r="BE71" s="142"/>
      <c r="BF71" s="142"/>
      <c r="BG71" s="143"/>
      <c r="BH71" s="144"/>
      <c r="BI71" s="142"/>
      <c r="BJ71" s="142"/>
      <c r="BK71" s="142"/>
      <c r="BL71" s="147"/>
      <c r="BM71" s="144"/>
      <c r="BN71" s="142"/>
      <c r="BO71" s="142"/>
      <c r="BP71" s="143"/>
      <c r="BQ71" s="144"/>
      <c r="BR71" s="142"/>
      <c r="BS71" s="142"/>
      <c r="BT71" s="143"/>
      <c r="BU71" s="144"/>
      <c r="BV71" s="142"/>
      <c r="BW71" s="142"/>
      <c r="BX71" s="146"/>
      <c r="BY71" s="147"/>
      <c r="BZ71" s="144"/>
      <c r="CA71" s="142"/>
      <c r="CB71" s="142"/>
      <c r="CC71" s="143"/>
      <c r="CD71" s="144"/>
      <c r="CE71" s="142"/>
      <c r="CF71" s="142"/>
      <c r="CG71" s="143"/>
      <c r="CH71" s="144"/>
      <c r="CI71" s="142"/>
      <c r="CJ71" s="142"/>
      <c r="CK71" s="142"/>
      <c r="CL71" s="147"/>
      <c r="CM71" s="144"/>
      <c r="CN71" s="142"/>
      <c r="CO71" s="142"/>
      <c r="CP71" s="143"/>
      <c r="CQ71" s="130"/>
      <c r="CR71" s="128"/>
      <c r="CS71" s="128"/>
      <c r="CT71" s="129"/>
      <c r="CU71" s="130"/>
      <c r="CV71" s="128"/>
      <c r="CW71" s="128"/>
      <c r="CX71" s="129"/>
      <c r="CY71" s="130"/>
      <c r="CZ71" s="128"/>
      <c r="DA71" s="128"/>
      <c r="DB71" s="129"/>
      <c r="DC71" s="80"/>
      <c r="DD71" s="79"/>
      <c r="DE71" s="79"/>
    </row>
    <row r="72" spans="1:109" ht="24.95" customHeight="1" x14ac:dyDescent="0.55000000000000004">
      <c r="A72" s="331" t="s">
        <v>65</v>
      </c>
      <c r="B72" s="198" t="str">
        <f t="shared" ref="B72" si="198">A72</f>
        <v>1.4.5</v>
      </c>
      <c r="C72" s="332" t="s">
        <v>130</v>
      </c>
      <c r="D72" s="206" t="str">
        <f t="shared" ref="D72" si="199">C72</f>
        <v>Lift Lobby</v>
      </c>
      <c r="E72" s="29">
        <v>3147687.0413000002</v>
      </c>
      <c r="F72" s="30">
        <f t="shared" ref="F72" si="200">E72</f>
        <v>3147687.0413000002</v>
      </c>
      <c r="G72" s="116" t="s">
        <v>41</v>
      </c>
      <c r="H72" s="191">
        <v>0</v>
      </c>
      <c r="I72" s="191" t="s">
        <v>42</v>
      </c>
      <c r="J72" s="191"/>
      <c r="K72" s="124">
        <f t="shared" si="194"/>
        <v>1</v>
      </c>
      <c r="L72" s="117">
        <f t="shared" si="157"/>
        <v>3147687.0413000002</v>
      </c>
      <c r="M72" s="134"/>
      <c r="N72" s="135"/>
      <c r="O72" s="135"/>
      <c r="P72" s="136"/>
      <c r="Q72" s="137"/>
      <c r="R72" s="135"/>
      <c r="S72" s="135"/>
      <c r="T72" s="136"/>
      <c r="U72" s="138"/>
      <c r="V72" s="135"/>
      <c r="W72" s="135"/>
      <c r="X72" s="136"/>
      <c r="Y72" s="137"/>
      <c r="Z72" s="135"/>
      <c r="AA72" s="135"/>
      <c r="AB72" s="139"/>
      <c r="AC72" s="136"/>
      <c r="AD72" s="137"/>
      <c r="AE72" s="135"/>
      <c r="AF72" s="135"/>
      <c r="AG72" s="136"/>
      <c r="AH72" s="138"/>
      <c r="AI72" s="135"/>
      <c r="AJ72" s="135"/>
      <c r="AK72" s="135"/>
      <c r="AL72" s="140"/>
      <c r="AM72" s="137"/>
      <c r="AN72" s="135"/>
      <c r="AO72" s="135"/>
      <c r="AP72" s="136"/>
      <c r="AQ72" s="137"/>
      <c r="AR72" s="135"/>
      <c r="AS72" s="135"/>
      <c r="AT72" s="136"/>
      <c r="AU72" s="157"/>
      <c r="AV72" s="149"/>
      <c r="AW72" s="149"/>
      <c r="AX72" s="149"/>
      <c r="AY72" s="150"/>
      <c r="AZ72" s="157"/>
      <c r="BA72" s="149"/>
      <c r="BB72" s="149"/>
      <c r="BC72" s="158"/>
      <c r="BD72" s="157"/>
      <c r="BE72" s="149"/>
      <c r="BF72" s="149"/>
      <c r="BG72" s="156"/>
      <c r="BH72" s="157"/>
      <c r="BI72" s="162">
        <v>0.04</v>
      </c>
      <c r="BJ72" s="162">
        <v>0.04</v>
      </c>
      <c r="BK72" s="162">
        <v>0.08</v>
      </c>
      <c r="BL72" s="160">
        <v>0.1</v>
      </c>
      <c r="BM72" s="151">
        <v>0.1</v>
      </c>
      <c r="BN72" s="152">
        <v>0.1</v>
      </c>
      <c r="BO72" s="152">
        <v>0.15</v>
      </c>
      <c r="BP72" s="153">
        <v>0.15</v>
      </c>
      <c r="BQ72" s="151">
        <v>0.1</v>
      </c>
      <c r="BR72" s="152">
        <v>0.05</v>
      </c>
      <c r="BS72" s="152">
        <v>0.05</v>
      </c>
      <c r="BT72" s="153">
        <v>0.04</v>
      </c>
      <c r="BU72" s="137"/>
      <c r="BV72" s="135"/>
      <c r="BW72" s="135"/>
      <c r="BX72" s="139"/>
      <c r="BY72" s="140"/>
      <c r="BZ72" s="137"/>
      <c r="CA72" s="135"/>
      <c r="CB72" s="135"/>
      <c r="CC72" s="136"/>
      <c r="CD72" s="137"/>
      <c r="CE72" s="135"/>
      <c r="CF72" s="135"/>
      <c r="CG72" s="136"/>
      <c r="CH72" s="137"/>
      <c r="CI72" s="135"/>
      <c r="CJ72" s="135"/>
      <c r="CK72" s="135"/>
      <c r="CL72" s="140"/>
      <c r="CM72" s="137"/>
      <c r="CN72" s="135"/>
      <c r="CO72" s="135"/>
      <c r="CP72" s="136"/>
      <c r="CQ72" s="133"/>
      <c r="CR72" s="131"/>
      <c r="CS72" s="131"/>
      <c r="CT72" s="132"/>
      <c r="CU72" s="133"/>
      <c r="CV72" s="131"/>
      <c r="CW72" s="131"/>
      <c r="CX72" s="132"/>
      <c r="CY72" s="133"/>
      <c r="CZ72" s="131"/>
      <c r="DA72" s="131"/>
      <c r="DB72" s="132"/>
      <c r="DC72" s="82"/>
      <c r="DD72" s="79"/>
      <c r="DE72" s="79"/>
    </row>
    <row r="73" spans="1:109" ht="24.95" customHeight="1" x14ac:dyDescent="0.55000000000000004">
      <c r="A73" s="331"/>
      <c r="B73" s="198" t="str">
        <f t="shared" ref="B73" si="201">B72</f>
        <v>1.4.5</v>
      </c>
      <c r="C73" s="332"/>
      <c r="D73" s="206" t="str">
        <f t="shared" ref="D73" si="202">D72</f>
        <v>Lift Lobby</v>
      </c>
      <c r="E73" s="29"/>
      <c r="F73" s="30">
        <f t="shared" ref="F73" si="203">E72</f>
        <v>3147687.0413000002</v>
      </c>
      <c r="G73" s="118" t="s">
        <v>42</v>
      </c>
      <c r="H73" s="192">
        <v>0</v>
      </c>
      <c r="I73" s="192" t="s">
        <v>42</v>
      </c>
      <c r="J73" s="192"/>
      <c r="K73" s="125">
        <f t="shared" si="194"/>
        <v>0</v>
      </c>
      <c r="L73" s="119">
        <f t="shared" si="157"/>
        <v>0</v>
      </c>
      <c r="M73" s="141"/>
      <c r="N73" s="142"/>
      <c r="O73" s="142"/>
      <c r="P73" s="143"/>
      <c r="Q73" s="144"/>
      <c r="R73" s="142"/>
      <c r="S73" s="142"/>
      <c r="T73" s="143"/>
      <c r="U73" s="145"/>
      <c r="V73" s="142"/>
      <c r="W73" s="142"/>
      <c r="X73" s="143"/>
      <c r="Y73" s="144"/>
      <c r="Z73" s="142"/>
      <c r="AA73" s="142"/>
      <c r="AB73" s="146"/>
      <c r="AC73" s="143"/>
      <c r="AD73" s="144"/>
      <c r="AE73" s="142"/>
      <c r="AF73" s="142"/>
      <c r="AG73" s="143"/>
      <c r="AH73" s="145"/>
      <c r="AI73" s="142"/>
      <c r="AJ73" s="142"/>
      <c r="AK73" s="142"/>
      <c r="AL73" s="147"/>
      <c r="AM73" s="144"/>
      <c r="AN73" s="142"/>
      <c r="AO73" s="142"/>
      <c r="AP73" s="143"/>
      <c r="AQ73" s="144"/>
      <c r="AR73" s="154"/>
      <c r="AS73" s="142"/>
      <c r="AT73" s="143"/>
      <c r="AU73" s="165"/>
      <c r="AV73" s="163"/>
      <c r="AW73" s="163"/>
      <c r="AX73" s="163"/>
      <c r="AY73" s="168"/>
      <c r="AZ73" s="165"/>
      <c r="BA73" s="163"/>
      <c r="BB73" s="163"/>
      <c r="BC73" s="167"/>
      <c r="BD73" s="165"/>
      <c r="BE73" s="163"/>
      <c r="BF73" s="163"/>
      <c r="BG73" s="164"/>
      <c r="BH73" s="165"/>
      <c r="BI73" s="163"/>
      <c r="BJ73" s="163"/>
      <c r="BK73" s="163"/>
      <c r="BL73" s="168"/>
      <c r="BM73" s="144"/>
      <c r="BN73" s="142"/>
      <c r="BO73" s="142"/>
      <c r="BP73" s="143"/>
      <c r="BQ73" s="144"/>
      <c r="BR73" s="142"/>
      <c r="BS73" s="142"/>
      <c r="BT73" s="143"/>
      <c r="BU73" s="144"/>
      <c r="BV73" s="142"/>
      <c r="BW73" s="142"/>
      <c r="BX73" s="146"/>
      <c r="BY73" s="147"/>
      <c r="BZ73" s="144"/>
      <c r="CA73" s="142"/>
      <c r="CB73" s="142"/>
      <c r="CC73" s="143"/>
      <c r="CD73" s="144"/>
      <c r="CE73" s="142"/>
      <c r="CF73" s="142"/>
      <c r="CG73" s="143"/>
      <c r="CH73" s="144"/>
      <c r="CI73" s="142"/>
      <c r="CJ73" s="142"/>
      <c r="CK73" s="142"/>
      <c r="CL73" s="147"/>
      <c r="CM73" s="144"/>
      <c r="CN73" s="142"/>
      <c r="CO73" s="142"/>
      <c r="CP73" s="143"/>
      <c r="CQ73" s="130"/>
      <c r="CR73" s="128"/>
      <c r="CS73" s="128"/>
      <c r="CT73" s="129"/>
      <c r="CU73" s="130"/>
      <c r="CV73" s="128"/>
      <c r="CW73" s="128"/>
      <c r="CX73" s="129"/>
      <c r="CY73" s="130"/>
      <c r="CZ73" s="128"/>
      <c r="DA73" s="128"/>
      <c r="DB73" s="129"/>
      <c r="DC73" s="80"/>
      <c r="DD73" s="79"/>
      <c r="DE73" s="79"/>
    </row>
    <row r="74" spans="1:109" ht="24.95" customHeight="1" x14ac:dyDescent="0.55000000000000004">
      <c r="A74" s="282">
        <v>1.5</v>
      </c>
      <c r="B74" s="197">
        <f t="shared" ref="B74" si="204">A74</f>
        <v>1.5</v>
      </c>
      <c r="C74" s="283" t="s">
        <v>131</v>
      </c>
      <c r="D74" s="202" t="str">
        <f t="shared" ref="D74" si="205">C74</f>
        <v>Lightning Protection System</v>
      </c>
      <c r="E74" s="62">
        <v>349251.90543837298</v>
      </c>
      <c r="F74" s="32">
        <f t="shared" ref="F74" si="206">E74</f>
        <v>349251.90543837298</v>
      </c>
      <c r="G74" s="112" t="s">
        <v>41</v>
      </c>
      <c r="H74" s="184">
        <v>0</v>
      </c>
      <c r="I74" s="184"/>
      <c r="J74" s="184" t="s">
        <v>105</v>
      </c>
      <c r="K74" s="122">
        <f t="shared" si="194"/>
        <v>0.99999999999999989</v>
      </c>
      <c r="L74" s="113">
        <f t="shared" si="157"/>
        <v>349251.90543837292</v>
      </c>
      <c r="M74" s="134"/>
      <c r="N74" s="135"/>
      <c r="O74" s="135"/>
      <c r="P74" s="136"/>
      <c r="Q74" s="137"/>
      <c r="R74" s="135"/>
      <c r="S74" s="135"/>
      <c r="T74" s="136"/>
      <c r="U74" s="138"/>
      <c r="V74" s="135"/>
      <c r="W74" s="135"/>
      <c r="X74" s="136"/>
      <c r="Y74" s="137"/>
      <c r="Z74" s="135"/>
      <c r="AA74" s="135"/>
      <c r="AB74" s="139"/>
      <c r="AC74" s="136"/>
      <c r="AD74" s="137"/>
      <c r="AE74" s="135"/>
      <c r="AF74" s="135"/>
      <c r="AG74" s="136"/>
      <c r="AH74" s="138"/>
      <c r="AI74" s="135"/>
      <c r="AJ74" s="135"/>
      <c r="AK74" s="135"/>
      <c r="AL74" s="140"/>
      <c r="AM74" s="137"/>
      <c r="AN74" s="135"/>
      <c r="AO74" s="135"/>
      <c r="AP74" s="136"/>
      <c r="AQ74" s="137"/>
      <c r="AR74" s="135"/>
      <c r="AS74" s="135"/>
      <c r="AT74" s="136"/>
      <c r="AU74" s="137"/>
      <c r="AV74" s="135"/>
      <c r="AW74" s="135"/>
      <c r="AX74" s="135"/>
      <c r="AY74" s="140"/>
      <c r="AZ74" s="137"/>
      <c r="BA74" s="135"/>
      <c r="BB74" s="135"/>
      <c r="BC74" s="139"/>
      <c r="BD74" s="137"/>
      <c r="BE74" s="135"/>
      <c r="BF74" s="135"/>
      <c r="BG74" s="136"/>
      <c r="BH74" s="137"/>
      <c r="BI74" s="135"/>
      <c r="BJ74" s="135"/>
      <c r="BK74" s="135"/>
      <c r="BL74" s="140"/>
      <c r="BM74" s="157">
        <v>0.15</v>
      </c>
      <c r="BN74" s="149">
        <v>0.15</v>
      </c>
      <c r="BO74" s="149">
        <v>0.15</v>
      </c>
      <c r="BP74" s="156">
        <v>0.15</v>
      </c>
      <c r="BQ74" s="157">
        <v>0.1</v>
      </c>
      <c r="BR74" s="149">
        <v>0.1</v>
      </c>
      <c r="BS74" s="149">
        <v>0.1</v>
      </c>
      <c r="BT74" s="156">
        <v>0.1</v>
      </c>
      <c r="BU74" s="137"/>
      <c r="BV74" s="135"/>
      <c r="BW74" s="135"/>
      <c r="BX74" s="139"/>
      <c r="BY74" s="140"/>
      <c r="BZ74" s="137"/>
      <c r="CA74" s="135"/>
      <c r="CB74" s="135"/>
      <c r="CC74" s="136"/>
      <c r="CD74" s="137"/>
      <c r="CE74" s="135"/>
      <c r="CF74" s="135"/>
      <c r="CG74" s="136"/>
      <c r="CH74" s="137"/>
      <c r="CI74" s="135"/>
      <c r="CJ74" s="135"/>
      <c r="CK74" s="135"/>
      <c r="CL74" s="140"/>
      <c r="CM74" s="137"/>
      <c r="CN74" s="135"/>
      <c r="CO74" s="135"/>
      <c r="CP74" s="136"/>
      <c r="CQ74" s="133"/>
      <c r="CR74" s="131"/>
      <c r="CS74" s="131"/>
      <c r="CT74" s="132"/>
      <c r="CU74" s="133"/>
      <c r="CV74" s="131"/>
      <c r="CW74" s="131"/>
      <c r="CX74" s="132"/>
      <c r="CY74" s="133"/>
      <c r="CZ74" s="131"/>
      <c r="DA74" s="131"/>
      <c r="DB74" s="132"/>
      <c r="DC74" s="82"/>
      <c r="DD74" s="79"/>
      <c r="DE74" s="79"/>
    </row>
    <row r="75" spans="1:109" ht="24.95" customHeight="1" x14ac:dyDescent="0.55000000000000004">
      <c r="A75" s="282"/>
      <c r="B75" s="197">
        <f t="shared" ref="B75" si="207">B74</f>
        <v>1.5</v>
      </c>
      <c r="C75" s="283"/>
      <c r="D75" s="202" t="str">
        <f t="shared" ref="D75" si="208">D74</f>
        <v>Lightning Protection System</v>
      </c>
      <c r="E75" s="31"/>
      <c r="F75" s="32">
        <f t="shared" ref="F75" si="209">E74</f>
        <v>349251.90543837298</v>
      </c>
      <c r="G75" s="114" t="s">
        <v>42</v>
      </c>
      <c r="H75" s="185">
        <v>0</v>
      </c>
      <c r="I75" s="185"/>
      <c r="J75" s="185" t="s">
        <v>105</v>
      </c>
      <c r="K75" s="123">
        <f t="shared" si="194"/>
        <v>0</v>
      </c>
      <c r="L75" s="115">
        <f t="shared" si="157"/>
        <v>0</v>
      </c>
      <c r="M75" s="141"/>
      <c r="N75" s="142"/>
      <c r="O75" s="142"/>
      <c r="P75" s="143"/>
      <c r="Q75" s="144"/>
      <c r="R75" s="142"/>
      <c r="S75" s="142"/>
      <c r="T75" s="143"/>
      <c r="U75" s="145"/>
      <c r="V75" s="142"/>
      <c r="W75" s="142"/>
      <c r="X75" s="143"/>
      <c r="Y75" s="144"/>
      <c r="Z75" s="142"/>
      <c r="AA75" s="142"/>
      <c r="AB75" s="146"/>
      <c r="AC75" s="143"/>
      <c r="AD75" s="144"/>
      <c r="AE75" s="142"/>
      <c r="AF75" s="142"/>
      <c r="AG75" s="143"/>
      <c r="AH75" s="145"/>
      <c r="AI75" s="142"/>
      <c r="AJ75" s="142"/>
      <c r="AK75" s="142"/>
      <c r="AL75" s="147"/>
      <c r="AM75" s="144"/>
      <c r="AN75" s="142"/>
      <c r="AO75" s="142"/>
      <c r="AP75" s="143"/>
      <c r="AQ75" s="144"/>
      <c r="AR75" s="142"/>
      <c r="AS75" s="142"/>
      <c r="AT75" s="143"/>
      <c r="AU75" s="144"/>
      <c r="AV75" s="142"/>
      <c r="AW75" s="142"/>
      <c r="AX75" s="142"/>
      <c r="AY75" s="147"/>
      <c r="AZ75" s="144"/>
      <c r="BA75" s="142"/>
      <c r="BB75" s="142"/>
      <c r="BC75" s="146"/>
      <c r="BD75" s="144"/>
      <c r="BE75" s="154"/>
      <c r="BF75" s="142"/>
      <c r="BG75" s="143"/>
      <c r="BH75" s="144"/>
      <c r="BI75" s="142"/>
      <c r="BJ75" s="142"/>
      <c r="BK75" s="142"/>
      <c r="BL75" s="147"/>
      <c r="BM75" s="165"/>
      <c r="BN75" s="163"/>
      <c r="BO75" s="163"/>
      <c r="BP75" s="164"/>
      <c r="BQ75" s="165">
        <f>'[11]S-Curve Center 1 (Vat%) Weekly'!AA212*1.07</f>
        <v>0</v>
      </c>
      <c r="BR75" s="163"/>
      <c r="BS75" s="163"/>
      <c r="BT75" s="164"/>
      <c r="BU75" s="144"/>
      <c r="BV75" s="142"/>
      <c r="BW75" s="142"/>
      <c r="BX75" s="146"/>
      <c r="BY75" s="147"/>
      <c r="BZ75" s="144"/>
      <c r="CA75" s="142"/>
      <c r="CB75" s="142"/>
      <c r="CC75" s="143"/>
      <c r="CD75" s="144"/>
      <c r="CE75" s="142"/>
      <c r="CF75" s="142"/>
      <c r="CG75" s="143"/>
      <c r="CH75" s="144"/>
      <c r="CI75" s="142"/>
      <c r="CJ75" s="142"/>
      <c r="CK75" s="142"/>
      <c r="CL75" s="147"/>
      <c r="CM75" s="144"/>
      <c r="CN75" s="142"/>
      <c r="CO75" s="142"/>
      <c r="CP75" s="143"/>
      <c r="CQ75" s="130"/>
      <c r="CR75" s="128"/>
      <c r="CS75" s="128"/>
      <c r="CT75" s="129"/>
      <c r="CU75" s="130"/>
      <c r="CV75" s="128"/>
      <c r="CW75" s="128"/>
      <c r="CX75" s="129"/>
      <c r="CY75" s="130"/>
      <c r="CZ75" s="128"/>
      <c r="DA75" s="128"/>
      <c r="DB75" s="129"/>
      <c r="DC75" s="80"/>
      <c r="DD75" s="79"/>
      <c r="DE75" s="79"/>
    </row>
    <row r="76" spans="1:109" ht="24.95" customHeight="1" x14ac:dyDescent="0.55000000000000004">
      <c r="A76" s="282">
        <v>1.6</v>
      </c>
      <c r="B76" s="197">
        <f t="shared" ref="B76" si="210">A76</f>
        <v>1.6</v>
      </c>
      <c r="C76" s="283" t="s">
        <v>132</v>
      </c>
      <c r="D76" s="202" t="str">
        <f t="shared" ref="D76" si="211">C76</f>
        <v>External Work</v>
      </c>
      <c r="E76" s="39">
        <f>SUM(E78:E91)</f>
        <v>7134397.0247208467</v>
      </c>
      <c r="F76" s="40">
        <f t="shared" ref="F76" si="212">E76</f>
        <v>7134397.0247208467</v>
      </c>
      <c r="G76" s="112" t="s">
        <v>41</v>
      </c>
      <c r="H76" s="184">
        <v>1</v>
      </c>
      <c r="I76" s="184"/>
      <c r="J76" s="184" t="s">
        <v>105</v>
      </c>
      <c r="K76" s="122">
        <f t="shared" si="194"/>
        <v>1</v>
      </c>
      <c r="L76" s="113">
        <f>L78+L80+L82+L84+L86+L88+L90</f>
        <v>7134397.0247208467</v>
      </c>
      <c r="M76" s="134" cm="1">
        <f t="array" ref="M76">SUMPRODUCT(($G$78:$G$91="P")*$E$78:$E$91*M78:M91)/$E$76</f>
        <v>0</v>
      </c>
      <c r="N76" s="135" cm="1">
        <f t="array" ref="N76">SUMPRODUCT(($G$78:$G$91="P")*$F$78:$F$91*N78:N91)/$F$76</f>
        <v>0</v>
      </c>
      <c r="O76" s="135">
        <f t="shared" ref="O76:AT76" si="213">SUMPRODUCT(($G$78:$G$91="P")*$F$78:$F$91*O78:O91)/$F$76</f>
        <v>0</v>
      </c>
      <c r="P76" s="136">
        <f t="shared" si="213"/>
        <v>0</v>
      </c>
      <c r="Q76" s="137">
        <f t="shared" si="213"/>
        <v>0</v>
      </c>
      <c r="R76" s="135">
        <f t="shared" si="213"/>
        <v>0</v>
      </c>
      <c r="S76" s="135">
        <f t="shared" si="213"/>
        <v>0</v>
      </c>
      <c r="T76" s="136">
        <f t="shared" si="213"/>
        <v>0</v>
      </c>
      <c r="U76" s="138">
        <f t="shared" si="213"/>
        <v>0</v>
      </c>
      <c r="V76" s="135">
        <f t="shared" si="213"/>
        <v>0</v>
      </c>
      <c r="W76" s="135">
        <f t="shared" si="213"/>
        <v>0</v>
      </c>
      <c r="X76" s="136">
        <f t="shared" si="213"/>
        <v>0</v>
      </c>
      <c r="Y76" s="137">
        <f t="shared" si="213"/>
        <v>0</v>
      </c>
      <c r="Z76" s="135">
        <f t="shared" si="213"/>
        <v>0</v>
      </c>
      <c r="AA76" s="135">
        <f t="shared" si="213"/>
        <v>0</v>
      </c>
      <c r="AB76" s="139">
        <f t="shared" si="213"/>
        <v>0</v>
      </c>
      <c r="AC76" s="136">
        <f t="shared" si="213"/>
        <v>0</v>
      </c>
      <c r="AD76" s="137">
        <f t="shared" si="213"/>
        <v>0</v>
      </c>
      <c r="AE76" s="135">
        <f t="shared" si="213"/>
        <v>0</v>
      </c>
      <c r="AF76" s="135">
        <f t="shared" si="213"/>
        <v>0</v>
      </c>
      <c r="AG76" s="136">
        <f t="shared" si="213"/>
        <v>0</v>
      </c>
      <c r="AH76" s="138">
        <f t="shared" si="213"/>
        <v>0</v>
      </c>
      <c r="AI76" s="135">
        <f t="shared" si="213"/>
        <v>0</v>
      </c>
      <c r="AJ76" s="135">
        <f t="shared" si="213"/>
        <v>0</v>
      </c>
      <c r="AK76" s="135">
        <f t="shared" si="213"/>
        <v>0</v>
      </c>
      <c r="AL76" s="140">
        <f t="shared" si="213"/>
        <v>0</v>
      </c>
      <c r="AM76" s="137">
        <f t="shared" si="213"/>
        <v>0</v>
      </c>
      <c r="AN76" s="135">
        <f t="shared" si="213"/>
        <v>0</v>
      </c>
      <c r="AO76" s="135">
        <f t="shared" si="213"/>
        <v>0</v>
      </c>
      <c r="AP76" s="136">
        <f t="shared" si="213"/>
        <v>0</v>
      </c>
      <c r="AQ76" s="137">
        <f t="shared" si="213"/>
        <v>0</v>
      </c>
      <c r="AR76" s="135">
        <f t="shared" si="213"/>
        <v>0</v>
      </c>
      <c r="AS76" s="135">
        <f t="shared" si="213"/>
        <v>0</v>
      </c>
      <c r="AT76" s="136">
        <f t="shared" si="213"/>
        <v>0</v>
      </c>
      <c r="AU76" s="137">
        <f t="shared" ref="AU76:BZ76" si="214">SUMPRODUCT(($G$78:$G$91="P")*$F$78:$F$91*AU78:AU91)/$F$76</f>
        <v>2.0759632799166424E-2</v>
      </c>
      <c r="AV76" s="135">
        <f t="shared" si="214"/>
        <v>2.0759632799166424E-2</v>
      </c>
      <c r="AW76" s="135">
        <f t="shared" si="214"/>
        <v>2.4601386389541291E-2</v>
      </c>
      <c r="AX76" s="135">
        <f t="shared" si="214"/>
        <v>2.4601386389541291E-2</v>
      </c>
      <c r="AY76" s="140">
        <f t="shared" si="214"/>
        <v>3.6345503215353514E-2</v>
      </c>
      <c r="AZ76" s="137">
        <f t="shared" si="214"/>
        <v>3.8705960537650949E-2</v>
      </c>
      <c r="BA76" s="135">
        <f t="shared" si="214"/>
        <v>3.7224664269573521E-2</v>
      </c>
      <c r="BB76" s="135">
        <f t="shared" si="214"/>
        <v>3.7224664269573521E-2</v>
      </c>
      <c r="BC76" s="139">
        <f t="shared" si="214"/>
        <v>2.7894821952052513E-2</v>
      </c>
      <c r="BD76" s="137">
        <f t="shared" si="214"/>
        <v>2.7894821952052513E-2</v>
      </c>
      <c r="BE76" s="135">
        <f t="shared" si="214"/>
        <v>2.5534364629755078E-2</v>
      </c>
      <c r="BF76" s="135">
        <f t="shared" si="214"/>
        <v>5.4804049182556547E-2</v>
      </c>
      <c r="BG76" s="136">
        <f t="shared" si="214"/>
        <v>6.2850316852839205E-2</v>
      </c>
      <c r="BH76" s="137">
        <f t="shared" si="214"/>
        <v>6.048985953054177E-2</v>
      </c>
      <c r="BI76" s="135">
        <f t="shared" si="214"/>
        <v>6.048985953054177E-2</v>
      </c>
      <c r="BJ76" s="135">
        <f t="shared" si="214"/>
        <v>9.0410734906549425E-2</v>
      </c>
      <c r="BK76" s="135">
        <f t="shared" si="214"/>
        <v>5.593768785745791E-2</v>
      </c>
      <c r="BL76" s="140">
        <f t="shared" si="214"/>
        <v>5.593768785745791E-2</v>
      </c>
      <c r="BM76" s="137">
        <f t="shared" si="214"/>
        <v>4.5146841506899335E-2</v>
      </c>
      <c r="BN76" s="135">
        <f t="shared" si="214"/>
        <v>4.7364401397065888E-2</v>
      </c>
      <c r="BO76" s="135">
        <f t="shared" si="214"/>
        <v>4.7364401397065888E-2</v>
      </c>
      <c r="BP76" s="136">
        <f t="shared" si="214"/>
        <v>3.8778545073719327E-2</v>
      </c>
      <c r="BQ76" s="137">
        <f t="shared" si="214"/>
        <v>2.8117320478866038E-2</v>
      </c>
      <c r="BR76" s="135">
        <f t="shared" si="214"/>
        <v>1.5238535993846206E-2</v>
      </c>
      <c r="BS76" s="135">
        <f t="shared" si="214"/>
        <v>6.6526796704996496E-3</v>
      </c>
      <c r="BT76" s="136">
        <f t="shared" si="214"/>
        <v>4.4351197803330997E-3</v>
      </c>
      <c r="BU76" s="137">
        <f t="shared" si="214"/>
        <v>2.2175598901665499E-3</v>
      </c>
      <c r="BV76" s="135">
        <f t="shared" si="214"/>
        <v>2.2175598901665499E-3</v>
      </c>
      <c r="BW76" s="135">
        <f t="shared" si="214"/>
        <v>0</v>
      </c>
      <c r="BX76" s="139">
        <f t="shared" si="214"/>
        <v>0</v>
      </c>
      <c r="BY76" s="140">
        <f t="shared" si="214"/>
        <v>0</v>
      </c>
      <c r="BZ76" s="137">
        <f t="shared" si="214"/>
        <v>0</v>
      </c>
      <c r="CA76" s="135">
        <f t="shared" ref="CA76:DB76" si="215">SUMPRODUCT(($G$78:$G$91="P")*$F$78:$F$91*CA78:CA91)/$F$76</f>
        <v>0</v>
      </c>
      <c r="CB76" s="135">
        <f t="shared" si="215"/>
        <v>0</v>
      </c>
      <c r="CC76" s="136">
        <f t="shared" si="215"/>
        <v>0</v>
      </c>
      <c r="CD76" s="137">
        <f t="shared" si="215"/>
        <v>0</v>
      </c>
      <c r="CE76" s="135">
        <f t="shared" si="215"/>
        <v>0</v>
      </c>
      <c r="CF76" s="135">
        <f t="shared" si="215"/>
        <v>0</v>
      </c>
      <c r="CG76" s="136">
        <f t="shared" si="215"/>
        <v>0</v>
      </c>
      <c r="CH76" s="137">
        <f t="shared" si="215"/>
        <v>0</v>
      </c>
      <c r="CI76" s="135">
        <f t="shared" si="215"/>
        <v>0</v>
      </c>
      <c r="CJ76" s="135">
        <f t="shared" si="215"/>
        <v>0</v>
      </c>
      <c r="CK76" s="135">
        <f t="shared" si="215"/>
        <v>0</v>
      </c>
      <c r="CL76" s="140">
        <f t="shared" si="215"/>
        <v>0</v>
      </c>
      <c r="CM76" s="137">
        <f t="shared" si="215"/>
        <v>0</v>
      </c>
      <c r="CN76" s="135">
        <f t="shared" si="215"/>
        <v>0</v>
      </c>
      <c r="CO76" s="135">
        <f t="shared" si="215"/>
        <v>0</v>
      </c>
      <c r="CP76" s="136">
        <f t="shared" si="215"/>
        <v>0</v>
      </c>
      <c r="CQ76" s="133">
        <f t="shared" si="215"/>
        <v>0</v>
      </c>
      <c r="CR76" s="131">
        <f t="shared" si="215"/>
        <v>0</v>
      </c>
      <c r="CS76" s="131">
        <f t="shared" si="215"/>
        <v>0</v>
      </c>
      <c r="CT76" s="132">
        <f t="shared" si="215"/>
        <v>0</v>
      </c>
      <c r="CU76" s="133">
        <f t="shared" si="215"/>
        <v>0</v>
      </c>
      <c r="CV76" s="131">
        <f t="shared" si="215"/>
        <v>0</v>
      </c>
      <c r="CW76" s="131">
        <f t="shared" si="215"/>
        <v>0</v>
      </c>
      <c r="CX76" s="132">
        <f t="shared" si="215"/>
        <v>0</v>
      </c>
      <c r="CY76" s="133">
        <f t="shared" si="215"/>
        <v>0</v>
      </c>
      <c r="CZ76" s="131">
        <f t="shared" si="215"/>
        <v>0</v>
      </c>
      <c r="DA76" s="131">
        <f t="shared" si="215"/>
        <v>0</v>
      </c>
      <c r="DB76" s="132">
        <f t="shared" si="215"/>
        <v>0</v>
      </c>
      <c r="DC76" s="82"/>
      <c r="DD76" s="79"/>
      <c r="DE76" s="79"/>
    </row>
    <row r="77" spans="1:109" ht="24.95" customHeight="1" x14ac:dyDescent="0.55000000000000004">
      <c r="A77" s="282"/>
      <c r="B77" s="197">
        <f t="shared" ref="B77" si="216">B76</f>
        <v>1.6</v>
      </c>
      <c r="C77" s="283"/>
      <c r="D77" s="202" t="str">
        <f t="shared" ref="D77" si="217">D76</f>
        <v>External Work</v>
      </c>
      <c r="E77" s="39"/>
      <c r="F77" s="40">
        <f t="shared" ref="F77" si="218">E76</f>
        <v>7134397.0247208467</v>
      </c>
      <c r="G77" s="114" t="s">
        <v>42</v>
      </c>
      <c r="H77" s="185">
        <v>1</v>
      </c>
      <c r="I77" s="185"/>
      <c r="J77" s="185" t="s">
        <v>105</v>
      </c>
      <c r="K77" s="123">
        <f t="shared" si="194"/>
        <v>0</v>
      </c>
      <c r="L77" s="115">
        <f>L79+L81+L83+L85+L87+L89+L91</f>
        <v>0</v>
      </c>
      <c r="M77" s="141">
        <f t="shared" ref="M77:AR77" si="219">SUMPRODUCT(($G$78:$G$91="A")*$F$78:$F$91*M78:M91)/$F$76</f>
        <v>0</v>
      </c>
      <c r="N77" s="142">
        <f t="shared" si="219"/>
        <v>0</v>
      </c>
      <c r="O77" s="142">
        <f t="shared" si="219"/>
        <v>0</v>
      </c>
      <c r="P77" s="143">
        <f t="shared" si="219"/>
        <v>0</v>
      </c>
      <c r="Q77" s="144">
        <f t="shared" si="219"/>
        <v>0</v>
      </c>
      <c r="R77" s="142">
        <f t="shared" si="219"/>
        <v>0</v>
      </c>
      <c r="S77" s="142">
        <f t="shared" si="219"/>
        <v>0</v>
      </c>
      <c r="T77" s="143">
        <f t="shared" si="219"/>
        <v>0</v>
      </c>
      <c r="U77" s="145">
        <f t="shared" si="219"/>
        <v>0</v>
      </c>
      <c r="V77" s="142">
        <f t="shared" si="219"/>
        <v>0</v>
      </c>
      <c r="W77" s="142">
        <f t="shared" si="219"/>
        <v>0</v>
      </c>
      <c r="X77" s="143">
        <f t="shared" si="219"/>
        <v>0</v>
      </c>
      <c r="Y77" s="144">
        <f t="shared" si="219"/>
        <v>0</v>
      </c>
      <c r="Z77" s="142">
        <f t="shared" si="219"/>
        <v>0</v>
      </c>
      <c r="AA77" s="142">
        <f t="shared" si="219"/>
        <v>0</v>
      </c>
      <c r="AB77" s="146">
        <f t="shared" si="219"/>
        <v>0</v>
      </c>
      <c r="AC77" s="143">
        <f t="shared" si="219"/>
        <v>0</v>
      </c>
      <c r="AD77" s="144">
        <f t="shared" si="219"/>
        <v>0</v>
      </c>
      <c r="AE77" s="142">
        <f t="shared" si="219"/>
        <v>0</v>
      </c>
      <c r="AF77" s="142">
        <f t="shared" si="219"/>
        <v>0</v>
      </c>
      <c r="AG77" s="143">
        <f t="shared" si="219"/>
        <v>0</v>
      </c>
      <c r="AH77" s="145">
        <f t="shared" si="219"/>
        <v>0</v>
      </c>
      <c r="AI77" s="142">
        <f t="shared" si="219"/>
        <v>0</v>
      </c>
      <c r="AJ77" s="142">
        <f t="shared" si="219"/>
        <v>0</v>
      </c>
      <c r="AK77" s="142">
        <f t="shared" si="219"/>
        <v>0</v>
      </c>
      <c r="AL77" s="147">
        <f t="shared" si="219"/>
        <v>0</v>
      </c>
      <c r="AM77" s="144">
        <f t="shared" si="219"/>
        <v>0</v>
      </c>
      <c r="AN77" s="142">
        <f t="shared" si="219"/>
        <v>0</v>
      </c>
      <c r="AO77" s="142">
        <f t="shared" si="219"/>
        <v>0</v>
      </c>
      <c r="AP77" s="143">
        <f t="shared" si="219"/>
        <v>0</v>
      </c>
      <c r="AQ77" s="144">
        <f t="shared" si="219"/>
        <v>0</v>
      </c>
      <c r="AR77" s="142">
        <f t="shared" si="219"/>
        <v>0</v>
      </c>
      <c r="AS77" s="142">
        <f t="shared" ref="AS77:BX77" si="220">SUMPRODUCT(($G$78:$G$91="A")*$F$78:$F$91*AS78:AS91)/$F$76</f>
        <v>0</v>
      </c>
      <c r="AT77" s="143">
        <f t="shared" si="220"/>
        <v>0</v>
      </c>
      <c r="AU77" s="144">
        <f t="shared" si="220"/>
        <v>0</v>
      </c>
      <c r="AV77" s="142">
        <f t="shared" si="220"/>
        <v>0</v>
      </c>
      <c r="AW77" s="142">
        <f t="shared" si="220"/>
        <v>0</v>
      </c>
      <c r="AX77" s="142">
        <f t="shared" si="220"/>
        <v>0</v>
      </c>
      <c r="AY77" s="147">
        <f t="shared" si="220"/>
        <v>0</v>
      </c>
      <c r="AZ77" s="144">
        <f t="shared" si="220"/>
        <v>0</v>
      </c>
      <c r="BA77" s="142">
        <f t="shared" si="220"/>
        <v>0</v>
      </c>
      <c r="BB77" s="142">
        <f t="shared" si="220"/>
        <v>0</v>
      </c>
      <c r="BC77" s="146">
        <f t="shared" si="220"/>
        <v>0</v>
      </c>
      <c r="BD77" s="144">
        <f t="shared" si="220"/>
        <v>0</v>
      </c>
      <c r="BE77" s="142">
        <f t="shared" si="220"/>
        <v>0</v>
      </c>
      <c r="BF77" s="142">
        <f t="shared" si="220"/>
        <v>0</v>
      </c>
      <c r="BG77" s="143">
        <f t="shared" si="220"/>
        <v>0</v>
      </c>
      <c r="BH77" s="144">
        <f t="shared" si="220"/>
        <v>0</v>
      </c>
      <c r="BI77" s="142">
        <f t="shared" si="220"/>
        <v>0</v>
      </c>
      <c r="BJ77" s="142">
        <f t="shared" si="220"/>
        <v>0</v>
      </c>
      <c r="BK77" s="142">
        <f t="shared" si="220"/>
        <v>0</v>
      </c>
      <c r="BL77" s="147">
        <f t="shared" si="220"/>
        <v>0</v>
      </c>
      <c r="BM77" s="144">
        <f t="shared" si="220"/>
        <v>0</v>
      </c>
      <c r="BN77" s="142">
        <f t="shared" si="220"/>
        <v>0</v>
      </c>
      <c r="BO77" s="142">
        <f t="shared" si="220"/>
        <v>0</v>
      </c>
      <c r="BP77" s="143">
        <f t="shared" si="220"/>
        <v>0</v>
      </c>
      <c r="BQ77" s="144">
        <f t="shared" si="220"/>
        <v>0</v>
      </c>
      <c r="BR77" s="142">
        <f t="shared" si="220"/>
        <v>0</v>
      </c>
      <c r="BS77" s="142">
        <f t="shared" si="220"/>
        <v>0</v>
      </c>
      <c r="BT77" s="143">
        <f t="shared" si="220"/>
        <v>0</v>
      </c>
      <c r="BU77" s="144">
        <f t="shared" si="220"/>
        <v>0</v>
      </c>
      <c r="BV77" s="142">
        <f t="shared" si="220"/>
        <v>0</v>
      </c>
      <c r="BW77" s="142">
        <f t="shared" si="220"/>
        <v>0</v>
      </c>
      <c r="BX77" s="146">
        <f t="shared" si="220"/>
        <v>0</v>
      </c>
      <c r="BY77" s="147">
        <f t="shared" ref="BY77:DB77" si="221">SUMPRODUCT(($G$78:$G$91="A")*$F$78:$F$91*BY78:BY91)/$F$76</f>
        <v>0</v>
      </c>
      <c r="BZ77" s="144">
        <f t="shared" si="221"/>
        <v>0</v>
      </c>
      <c r="CA77" s="142">
        <f t="shared" si="221"/>
        <v>0</v>
      </c>
      <c r="CB77" s="142">
        <f t="shared" si="221"/>
        <v>0</v>
      </c>
      <c r="CC77" s="143">
        <f t="shared" si="221"/>
        <v>0</v>
      </c>
      <c r="CD77" s="144">
        <f t="shared" si="221"/>
        <v>0</v>
      </c>
      <c r="CE77" s="142">
        <f t="shared" si="221"/>
        <v>0</v>
      </c>
      <c r="CF77" s="142">
        <f t="shared" si="221"/>
        <v>0</v>
      </c>
      <c r="CG77" s="143">
        <f t="shared" si="221"/>
        <v>0</v>
      </c>
      <c r="CH77" s="144">
        <f t="shared" si="221"/>
        <v>0</v>
      </c>
      <c r="CI77" s="142">
        <f t="shared" si="221"/>
        <v>0</v>
      </c>
      <c r="CJ77" s="142">
        <f t="shared" si="221"/>
        <v>0</v>
      </c>
      <c r="CK77" s="142">
        <f t="shared" si="221"/>
        <v>0</v>
      </c>
      <c r="CL77" s="147">
        <f t="shared" si="221"/>
        <v>0</v>
      </c>
      <c r="CM77" s="144">
        <f t="shared" si="221"/>
        <v>0</v>
      </c>
      <c r="CN77" s="142">
        <f t="shared" si="221"/>
        <v>0</v>
      </c>
      <c r="CO77" s="142">
        <f t="shared" si="221"/>
        <v>0</v>
      </c>
      <c r="CP77" s="143">
        <f t="shared" si="221"/>
        <v>0</v>
      </c>
      <c r="CQ77" s="130">
        <f t="shared" si="221"/>
        <v>0</v>
      </c>
      <c r="CR77" s="128">
        <f t="shared" si="221"/>
        <v>0</v>
      </c>
      <c r="CS77" s="128">
        <f t="shared" si="221"/>
        <v>0</v>
      </c>
      <c r="CT77" s="129">
        <f t="shared" si="221"/>
        <v>0</v>
      </c>
      <c r="CU77" s="130">
        <f t="shared" si="221"/>
        <v>0</v>
      </c>
      <c r="CV77" s="128">
        <f t="shared" si="221"/>
        <v>0</v>
      </c>
      <c r="CW77" s="128">
        <f t="shared" si="221"/>
        <v>0</v>
      </c>
      <c r="CX77" s="129">
        <f t="shared" si="221"/>
        <v>0</v>
      </c>
      <c r="CY77" s="130">
        <f t="shared" si="221"/>
        <v>0</v>
      </c>
      <c r="CZ77" s="128">
        <f t="shared" si="221"/>
        <v>0</v>
      </c>
      <c r="DA77" s="128">
        <f t="shared" si="221"/>
        <v>0</v>
      </c>
      <c r="DB77" s="129">
        <f t="shared" si="221"/>
        <v>0</v>
      </c>
      <c r="DC77" s="80"/>
      <c r="DD77" s="79"/>
      <c r="DE77" s="79"/>
    </row>
    <row r="78" spans="1:109" ht="24.95" customHeight="1" outlineLevel="1" x14ac:dyDescent="0.55000000000000004">
      <c r="A78" s="284" t="s">
        <v>66</v>
      </c>
      <c r="B78" s="196" t="str">
        <f t="shared" ref="B78" si="222">A78</f>
        <v>1.6.1</v>
      </c>
      <c r="C78" s="285" t="s">
        <v>133</v>
      </c>
      <c r="D78" s="203" t="str">
        <f t="shared" ref="D78" si="223">C78</f>
        <v>WWTP</v>
      </c>
      <c r="E78" s="33">
        <v>592429.84990668099</v>
      </c>
      <c r="F78" s="34">
        <f t="shared" ref="F78" si="224">E78</f>
        <v>592429.84990668099</v>
      </c>
      <c r="G78" s="81" t="s">
        <v>41</v>
      </c>
      <c r="H78" s="189">
        <v>0</v>
      </c>
      <c r="I78" s="189"/>
      <c r="J78" s="189"/>
      <c r="K78" s="120">
        <f t="shared" si="194"/>
        <v>1</v>
      </c>
      <c r="L78" s="110">
        <f t="shared" ref="L78:L91" si="225">K78*F78</f>
        <v>592429.84990668099</v>
      </c>
      <c r="M78" s="134"/>
      <c r="N78" s="135"/>
      <c r="O78" s="135"/>
      <c r="P78" s="136"/>
      <c r="Q78" s="137"/>
      <c r="R78" s="135"/>
      <c r="S78" s="135"/>
      <c r="T78" s="136"/>
      <c r="U78" s="138"/>
      <c r="V78" s="135"/>
      <c r="W78" s="135"/>
      <c r="X78" s="136"/>
      <c r="Y78" s="137"/>
      <c r="Z78" s="135"/>
      <c r="AA78" s="135"/>
      <c r="AB78" s="139"/>
      <c r="AC78" s="136"/>
      <c r="AD78" s="137"/>
      <c r="AE78" s="135"/>
      <c r="AF78" s="135"/>
      <c r="AG78" s="136"/>
      <c r="AH78" s="155"/>
      <c r="AI78" s="149"/>
      <c r="AJ78" s="149"/>
      <c r="AK78" s="149"/>
      <c r="AL78" s="150"/>
      <c r="AM78" s="137"/>
      <c r="AN78" s="135"/>
      <c r="AO78" s="135"/>
      <c r="AP78" s="136"/>
      <c r="AQ78" s="137"/>
      <c r="AR78" s="135"/>
      <c r="AS78" s="135"/>
      <c r="AT78" s="136"/>
      <c r="AU78" s="151">
        <v>0.25</v>
      </c>
      <c r="AV78" s="152">
        <v>0.25</v>
      </c>
      <c r="AW78" s="152">
        <v>0.25</v>
      </c>
      <c r="AX78" s="152">
        <v>0.25</v>
      </c>
      <c r="AY78" s="140"/>
      <c r="AZ78" s="137"/>
      <c r="BA78" s="135"/>
      <c r="BB78" s="135"/>
      <c r="BC78" s="139"/>
      <c r="BD78" s="137"/>
      <c r="BE78" s="135"/>
      <c r="BF78" s="135"/>
      <c r="BG78" s="136"/>
      <c r="BH78" s="137"/>
      <c r="BI78" s="135"/>
      <c r="BJ78" s="135"/>
      <c r="BK78" s="135"/>
      <c r="BL78" s="140"/>
      <c r="BM78" s="137"/>
      <c r="BN78" s="135"/>
      <c r="BO78" s="135"/>
      <c r="BP78" s="136"/>
      <c r="BQ78" s="137"/>
      <c r="BR78" s="135"/>
      <c r="BS78" s="135"/>
      <c r="BT78" s="136"/>
      <c r="BU78" s="137"/>
      <c r="BV78" s="135"/>
      <c r="BW78" s="135"/>
      <c r="BX78" s="139"/>
      <c r="BY78" s="140"/>
      <c r="BZ78" s="137"/>
      <c r="CA78" s="135"/>
      <c r="CB78" s="135"/>
      <c r="CC78" s="136"/>
      <c r="CD78" s="137"/>
      <c r="CE78" s="135"/>
      <c r="CF78" s="135"/>
      <c r="CG78" s="136"/>
      <c r="CH78" s="137"/>
      <c r="CI78" s="135"/>
      <c r="CJ78" s="135"/>
      <c r="CK78" s="135"/>
      <c r="CL78" s="140"/>
      <c r="CM78" s="137"/>
      <c r="CN78" s="135"/>
      <c r="CO78" s="135"/>
      <c r="CP78" s="136"/>
      <c r="CQ78" s="133"/>
      <c r="CR78" s="131"/>
      <c r="CS78" s="131"/>
      <c r="CT78" s="132"/>
      <c r="CU78" s="133"/>
      <c r="CV78" s="131"/>
      <c r="CW78" s="131"/>
      <c r="CX78" s="132"/>
      <c r="CY78" s="133"/>
      <c r="CZ78" s="131"/>
      <c r="DA78" s="131"/>
      <c r="DB78" s="132"/>
      <c r="DC78" s="82"/>
      <c r="DD78" s="79"/>
      <c r="DE78" s="79"/>
    </row>
    <row r="79" spans="1:109" ht="24.95" customHeight="1" outlineLevel="1" x14ac:dyDescent="0.55000000000000004">
      <c r="A79" s="284"/>
      <c r="B79" s="196" t="str">
        <f t="shared" ref="B79" si="226">B78</f>
        <v>1.6.1</v>
      </c>
      <c r="C79" s="285"/>
      <c r="D79" s="203" t="str">
        <f t="shared" ref="D79" si="227">D78</f>
        <v>WWTP</v>
      </c>
      <c r="E79" s="33"/>
      <c r="F79" s="34">
        <f t="shared" ref="F79" si="228">E78</f>
        <v>592429.84990668099</v>
      </c>
      <c r="G79" s="83" t="s">
        <v>42</v>
      </c>
      <c r="H79" s="190">
        <v>0</v>
      </c>
      <c r="I79" s="190"/>
      <c r="J79" s="190"/>
      <c r="K79" s="121">
        <f t="shared" si="194"/>
        <v>0</v>
      </c>
      <c r="L79" s="111">
        <f t="shared" si="225"/>
        <v>0</v>
      </c>
      <c r="M79" s="142"/>
      <c r="N79" s="142"/>
      <c r="O79" s="142"/>
      <c r="P79" s="143"/>
      <c r="Q79" s="144"/>
      <c r="R79" s="142"/>
      <c r="S79" s="142"/>
      <c r="T79" s="143"/>
      <c r="U79" s="145"/>
      <c r="V79" s="142"/>
      <c r="W79" s="142"/>
      <c r="X79" s="143"/>
      <c r="Y79" s="144"/>
      <c r="Z79" s="142"/>
      <c r="AA79" s="154"/>
      <c r="AB79" s="146"/>
      <c r="AC79" s="143"/>
      <c r="AD79" s="144"/>
      <c r="AE79" s="142"/>
      <c r="AF79" s="142"/>
      <c r="AG79" s="143"/>
      <c r="AH79" s="166"/>
      <c r="AI79" s="163"/>
      <c r="AJ79" s="163"/>
      <c r="AK79" s="163"/>
      <c r="AL79" s="168"/>
      <c r="AM79" s="144"/>
      <c r="AN79" s="142"/>
      <c r="AO79" s="142"/>
      <c r="AP79" s="143"/>
      <c r="AQ79" s="144"/>
      <c r="AR79" s="142"/>
      <c r="AS79" s="142"/>
      <c r="AT79" s="143"/>
      <c r="AU79" s="144"/>
      <c r="AV79" s="142"/>
      <c r="AW79" s="142"/>
      <c r="AX79" s="142"/>
      <c r="AY79" s="147"/>
      <c r="AZ79" s="144"/>
      <c r="BA79" s="142"/>
      <c r="BB79" s="142"/>
      <c r="BC79" s="146"/>
      <c r="BD79" s="144"/>
      <c r="BE79" s="142"/>
      <c r="BF79" s="142"/>
      <c r="BG79" s="143"/>
      <c r="BH79" s="144"/>
      <c r="BI79" s="142"/>
      <c r="BJ79" s="142"/>
      <c r="BK79" s="142"/>
      <c r="BL79" s="147"/>
      <c r="BM79" s="144"/>
      <c r="BN79" s="142"/>
      <c r="BO79" s="142"/>
      <c r="BP79" s="143"/>
      <c r="BQ79" s="144"/>
      <c r="BR79" s="142"/>
      <c r="BS79" s="142"/>
      <c r="BT79" s="143"/>
      <c r="BU79" s="144"/>
      <c r="BV79" s="142"/>
      <c r="BW79" s="142"/>
      <c r="BX79" s="146"/>
      <c r="BY79" s="147"/>
      <c r="BZ79" s="144"/>
      <c r="CA79" s="142"/>
      <c r="CB79" s="142"/>
      <c r="CC79" s="143"/>
      <c r="CD79" s="144"/>
      <c r="CE79" s="142"/>
      <c r="CF79" s="142"/>
      <c r="CG79" s="143"/>
      <c r="CH79" s="144"/>
      <c r="CI79" s="142"/>
      <c r="CJ79" s="142"/>
      <c r="CK79" s="142"/>
      <c r="CL79" s="147"/>
      <c r="CM79" s="144"/>
      <c r="CN79" s="142"/>
      <c r="CO79" s="142"/>
      <c r="CP79" s="143"/>
      <c r="CQ79" s="130"/>
      <c r="CR79" s="128"/>
      <c r="CS79" s="128"/>
      <c r="CT79" s="129"/>
      <c r="CU79" s="130"/>
      <c r="CV79" s="128"/>
      <c r="CW79" s="128"/>
      <c r="CX79" s="129"/>
      <c r="CY79" s="130"/>
      <c r="CZ79" s="128"/>
      <c r="DA79" s="128"/>
      <c r="DB79" s="129"/>
      <c r="DC79" s="80"/>
      <c r="DD79" s="79"/>
      <c r="DE79" s="79"/>
    </row>
    <row r="80" spans="1:109" ht="24.95" customHeight="1" outlineLevel="1" x14ac:dyDescent="0.55000000000000004">
      <c r="A80" s="284" t="s">
        <v>67</v>
      </c>
      <c r="B80" s="196" t="str">
        <f t="shared" ref="B80" si="229">A80</f>
        <v>1.6.2</v>
      </c>
      <c r="C80" s="285" t="s">
        <v>117</v>
      </c>
      <c r="D80" s="203" t="str">
        <f t="shared" ref="D80" si="230">C80</f>
        <v>Greastrap Foundation</v>
      </c>
      <c r="E80" s="33">
        <v>42272.622750806899</v>
      </c>
      <c r="F80" s="34">
        <f t="shared" ref="F80" si="231">E80</f>
        <v>42272.622750806899</v>
      </c>
      <c r="G80" s="81" t="s">
        <v>41</v>
      </c>
      <c r="H80" s="189">
        <v>0</v>
      </c>
      <c r="I80" s="189"/>
      <c r="J80" s="189"/>
      <c r="K80" s="120">
        <f t="shared" si="194"/>
        <v>1</v>
      </c>
      <c r="L80" s="110">
        <f t="shared" si="225"/>
        <v>42272.622750806899</v>
      </c>
      <c r="M80" s="134"/>
      <c r="N80" s="135"/>
      <c r="O80" s="135"/>
      <c r="P80" s="136"/>
      <c r="Q80" s="137"/>
      <c r="R80" s="135"/>
      <c r="S80" s="135"/>
      <c r="T80" s="136"/>
      <c r="U80" s="138"/>
      <c r="V80" s="135"/>
      <c r="W80" s="135"/>
      <c r="X80" s="136"/>
      <c r="Y80" s="137"/>
      <c r="Z80" s="135"/>
      <c r="AA80" s="135"/>
      <c r="AB80" s="139"/>
      <c r="AC80" s="136"/>
      <c r="AD80" s="157"/>
      <c r="AE80" s="149"/>
      <c r="AF80" s="149"/>
      <c r="AG80" s="156"/>
      <c r="AH80" s="155"/>
      <c r="AI80" s="149"/>
      <c r="AJ80" s="149"/>
      <c r="AK80" s="149"/>
      <c r="AL80" s="150"/>
      <c r="AM80" s="137"/>
      <c r="AN80" s="135"/>
      <c r="AO80" s="135"/>
      <c r="AP80" s="136"/>
      <c r="AQ80" s="137"/>
      <c r="AR80" s="135"/>
      <c r="AS80" s="135"/>
      <c r="AT80" s="136"/>
      <c r="AU80" s="137"/>
      <c r="AV80" s="135"/>
      <c r="AW80" s="152">
        <v>0.25</v>
      </c>
      <c r="AX80" s="152">
        <v>0.25</v>
      </c>
      <c r="AY80" s="159">
        <v>0.25</v>
      </c>
      <c r="AZ80" s="151">
        <v>0.25</v>
      </c>
      <c r="BA80" s="135"/>
      <c r="BB80" s="135"/>
      <c r="BC80" s="139"/>
      <c r="BD80" s="137"/>
      <c r="BE80" s="135"/>
      <c r="BF80" s="135"/>
      <c r="BG80" s="136"/>
      <c r="BH80" s="137"/>
      <c r="BI80" s="135"/>
      <c r="BJ80" s="135"/>
      <c r="BK80" s="135"/>
      <c r="BL80" s="140"/>
      <c r="BM80" s="137"/>
      <c r="BN80" s="135"/>
      <c r="BO80" s="135"/>
      <c r="BP80" s="136"/>
      <c r="BQ80" s="137"/>
      <c r="BR80" s="135"/>
      <c r="BS80" s="135"/>
      <c r="BT80" s="136"/>
      <c r="BU80" s="137"/>
      <c r="BV80" s="135"/>
      <c r="BW80" s="135"/>
      <c r="BX80" s="139"/>
      <c r="BY80" s="140"/>
      <c r="BZ80" s="137"/>
      <c r="CA80" s="135"/>
      <c r="CB80" s="135"/>
      <c r="CC80" s="136"/>
      <c r="CD80" s="137"/>
      <c r="CE80" s="135"/>
      <c r="CF80" s="135"/>
      <c r="CG80" s="136"/>
      <c r="CH80" s="137"/>
      <c r="CI80" s="135"/>
      <c r="CJ80" s="135"/>
      <c r="CK80" s="135"/>
      <c r="CL80" s="140"/>
      <c r="CM80" s="137"/>
      <c r="CN80" s="135"/>
      <c r="CO80" s="135"/>
      <c r="CP80" s="136"/>
      <c r="CQ80" s="133"/>
      <c r="CR80" s="131"/>
      <c r="CS80" s="131"/>
      <c r="CT80" s="132"/>
      <c r="CU80" s="133"/>
      <c r="CV80" s="131"/>
      <c r="CW80" s="131"/>
      <c r="CX80" s="132"/>
      <c r="CY80" s="133"/>
      <c r="CZ80" s="131"/>
      <c r="DA80" s="131"/>
      <c r="DB80" s="132"/>
      <c r="DC80" s="82"/>
      <c r="DD80" s="79"/>
      <c r="DE80" s="79"/>
    </row>
    <row r="81" spans="1:109" ht="24.95" customHeight="1" outlineLevel="1" x14ac:dyDescent="0.55000000000000004">
      <c r="A81" s="284"/>
      <c r="B81" s="196" t="str">
        <f t="shared" ref="B81" si="232">B80</f>
        <v>1.6.2</v>
      </c>
      <c r="C81" s="285"/>
      <c r="D81" s="203" t="str">
        <f t="shared" ref="D81" si="233">D80</f>
        <v>Greastrap Foundation</v>
      </c>
      <c r="E81" s="33"/>
      <c r="F81" s="34">
        <f t="shared" ref="F81" si="234">E80</f>
        <v>42272.622750806899</v>
      </c>
      <c r="G81" s="83" t="s">
        <v>42</v>
      </c>
      <c r="H81" s="190">
        <v>0</v>
      </c>
      <c r="I81" s="190"/>
      <c r="J81" s="190"/>
      <c r="K81" s="121">
        <f t="shared" si="194"/>
        <v>0</v>
      </c>
      <c r="L81" s="111">
        <f t="shared" si="225"/>
        <v>0</v>
      </c>
      <c r="M81" s="141"/>
      <c r="N81" s="142"/>
      <c r="O81" s="142"/>
      <c r="P81" s="143"/>
      <c r="Q81" s="144"/>
      <c r="R81" s="142"/>
      <c r="S81" s="142"/>
      <c r="T81" s="143"/>
      <c r="U81" s="145"/>
      <c r="V81" s="142"/>
      <c r="W81" s="142"/>
      <c r="X81" s="143"/>
      <c r="Y81" s="144"/>
      <c r="Z81" s="142"/>
      <c r="AA81" s="154"/>
      <c r="AB81" s="146"/>
      <c r="AC81" s="143"/>
      <c r="AD81" s="165"/>
      <c r="AE81" s="163"/>
      <c r="AF81" s="163"/>
      <c r="AG81" s="164"/>
      <c r="AH81" s="166"/>
      <c r="AI81" s="163"/>
      <c r="AJ81" s="163"/>
      <c r="AK81" s="163"/>
      <c r="AL81" s="168"/>
      <c r="AM81" s="144"/>
      <c r="AN81" s="142"/>
      <c r="AO81" s="142"/>
      <c r="AP81" s="143"/>
      <c r="AQ81" s="144"/>
      <c r="AR81" s="142"/>
      <c r="AS81" s="142"/>
      <c r="AT81" s="143"/>
      <c r="AU81" s="144"/>
      <c r="AV81" s="142"/>
      <c r="AW81" s="142"/>
      <c r="AX81" s="142"/>
      <c r="AY81" s="147"/>
      <c r="AZ81" s="144"/>
      <c r="BA81" s="142"/>
      <c r="BB81" s="142"/>
      <c r="BC81" s="146"/>
      <c r="BD81" s="144"/>
      <c r="BE81" s="142"/>
      <c r="BF81" s="142"/>
      <c r="BG81" s="143"/>
      <c r="BH81" s="144"/>
      <c r="BI81" s="142"/>
      <c r="BJ81" s="142"/>
      <c r="BK81" s="142"/>
      <c r="BL81" s="147"/>
      <c r="BM81" s="144"/>
      <c r="BN81" s="142"/>
      <c r="BO81" s="142"/>
      <c r="BP81" s="143"/>
      <c r="BQ81" s="144"/>
      <c r="BR81" s="142"/>
      <c r="BS81" s="142"/>
      <c r="BT81" s="143"/>
      <c r="BU81" s="144"/>
      <c r="BV81" s="142"/>
      <c r="BW81" s="142"/>
      <c r="BX81" s="146"/>
      <c r="BY81" s="147"/>
      <c r="BZ81" s="144"/>
      <c r="CA81" s="142"/>
      <c r="CB81" s="142"/>
      <c r="CC81" s="143"/>
      <c r="CD81" s="144"/>
      <c r="CE81" s="142"/>
      <c r="CF81" s="142"/>
      <c r="CG81" s="143"/>
      <c r="CH81" s="144"/>
      <c r="CI81" s="142"/>
      <c r="CJ81" s="142"/>
      <c r="CK81" s="142"/>
      <c r="CL81" s="147"/>
      <c r="CM81" s="144"/>
      <c r="CN81" s="142"/>
      <c r="CO81" s="142"/>
      <c r="CP81" s="143"/>
      <c r="CQ81" s="130"/>
      <c r="CR81" s="128"/>
      <c r="CS81" s="128"/>
      <c r="CT81" s="129"/>
      <c r="CU81" s="130"/>
      <c r="CV81" s="128"/>
      <c r="CW81" s="128"/>
      <c r="CX81" s="129"/>
      <c r="CY81" s="130"/>
      <c r="CZ81" s="128"/>
      <c r="DA81" s="128"/>
      <c r="DB81" s="129"/>
      <c r="DC81" s="80"/>
      <c r="DD81" s="79"/>
      <c r="DE81" s="79"/>
    </row>
    <row r="82" spans="1:109" ht="24.95" customHeight="1" outlineLevel="1" x14ac:dyDescent="0.55000000000000004">
      <c r="A82" s="284" t="s">
        <v>68</v>
      </c>
      <c r="B82" s="196" t="str">
        <f t="shared" ref="B82" si="235">A82</f>
        <v>1.6.3</v>
      </c>
      <c r="C82" s="285" t="s">
        <v>134</v>
      </c>
      <c r="D82" s="203" t="str">
        <f t="shared" ref="D82" si="236">C82</f>
        <v>WWT</v>
      </c>
      <c r="E82" s="33">
        <v>927578.61846687598</v>
      </c>
      <c r="F82" s="34">
        <f t="shared" ref="F82" si="237">E82</f>
        <v>927578.61846687598</v>
      </c>
      <c r="G82" s="81" t="s">
        <v>41</v>
      </c>
      <c r="H82" s="189">
        <v>0</v>
      </c>
      <c r="I82" s="189"/>
      <c r="J82" s="189"/>
      <c r="K82" s="120">
        <f t="shared" si="194"/>
        <v>1</v>
      </c>
      <c r="L82" s="110">
        <f t="shared" si="225"/>
        <v>927578.61846687598</v>
      </c>
      <c r="M82" s="134"/>
      <c r="N82" s="135"/>
      <c r="O82" s="135"/>
      <c r="P82" s="136"/>
      <c r="Q82" s="137"/>
      <c r="R82" s="135"/>
      <c r="S82" s="135"/>
      <c r="T82" s="136"/>
      <c r="U82" s="138"/>
      <c r="V82" s="135"/>
      <c r="W82" s="135"/>
      <c r="X82" s="136"/>
      <c r="Y82" s="137"/>
      <c r="Z82" s="135"/>
      <c r="AA82" s="135"/>
      <c r="AB82" s="139"/>
      <c r="AC82" s="136"/>
      <c r="AD82" s="157"/>
      <c r="AE82" s="149"/>
      <c r="AF82" s="149"/>
      <c r="AG82" s="156"/>
      <c r="AH82" s="155"/>
      <c r="AI82" s="149"/>
      <c r="AJ82" s="149"/>
      <c r="AK82" s="149"/>
      <c r="AL82" s="150"/>
      <c r="AM82" s="137"/>
      <c r="AN82" s="135"/>
      <c r="AO82" s="135"/>
      <c r="AP82" s="136"/>
      <c r="AQ82" s="137"/>
      <c r="AR82" s="135"/>
      <c r="AS82" s="135"/>
      <c r="AT82" s="136"/>
      <c r="AU82" s="137"/>
      <c r="AV82" s="135"/>
      <c r="AW82" s="135"/>
      <c r="AX82" s="135"/>
      <c r="AY82" s="159">
        <v>0.25</v>
      </c>
      <c r="AZ82" s="151">
        <v>0.25</v>
      </c>
      <c r="BA82" s="152">
        <v>0.25</v>
      </c>
      <c r="BB82" s="152">
        <v>0.25</v>
      </c>
      <c r="BC82" s="139"/>
      <c r="BD82" s="137"/>
      <c r="BE82" s="135"/>
      <c r="BF82" s="135"/>
      <c r="BG82" s="136"/>
      <c r="BH82" s="137"/>
      <c r="BI82" s="135"/>
      <c r="BJ82" s="135"/>
      <c r="BK82" s="135"/>
      <c r="BL82" s="140"/>
      <c r="BM82" s="137"/>
      <c r="BN82" s="135"/>
      <c r="BO82" s="135"/>
      <c r="BP82" s="136"/>
      <c r="BQ82" s="137"/>
      <c r="BR82" s="135"/>
      <c r="BS82" s="135"/>
      <c r="BT82" s="136"/>
      <c r="BU82" s="137"/>
      <c r="BV82" s="135"/>
      <c r="BW82" s="135"/>
      <c r="BX82" s="139"/>
      <c r="BY82" s="140"/>
      <c r="BZ82" s="137"/>
      <c r="CA82" s="135"/>
      <c r="CB82" s="135"/>
      <c r="CC82" s="136"/>
      <c r="CD82" s="137"/>
      <c r="CE82" s="135"/>
      <c r="CF82" s="135"/>
      <c r="CG82" s="136"/>
      <c r="CH82" s="137"/>
      <c r="CI82" s="135"/>
      <c r="CJ82" s="135"/>
      <c r="CK82" s="135"/>
      <c r="CL82" s="140"/>
      <c r="CM82" s="137"/>
      <c r="CN82" s="135"/>
      <c r="CO82" s="135"/>
      <c r="CP82" s="136"/>
      <c r="CQ82" s="133"/>
      <c r="CR82" s="131"/>
      <c r="CS82" s="131"/>
      <c r="CT82" s="132"/>
      <c r="CU82" s="133"/>
      <c r="CV82" s="131"/>
      <c r="CW82" s="131"/>
      <c r="CX82" s="132"/>
      <c r="CY82" s="133"/>
      <c r="CZ82" s="131"/>
      <c r="DA82" s="131"/>
      <c r="DB82" s="132"/>
      <c r="DC82" s="82"/>
      <c r="DD82" s="79"/>
      <c r="DE82" s="79"/>
    </row>
    <row r="83" spans="1:109" ht="24.95" customHeight="1" outlineLevel="1" x14ac:dyDescent="0.55000000000000004">
      <c r="A83" s="284"/>
      <c r="B83" s="196" t="str">
        <f t="shared" ref="B83" si="238">B82</f>
        <v>1.6.3</v>
      </c>
      <c r="C83" s="285"/>
      <c r="D83" s="203" t="str">
        <f t="shared" ref="D83" si="239">D82</f>
        <v>WWT</v>
      </c>
      <c r="E83" s="33"/>
      <c r="F83" s="34">
        <f t="shared" ref="F83" si="240">E82</f>
        <v>927578.61846687598</v>
      </c>
      <c r="G83" s="83" t="s">
        <v>42</v>
      </c>
      <c r="H83" s="190">
        <v>0</v>
      </c>
      <c r="I83" s="190"/>
      <c r="J83" s="190"/>
      <c r="K83" s="121">
        <f t="shared" si="194"/>
        <v>0</v>
      </c>
      <c r="L83" s="111">
        <f t="shared" si="225"/>
        <v>0</v>
      </c>
      <c r="M83" s="141"/>
      <c r="N83" s="142"/>
      <c r="O83" s="142"/>
      <c r="P83" s="143"/>
      <c r="Q83" s="144"/>
      <c r="R83" s="142"/>
      <c r="S83" s="142"/>
      <c r="T83" s="143"/>
      <c r="U83" s="145"/>
      <c r="V83" s="142"/>
      <c r="W83" s="142"/>
      <c r="X83" s="143"/>
      <c r="Y83" s="144"/>
      <c r="Z83" s="142"/>
      <c r="AA83" s="154"/>
      <c r="AB83" s="146"/>
      <c r="AC83" s="143"/>
      <c r="AD83" s="165"/>
      <c r="AE83" s="163"/>
      <c r="AF83" s="163"/>
      <c r="AG83" s="164"/>
      <c r="AH83" s="166"/>
      <c r="AI83" s="163"/>
      <c r="AJ83" s="163"/>
      <c r="AK83" s="163"/>
      <c r="AL83" s="168"/>
      <c r="AM83" s="144"/>
      <c r="AN83" s="142"/>
      <c r="AO83" s="142"/>
      <c r="AP83" s="143"/>
      <c r="AQ83" s="144"/>
      <c r="AR83" s="142"/>
      <c r="AS83" s="142"/>
      <c r="AT83" s="143"/>
      <c r="AU83" s="144"/>
      <c r="AV83" s="142"/>
      <c r="AW83" s="142"/>
      <c r="AX83" s="142"/>
      <c r="AY83" s="147"/>
      <c r="AZ83" s="144"/>
      <c r="BA83" s="142"/>
      <c r="BB83" s="142"/>
      <c r="BC83" s="146"/>
      <c r="BD83" s="144"/>
      <c r="BE83" s="142"/>
      <c r="BF83" s="142"/>
      <c r="BG83" s="143"/>
      <c r="BH83" s="144"/>
      <c r="BI83" s="142"/>
      <c r="BJ83" s="142"/>
      <c r="BK83" s="142"/>
      <c r="BL83" s="147"/>
      <c r="BM83" s="144"/>
      <c r="BN83" s="142"/>
      <c r="BO83" s="142"/>
      <c r="BP83" s="143"/>
      <c r="BQ83" s="144"/>
      <c r="BR83" s="142"/>
      <c r="BS83" s="142"/>
      <c r="BT83" s="143"/>
      <c r="BU83" s="144"/>
      <c r="BV83" s="142"/>
      <c r="BW83" s="142"/>
      <c r="BX83" s="146"/>
      <c r="BY83" s="147"/>
      <c r="BZ83" s="144"/>
      <c r="CA83" s="142"/>
      <c r="CB83" s="142"/>
      <c r="CC83" s="143"/>
      <c r="CD83" s="144"/>
      <c r="CE83" s="142"/>
      <c r="CF83" s="142"/>
      <c r="CG83" s="143"/>
      <c r="CH83" s="144"/>
      <c r="CI83" s="142"/>
      <c r="CJ83" s="142"/>
      <c r="CK83" s="142"/>
      <c r="CL83" s="147"/>
      <c r="CM83" s="144"/>
      <c r="CN83" s="142"/>
      <c r="CO83" s="142"/>
      <c r="CP83" s="143"/>
      <c r="CQ83" s="130"/>
      <c r="CR83" s="128"/>
      <c r="CS83" s="128"/>
      <c r="CT83" s="129"/>
      <c r="CU83" s="130"/>
      <c r="CV83" s="128"/>
      <c r="CW83" s="128"/>
      <c r="CX83" s="129"/>
      <c r="CY83" s="130"/>
      <c r="CZ83" s="128"/>
      <c r="DA83" s="128"/>
      <c r="DB83" s="129"/>
      <c r="DC83" s="80"/>
      <c r="DD83" s="79"/>
      <c r="DE83" s="79"/>
    </row>
    <row r="84" spans="1:109" ht="24.95" customHeight="1" outlineLevel="1" x14ac:dyDescent="0.55000000000000004">
      <c r="A84" s="284" t="s">
        <v>69</v>
      </c>
      <c r="B84" s="196" t="str">
        <f t="shared" ref="B84" si="241">A84</f>
        <v>1.6.5</v>
      </c>
      <c r="C84" s="285" t="s">
        <v>135</v>
      </c>
      <c r="D84" s="203" t="str">
        <f t="shared" ref="D84" si="242">C84</f>
        <v>Drainage System</v>
      </c>
      <c r="E84" s="33">
        <v>336808.7939435874</v>
      </c>
      <c r="F84" s="34">
        <f t="shared" ref="F84" si="243">E84</f>
        <v>336808.7939435874</v>
      </c>
      <c r="G84" s="81" t="s">
        <v>41</v>
      </c>
      <c r="H84" s="189">
        <v>0</v>
      </c>
      <c r="I84" s="189"/>
      <c r="J84" s="189"/>
      <c r="K84" s="120">
        <f t="shared" si="194"/>
        <v>1</v>
      </c>
      <c r="L84" s="110">
        <f t="shared" si="225"/>
        <v>336808.7939435874</v>
      </c>
      <c r="M84" s="134"/>
      <c r="N84" s="135"/>
      <c r="O84" s="135"/>
      <c r="P84" s="136"/>
      <c r="Q84" s="137"/>
      <c r="R84" s="135"/>
      <c r="S84" s="135"/>
      <c r="T84" s="136"/>
      <c r="U84" s="138"/>
      <c r="V84" s="135"/>
      <c r="W84" s="135"/>
      <c r="X84" s="136"/>
      <c r="Y84" s="137"/>
      <c r="Z84" s="135"/>
      <c r="AA84" s="135"/>
      <c r="AB84" s="139"/>
      <c r="AC84" s="136"/>
      <c r="AD84" s="137"/>
      <c r="AE84" s="135"/>
      <c r="AF84" s="135"/>
      <c r="AG84" s="136"/>
      <c r="AH84" s="138"/>
      <c r="AI84" s="135"/>
      <c r="AJ84" s="135"/>
      <c r="AK84" s="135"/>
      <c r="AL84" s="140"/>
      <c r="AM84" s="137"/>
      <c r="AN84" s="135"/>
      <c r="AO84" s="135"/>
      <c r="AP84" s="136"/>
      <c r="AQ84" s="137"/>
      <c r="AR84" s="135"/>
      <c r="AS84" s="135"/>
      <c r="AT84" s="136"/>
      <c r="AU84" s="157"/>
      <c r="AV84" s="149"/>
      <c r="AW84" s="149">
        <v>0.05</v>
      </c>
      <c r="AX84" s="149">
        <v>0.05</v>
      </c>
      <c r="AY84" s="150">
        <v>0.05</v>
      </c>
      <c r="AZ84" s="157">
        <v>0.1</v>
      </c>
      <c r="BA84" s="149">
        <v>0.1</v>
      </c>
      <c r="BB84" s="149">
        <v>0.1</v>
      </c>
      <c r="BC84" s="158">
        <v>0.15</v>
      </c>
      <c r="BD84" s="137">
        <v>0.15</v>
      </c>
      <c r="BE84" s="135">
        <v>0.1</v>
      </c>
      <c r="BF84" s="135">
        <v>0.1</v>
      </c>
      <c r="BG84" s="136">
        <v>0.05</v>
      </c>
      <c r="BH84" s="137"/>
      <c r="BI84" s="135"/>
      <c r="BJ84" s="135"/>
      <c r="BK84" s="135"/>
      <c r="BL84" s="140"/>
      <c r="BM84" s="137"/>
      <c r="BN84" s="135"/>
      <c r="BO84" s="135"/>
      <c r="BP84" s="136"/>
      <c r="BQ84" s="137"/>
      <c r="BR84" s="135"/>
      <c r="BS84" s="135"/>
      <c r="BT84" s="136"/>
      <c r="BU84" s="137"/>
      <c r="BV84" s="135"/>
      <c r="BW84" s="135"/>
      <c r="BX84" s="139"/>
      <c r="BY84" s="140"/>
      <c r="BZ84" s="137"/>
      <c r="CA84" s="135"/>
      <c r="CB84" s="135"/>
      <c r="CC84" s="136"/>
      <c r="CD84" s="137"/>
      <c r="CE84" s="135"/>
      <c r="CF84" s="135"/>
      <c r="CG84" s="136"/>
      <c r="CH84" s="137"/>
      <c r="CI84" s="135"/>
      <c r="CJ84" s="135"/>
      <c r="CK84" s="135"/>
      <c r="CL84" s="140"/>
      <c r="CM84" s="137"/>
      <c r="CN84" s="135"/>
      <c r="CO84" s="135"/>
      <c r="CP84" s="136"/>
      <c r="CQ84" s="133"/>
      <c r="CR84" s="131"/>
      <c r="CS84" s="131"/>
      <c r="CT84" s="132"/>
      <c r="CU84" s="133"/>
      <c r="CV84" s="131"/>
      <c r="CW84" s="131"/>
      <c r="CX84" s="132"/>
      <c r="CY84" s="133"/>
      <c r="CZ84" s="131"/>
      <c r="DA84" s="131"/>
      <c r="DB84" s="132"/>
      <c r="DC84" s="82"/>
      <c r="DD84" s="79"/>
      <c r="DE84" s="79"/>
    </row>
    <row r="85" spans="1:109" ht="24.95" customHeight="1" outlineLevel="1" x14ac:dyDescent="0.55000000000000004">
      <c r="A85" s="284"/>
      <c r="B85" s="196" t="str">
        <f t="shared" ref="B85" si="244">B84</f>
        <v>1.6.5</v>
      </c>
      <c r="C85" s="285"/>
      <c r="D85" s="203" t="str">
        <f t="shared" ref="D85" si="245">D84</f>
        <v>Drainage System</v>
      </c>
      <c r="E85" s="33"/>
      <c r="F85" s="34">
        <f t="shared" ref="F85" si="246">E84</f>
        <v>336808.7939435874</v>
      </c>
      <c r="G85" s="83" t="s">
        <v>42</v>
      </c>
      <c r="H85" s="190">
        <v>0</v>
      </c>
      <c r="I85" s="190"/>
      <c r="J85" s="190"/>
      <c r="K85" s="121">
        <f t="shared" si="194"/>
        <v>0</v>
      </c>
      <c r="L85" s="111">
        <f t="shared" si="225"/>
        <v>0</v>
      </c>
      <c r="M85" s="141"/>
      <c r="N85" s="142"/>
      <c r="O85" s="142"/>
      <c r="P85" s="143"/>
      <c r="Q85" s="144"/>
      <c r="R85" s="142"/>
      <c r="S85" s="142"/>
      <c r="T85" s="143"/>
      <c r="U85" s="145"/>
      <c r="V85" s="142"/>
      <c r="W85" s="142"/>
      <c r="X85" s="143"/>
      <c r="Y85" s="144"/>
      <c r="Z85" s="142"/>
      <c r="AA85" s="142"/>
      <c r="AB85" s="146"/>
      <c r="AC85" s="143"/>
      <c r="AD85" s="144"/>
      <c r="AE85" s="142"/>
      <c r="AF85" s="142"/>
      <c r="AG85" s="143"/>
      <c r="AH85" s="145"/>
      <c r="AI85" s="142"/>
      <c r="AJ85" s="142"/>
      <c r="AK85" s="142"/>
      <c r="AL85" s="147"/>
      <c r="AM85" s="144"/>
      <c r="AN85" s="142"/>
      <c r="AO85" s="142"/>
      <c r="AP85" s="143"/>
      <c r="AQ85" s="144"/>
      <c r="AR85" s="142"/>
      <c r="AS85" s="154"/>
      <c r="AT85" s="143"/>
      <c r="AU85" s="165"/>
      <c r="AV85" s="163"/>
      <c r="AW85" s="163"/>
      <c r="AX85" s="163"/>
      <c r="AY85" s="168"/>
      <c r="AZ85" s="165"/>
      <c r="BA85" s="163"/>
      <c r="BB85" s="163"/>
      <c r="BC85" s="167"/>
      <c r="BD85" s="144"/>
      <c r="BE85" s="142"/>
      <c r="BF85" s="142"/>
      <c r="BG85" s="143"/>
      <c r="BH85" s="144"/>
      <c r="BI85" s="142"/>
      <c r="BJ85" s="142"/>
      <c r="BK85" s="142"/>
      <c r="BL85" s="147"/>
      <c r="BM85" s="144"/>
      <c r="BN85" s="142"/>
      <c r="BO85" s="142"/>
      <c r="BP85" s="143"/>
      <c r="BQ85" s="144"/>
      <c r="BR85" s="142"/>
      <c r="BS85" s="142"/>
      <c r="BT85" s="143"/>
      <c r="BU85" s="144"/>
      <c r="BV85" s="142"/>
      <c r="BW85" s="142"/>
      <c r="BX85" s="146"/>
      <c r="BY85" s="147"/>
      <c r="BZ85" s="144"/>
      <c r="CA85" s="142"/>
      <c r="CB85" s="142"/>
      <c r="CC85" s="143"/>
      <c r="CD85" s="144"/>
      <c r="CE85" s="142"/>
      <c r="CF85" s="142"/>
      <c r="CG85" s="143"/>
      <c r="CH85" s="144"/>
      <c r="CI85" s="142"/>
      <c r="CJ85" s="142"/>
      <c r="CK85" s="142"/>
      <c r="CL85" s="147"/>
      <c r="CM85" s="144"/>
      <c r="CN85" s="142"/>
      <c r="CO85" s="142"/>
      <c r="CP85" s="143"/>
      <c r="CQ85" s="130"/>
      <c r="CR85" s="128"/>
      <c r="CS85" s="128"/>
      <c r="CT85" s="129"/>
      <c r="CU85" s="130"/>
      <c r="CV85" s="128"/>
      <c r="CW85" s="128"/>
      <c r="CX85" s="129"/>
      <c r="CY85" s="130"/>
      <c r="CZ85" s="128"/>
      <c r="DA85" s="128"/>
      <c r="DB85" s="129"/>
      <c r="DC85" s="80"/>
      <c r="DD85" s="79"/>
      <c r="DE85" s="79"/>
    </row>
    <row r="86" spans="1:109" ht="24.95" customHeight="1" outlineLevel="1" x14ac:dyDescent="0.55000000000000004">
      <c r="A86" s="284" t="s">
        <v>70</v>
      </c>
      <c r="B86" s="196" t="str">
        <f t="shared" ref="B86" si="247">A86</f>
        <v>1.6.6</v>
      </c>
      <c r="C86" s="285" t="s">
        <v>124</v>
      </c>
      <c r="D86" s="203" t="str">
        <f t="shared" ref="D86" si="248">C86</f>
        <v>EE/Communication</v>
      </c>
      <c r="E86" s="33">
        <v>1856142.6956037888</v>
      </c>
      <c r="F86" s="34">
        <f t="shared" ref="F86" si="249">E86</f>
        <v>1856142.6956037888</v>
      </c>
      <c r="G86" s="81" t="s">
        <v>41</v>
      </c>
      <c r="H86" s="189">
        <v>0</v>
      </c>
      <c r="I86" s="189"/>
      <c r="J86" s="189"/>
      <c r="K86" s="120">
        <f t="shared" si="194"/>
        <v>1</v>
      </c>
      <c r="L86" s="110">
        <f t="shared" si="225"/>
        <v>1856142.6956037888</v>
      </c>
      <c r="M86" s="134"/>
      <c r="N86" s="135"/>
      <c r="O86" s="135"/>
      <c r="P86" s="136"/>
      <c r="Q86" s="137"/>
      <c r="R86" s="135"/>
      <c r="S86" s="135"/>
      <c r="T86" s="136"/>
      <c r="U86" s="138"/>
      <c r="V86" s="135"/>
      <c r="W86" s="135"/>
      <c r="X86" s="136"/>
      <c r="Y86" s="137"/>
      <c r="Z86" s="135"/>
      <c r="AA86" s="174"/>
      <c r="AB86" s="139"/>
      <c r="AC86" s="136"/>
      <c r="AD86" s="137"/>
      <c r="AE86" s="135"/>
      <c r="AF86" s="135"/>
      <c r="AG86" s="136"/>
      <c r="AH86" s="138"/>
      <c r="AI86" s="135"/>
      <c r="AJ86" s="135"/>
      <c r="AK86" s="135"/>
      <c r="AL86" s="140"/>
      <c r="AM86" s="137"/>
      <c r="AN86" s="135"/>
      <c r="AO86" s="135"/>
      <c r="AP86" s="136"/>
      <c r="AQ86" s="157"/>
      <c r="AR86" s="149"/>
      <c r="AS86" s="149"/>
      <c r="AT86" s="156"/>
      <c r="AU86" s="157"/>
      <c r="AV86" s="149"/>
      <c r="AW86" s="149"/>
      <c r="AX86" s="149"/>
      <c r="AY86" s="150"/>
      <c r="AZ86" s="157"/>
      <c r="BA86" s="149"/>
      <c r="BB86" s="149"/>
      <c r="BC86" s="171">
        <v>0.08</v>
      </c>
      <c r="BD86" s="151">
        <v>0.08</v>
      </c>
      <c r="BE86" s="152">
        <v>0.08</v>
      </c>
      <c r="BF86" s="152">
        <v>0.11</v>
      </c>
      <c r="BG86" s="153">
        <v>0.15</v>
      </c>
      <c r="BH86" s="151">
        <v>0.15</v>
      </c>
      <c r="BI86" s="152">
        <v>0.15</v>
      </c>
      <c r="BJ86" s="152">
        <v>0.1</v>
      </c>
      <c r="BK86" s="152">
        <v>0.05</v>
      </c>
      <c r="BL86" s="159">
        <v>0.05</v>
      </c>
      <c r="BM86" s="137"/>
      <c r="BN86" s="135"/>
      <c r="BO86" s="135"/>
      <c r="BP86" s="136"/>
      <c r="BQ86" s="137"/>
      <c r="BR86" s="135"/>
      <c r="BS86" s="135"/>
      <c r="BT86" s="136"/>
      <c r="BU86" s="137"/>
      <c r="BV86" s="135"/>
      <c r="BW86" s="135"/>
      <c r="BX86" s="139"/>
      <c r="BY86" s="140"/>
      <c r="BZ86" s="137"/>
      <c r="CA86" s="135"/>
      <c r="CB86" s="135"/>
      <c r="CC86" s="136"/>
      <c r="CD86" s="137"/>
      <c r="CE86" s="135"/>
      <c r="CF86" s="135"/>
      <c r="CG86" s="136"/>
      <c r="CH86" s="137"/>
      <c r="CI86" s="135"/>
      <c r="CJ86" s="135"/>
      <c r="CK86" s="135"/>
      <c r="CL86" s="140"/>
      <c r="CM86" s="137"/>
      <c r="CN86" s="135"/>
      <c r="CO86" s="135"/>
      <c r="CP86" s="136"/>
      <c r="CQ86" s="133"/>
      <c r="CR86" s="131"/>
      <c r="CS86" s="131"/>
      <c r="CT86" s="132"/>
      <c r="CU86" s="133"/>
      <c r="CV86" s="131"/>
      <c r="CW86" s="131"/>
      <c r="CX86" s="132"/>
      <c r="CY86" s="133"/>
      <c r="CZ86" s="131"/>
      <c r="DA86" s="131"/>
      <c r="DB86" s="132"/>
      <c r="DC86" s="82"/>
      <c r="DD86" s="79"/>
      <c r="DE86" s="79"/>
    </row>
    <row r="87" spans="1:109" ht="24.95" customHeight="1" outlineLevel="1" x14ac:dyDescent="0.55000000000000004">
      <c r="A87" s="284"/>
      <c r="B87" s="196" t="str">
        <f t="shared" ref="B87" si="250">B86</f>
        <v>1.6.6</v>
      </c>
      <c r="C87" s="285"/>
      <c r="D87" s="203" t="str">
        <f t="shared" ref="D87" si="251">D86</f>
        <v>EE/Communication</v>
      </c>
      <c r="E87" s="33"/>
      <c r="F87" s="34">
        <f t="shared" ref="F87" si="252">E86</f>
        <v>1856142.6956037888</v>
      </c>
      <c r="G87" s="83" t="s">
        <v>42</v>
      </c>
      <c r="H87" s="190">
        <v>0</v>
      </c>
      <c r="I87" s="190"/>
      <c r="J87" s="190"/>
      <c r="K87" s="121">
        <f t="shared" si="194"/>
        <v>0</v>
      </c>
      <c r="L87" s="111">
        <f t="shared" si="225"/>
        <v>0</v>
      </c>
      <c r="M87" s="141"/>
      <c r="N87" s="142"/>
      <c r="O87" s="142"/>
      <c r="P87" s="143"/>
      <c r="Q87" s="144"/>
      <c r="R87" s="142"/>
      <c r="S87" s="142"/>
      <c r="T87" s="143"/>
      <c r="U87" s="145"/>
      <c r="V87" s="142"/>
      <c r="W87" s="142"/>
      <c r="X87" s="143"/>
      <c r="Y87" s="144"/>
      <c r="Z87" s="142"/>
      <c r="AA87" s="142"/>
      <c r="AB87" s="146"/>
      <c r="AC87" s="143"/>
      <c r="AD87" s="144"/>
      <c r="AE87" s="142"/>
      <c r="AF87" s="142"/>
      <c r="AG87" s="143"/>
      <c r="AH87" s="145"/>
      <c r="AI87" s="142"/>
      <c r="AJ87" s="142"/>
      <c r="AK87" s="142"/>
      <c r="AL87" s="147"/>
      <c r="AM87" s="144"/>
      <c r="AN87" s="142"/>
      <c r="AO87" s="154"/>
      <c r="AP87" s="143"/>
      <c r="AQ87" s="165"/>
      <c r="AR87" s="163"/>
      <c r="AS87" s="163"/>
      <c r="AT87" s="164"/>
      <c r="AU87" s="165"/>
      <c r="AV87" s="163"/>
      <c r="AW87" s="163"/>
      <c r="AX87" s="163"/>
      <c r="AY87" s="168"/>
      <c r="AZ87" s="165"/>
      <c r="BA87" s="163"/>
      <c r="BB87" s="163"/>
      <c r="BC87" s="167"/>
      <c r="BD87" s="144"/>
      <c r="BE87" s="142"/>
      <c r="BF87" s="142"/>
      <c r="BG87" s="143"/>
      <c r="BH87" s="144"/>
      <c r="BI87" s="142"/>
      <c r="BJ87" s="142"/>
      <c r="BK87" s="142"/>
      <c r="BL87" s="147"/>
      <c r="BM87" s="144"/>
      <c r="BN87" s="142"/>
      <c r="BO87" s="142"/>
      <c r="BP87" s="143"/>
      <c r="BQ87" s="144"/>
      <c r="BR87" s="142"/>
      <c r="BS87" s="142"/>
      <c r="BT87" s="143"/>
      <c r="BU87" s="144"/>
      <c r="BV87" s="142"/>
      <c r="BW87" s="142"/>
      <c r="BX87" s="146"/>
      <c r="BY87" s="147"/>
      <c r="BZ87" s="144"/>
      <c r="CA87" s="142"/>
      <c r="CB87" s="142"/>
      <c r="CC87" s="143"/>
      <c r="CD87" s="144"/>
      <c r="CE87" s="142"/>
      <c r="CF87" s="142"/>
      <c r="CG87" s="143"/>
      <c r="CH87" s="144"/>
      <c r="CI87" s="142"/>
      <c r="CJ87" s="142"/>
      <c r="CK87" s="142"/>
      <c r="CL87" s="147"/>
      <c r="CM87" s="144"/>
      <c r="CN87" s="142"/>
      <c r="CO87" s="142"/>
      <c r="CP87" s="143"/>
      <c r="CQ87" s="130"/>
      <c r="CR87" s="128"/>
      <c r="CS87" s="128"/>
      <c r="CT87" s="129"/>
      <c r="CU87" s="130"/>
      <c r="CV87" s="128"/>
      <c r="CW87" s="128"/>
      <c r="CX87" s="129"/>
      <c r="CY87" s="130"/>
      <c r="CZ87" s="128"/>
      <c r="DA87" s="128"/>
      <c r="DB87" s="129"/>
      <c r="DC87" s="80"/>
      <c r="DD87" s="79"/>
      <c r="DE87" s="79"/>
    </row>
    <row r="88" spans="1:109" ht="24.95" customHeight="1" outlineLevel="1" x14ac:dyDescent="0.55000000000000004">
      <c r="A88" s="284" t="s">
        <v>71</v>
      </c>
      <c r="B88" s="196" t="str">
        <f t="shared" ref="B88" si="253">A88</f>
        <v>1.6.7</v>
      </c>
      <c r="C88" s="285" t="s">
        <v>136</v>
      </c>
      <c r="D88" s="203" t="str">
        <f t="shared" ref="D88" si="254">C88</f>
        <v>Unit Substation &amp; Generator Set</v>
      </c>
      <c r="E88" s="33">
        <v>3062745.3903982169</v>
      </c>
      <c r="F88" s="34">
        <f t="shared" ref="F88" si="255">E88</f>
        <v>3062745.3903982169</v>
      </c>
      <c r="G88" s="81" t="s">
        <v>41</v>
      </c>
      <c r="H88" s="189">
        <v>0</v>
      </c>
      <c r="I88" s="189"/>
      <c r="J88" s="189"/>
      <c r="K88" s="120">
        <f t="shared" si="194"/>
        <v>0.99999999999999989</v>
      </c>
      <c r="L88" s="110">
        <f t="shared" si="225"/>
        <v>3062745.3903982164</v>
      </c>
      <c r="M88" s="134"/>
      <c r="N88" s="135"/>
      <c r="O88" s="135"/>
      <c r="P88" s="136"/>
      <c r="Q88" s="137"/>
      <c r="R88" s="135"/>
      <c r="S88" s="135"/>
      <c r="T88" s="136"/>
      <c r="U88" s="138"/>
      <c r="V88" s="135"/>
      <c r="W88" s="135"/>
      <c r="X88" s="136"/>
      <c r="Y88" s="137"/>
      <c r="Z88" s="135"/>
      <c r="AA88" s="135"/>
      <c r="AB88" s="139"/>
      <c r="AC88" s="136"/>
      <c r="AD88" s="137"/>
      <c r="AE88" s="135"/>
      <c r="AF88" s="135"/>
      <c r="AG88" s="136"/>
      <c r="AH88" s="138"/>
      <c r="AI88" s="135"/>
      <c r="AJ88" s="135"/>
      <c r="AK88" s="135"/>
      <c r="AL88" s="140"/>
      <c r="AM88" s="137"/>
      <c r="AN88" s="135"/>
      <c r="AO88" s="135"/>
      <c r="AP88" s="136"/>
      <c r="AQ88" s="157"/>
      <c r="AR88" s="149"/>
      <c r="AS88" s="149"/>
      <c r="AT88" s="156"/>
      <c r="AU88" s="157"/>
      <c r="AV88" s="149"/>
      <c r="AW88" s="149"/>
      <c r="AX88" s="149"/>
      <c r="AY88" s="150"/>
      <c r="AZ88" s="157"/>
      <c r="BA88" s="149"/>
      <c r="BB88" s="149"/>
      <c r="BC88" s="158"/>
      <c r="BD88" s="137"/>
      <c r="BE88" s="135"/>
      <c r="BF88" s="152">
        <v>0.05</v>
      </c>
      <c r="BG88" s="153">
        <v>0.05</v>
      </c>
      <c r="BH88" s="151">
        <v>0.05</v>
      </c>
      <c r="BI88" s="152">
        <v>0.05</v>
      </c>
      <c r="BJ88" s="152">
        <v>0.15</v>
      </c>
      <c r="BK88" s="152">
        <v>0.1</v>
      </c>
      <c r="BL88" s="159">
        <v>0.1</v>
      </c>
      <c r="BM88" s="151">
        <v>0.1</v>
      </c>
      <c r="BN88" s="152">
        <v>0.1</v>
      </c>
      <c r="BO88" s="152">
        <v>0.1</v>
      </c>
      <c r="BP88" s="153">
        <v>0.08</v>
      </c>
      <c r="BQ88" s="137">
        <v>0.05</v>
      </c>
      <c r="BR88" s="135">
        <v>0.02</v>
      </c>
      <c r="BS88" s="135"/>
      <c r="BT88" s="136"/>
      <c r="BU88" s="137"/>
      <c r="BV88" s="135"/>
      <c r="BW88" s="135"/>
      <c r="BX88" s="139"/>
      <c r="BY88" s="140"/>
      <c r="BZ88" s="137"/>
      <c r="CA88" s="135"/>
      <c r="CB88" s="135"/>
      <c r="CC88" s="136"/>
      <c r="CD88" s="137"/>
      <c r="CE88" s="135"/>
      <c r="CF88" s="135"/>
      <c r="CG88" s="136"/>
      <c r="CH88" s="137"/>
      <c r="CI88" s="135"/>
      <c r="CJ88" s="135"/>
      <c r="CK88" s="135"/>
      <c r="CL88" s="140"/>
      <c r="CM88" s="137"/>
      <c r="CN88" s="135"/>
      <c r="CO88" s="135"/>
      <c r="CP88" s="136"/>
      <c r="CQ88" s="133"/>
      <c r="CR88" s="131"/>
      <c r="CS88" s="131"/>
      <c r="CT88" s="132"/>
      <c r="CU88" s="133"/>
      <c r="CV88" s="131"/>
      <c r="CW88" s="131"/>
      <c r="CX88" s="132"/>
      <c r="CY88" s="133"/>
      <c r="CZ88" s="131"/>
      <c r="DA88" s="131"/>
      <c r="DB88" s="132"/>
      <c r="DC88" s="82"/>
      <c r="DD88" s="79"/>
      <c r="DE88" s="79"/>
    </row>
    <row r="89" spans="1:109" ht="24.95" customHeight="1" outlineLevel="1" x14ac:dyDescent="0.55000000000000004">
      <c r="A89" s="284"/>
      <c r="B89" s="196" t="str">
        <f t="shared" ref="B89" si="256">B88</f>
        <v>1.6.7</v>
      </c>
      <c r="C89" s="285"/>
      <c r="D89" s="203" t="str">
        <f t="shared" ref="D89" si="257">D88</f>
        <v>Unit Substation &amp; Generator Set</v>
      </c>
      <c r="E89" s="33"/>
      <c r="F89" s="34">
        <f t="shared" ref="F89" si="258">E88</f>
        <v>3062745.3903982169</v>
      </c>
      <c r="G89" s="83" t="s">
        <v>42</v>
      </c>
      <c r="H89" s="190">
        <v>0</v>
      </c>
      <c r="I89" s="190"/>
      <c r="J89" s="190"/>
      <c r="K89" s="121">
        <f t="shared" si="194"/>
        <v>0</v>
      </c>
      <c r="L89" s="111">
        <f t="shared" si="225"/>
        <v>0</v>
      </c>
      <c r="M89" s="141"/>
      <c r="N89" s="142"/>
      <c r="O89" s="142"/>
      <c r="P89" s="143"/>
      <c r="Q89" s="144"/>
      <c r="R89" s="142"/>
      <c r="S89" s="142"/>
      <c r="T89" s="143"/>
      <c r="U89" s="145"/>
      <c r="V89" s="142"/>
      <c r="W89" s="142"/>
      <c r="X89" s="143"/>
      <c r="Y89" s="144"/>
      <c r="Z89" s="142"/>
      <c r="AA89" s="142"/>
      <c r="AB89" s="146"/>
      <c r="AC89" s="143"/>
      <c r="AD89" s="144"/>
      <c r="AE89" s="142"/>
      <c r="AF89" s="142"/>
      <c r="AG89" s="143"/>
      <c r="AH89" s="145"/>
      <c r="AI89" s="142"/>
      <c r="AJ89" s="142"/>
      <c r="AK89" s="142"/>
      <c r="AL89" s="147"/>
      <c r="AM89" s="144"/>
      <c r="AN89" s="142"/>
      <c r="AO89" s="154"/>
      <c r="AP89" s="143"/>
      <c r="AQ89" s="165"/>
      <c r="AR89" s="163"/>
      <c r="AS89" s="163"/>
      <c r="AT89" s="164"/>
      <c r="AU89" s="165"/>
      <c r="AV89" s="163"/>
      <c r="AW89" s="163"/>
      <c r="AX89" s="163"/>
      <c r="AY89" s="168"/>
      <c r="AZ89" s="165"/>
      <c r="BA89" s="163"/>
      <c r="BB89" s="163"/>
      <c r="BC89" s="167"/>
      <c r="BD89" s="144"/>
      <c r="BE89" s="142"/>
      <c r="BF89" s="142"/>
      <c r="BG89" s="143"/>
      <c r="BH89" s="144"/>
      <c r="BI89" s="142"/>
      <c r="BJ89" s="142"/>
      <c r="BK89" s="142"/>
      <c r="BL89" s="147"/>
      <c r="BM89" s="144"/>
      <c r="BN89" s="142"/>
      <c r="BO89" s="142"/>
      <c r="BP89" s="143"/>
      <c r="BQ89" s="144"/>
      <c r="BR89" s="142"/>
      <c r="BS89" s="142"/>
      <c r="BT89" s="143"/>
      <c r="BU89" s="144"/>
      <c r="BV89" s="142"/>
      <c r="BW89" s="142"/>
      <c r="BX89" s="146"/>
      <c r="BY89" s="147"/>
      <c r="BZ89" s="144"/>
      <c r="CA89" s="142"/>
      <c r="CB89" s="142"/>
      <c r="CC89" s="143"/>
      <c r="CD89" s="144"/>
      <c r="CE89" s="142"/>
      <c r="CF89" s="142"/>
      <c r="CG89" s="143"/>
      <c r="CH89" s="144"/>
      <c r="CI89" s="142"/>
      <c r="CJ89" s="142"/>
      <c r="CK89" s="142"/>
      <c r="CL89" s="147"/>
      <c r="CM89" s="144"/>
      <c r="CN89" s="142"/>
      <c r="CO89" s="142"/>
      <c r="CP89" s="143"/>
      <c r="CQ89" s="130"/>
      <c r="CR89" s="128"/>
      <c r="CS89" s="128"/>
      <c r="CT89" s="129"/>
      <c r="CU89" s="130"/>
      <c r="CV89" s="128"/>
      <c r="CW89" s="128"/>
      <c r="CX89" s="129"/>
      <c r="CY89" s="130"/>
      <c r="CZ89" s="128"/>
      <c r="DA89" s="128"/>
      <c r="DB89" s="129"/>
      <c r="DC89" s="80"/>
      <c r="DD89" s="79"/>
      <c r="DE89" s="79"/>
    </row>
    <row r="90" spans="1:109" ht="24.95" customHeight="1" outlineLevel="1" x14ac:dyDescent="0.55000000000000004">
      <c r="A90" s="284" t="s">
        <v>72</v>
      </c>
      <c r="B90" s="196" t="str">
        <f t="shared" ref="B90" si="259">A90</f>
        <v>1.6.8</v>
      </c>
      <c r="C90" s="285" t="s">
        <v>137</v>
      </c>
      <c r="D90" s="203" t="str">
        <f t="shared" ref="D90" si="260">C90</f>
        <v>Grounding System</v>
      </c>
      <c r="E90" s="33">
        <v>316419.05365089042</v>
      </c>
      <c r="F90" s="34">
        <f t="shared" ref="F90" si="261">E90</f>
        <v>316419.05365089042</v>
      </c>
      <c r="G90" s="81" t="s">
        <v>41</v>
      </c>
      <c r="H90" s="189">
        <v>0</v>
      </c>
      <c r="I90" s="189"/>
      <c r="J90" s="189"/>
      <c r="K90" s="120">
        <f t="shared" si="194"/>
        <v>1</v>
      </c>
      <c r="L90" s="110">
        <f t="shared" si="225"/>
        <v>316419.05365089042</v>
      </c>
      <c r="M90" s="134"/>
      <c r="N90" s="135"/>
      <c r="O90" s="135"/>
      <c r="P90" s="136"/>
      <c r="Q90" s="137"/>
      <c r="R90" s="135"/>
      <c r="S90" s="135"/>
      <c r="T90" s="136"/>
      <c r="U90" s="138"/>
      <c r="V90" s="135"/>
      <c r="W90" s="135"/>
      <c r="X90" s="136"/>
      <c r="Y90" s="137"/>
      <c r="Z90" s="135"/>
      <c r="AA90" s="135"/>
      <c r="AB90" s="139"/>
      <c r="AC90" s="136"/>
      <c r="AD90" s="137"/>
      <c r="AE90" s="135"/>
      <c r="AF90" s="135"/>
      <c r="AG90" s="136"/>
      <c r="AH90" s="138"/>
      <c r="AI90" s="135"/>
      <c r="AJ90" s="135"/>
      <c r="AK90" s="135"/>
      <c r="AL90" s="140"/>
      <c r="AM90" s="137"/>
      <c r="AN90" s="135"/>
      <c r="AO90" s="135"/>
      <c r="AP90" s="136"/>
      <c r="AQ90" s="157"/>
      <c r="AR90" s="149"/>
      <c r="AS90" s="149"/>
      <c r="AT90" s="156"/>
      <c r="AU90" s="157"/>
      <c r="AV90" s="149"/>
      <c r="AW90" s="149"/>
      <c r="AX90" s="149"/>
      <c r="AY90" s="150"/>
      <c r="AZ90" s="157"/>
      <c r="BA90" s="149"/>
      <c r="BB90" s="149"/>
      <c r="BC90" s="158"/>
      <c r="BD90" s="137"/>
      <c r="BE90" s="135"/>
      <c r="BF90" s="135"/>
      <c r="BG90" s="136"/>
      <c r="BH90" s="137"/>
      <c r="BI90" s="135"/>
      <c r="BJ90" s="135"/>
      <c r="BK90" s="135"/>
      <c r="BL90" s="140"/>
      <c r="BM90" s="151">
        <v>0.05</v>
      </c>
      <c r="BN90" s="152">
        <v>0.1</v>
      </c>
      <c r="BO90" s="152">
        <v>0.1</v>
      </c>
      <c r="BP90" s="153">
        <v>0.1</v>
      </c>
      <c r="BQ90" s="151">
        <v>0.15</v>
      </c>
      <c r="BR90" s="152">
        <v>0.15</v>
      </c>
      <c r="BS90" s="152">
        <v>0.15</v>
      </c>
      <c r="BT90" s="153">
        <v>0.1</v>
      </c>
      <c r="BU90" s="137">
        <v>0.05</v>
      </c>
      <c r="BV90" s="135">
        <v>0.05</v>
      </c>
      <c r="BW90" s="135"/>
      <c r="BX90" s="139"/>
      <c r="BY90" s="140"/>
      <c r="BZ90" s="137"/>
      <c r="CA90" s="135"/>
      <c r="CB90" s="135"/>
      <c r="CC90" s="136"/>
      <c r="CD90" s="137"/>
      <c r="CE90" s="135"/>
      <c r="CF90" s="135"/>
      <c r="CG90" s="136"/>
      <c r="CH90" s="137"/>
      <c r="CI90" s="135"/>
      <c r="CJ90" s="135"/>
      <c r="CK90" s="135"/>
      <c r="CL90" s="140"/>
      <c r="CM90" s="137"/>
      <c r="CN90" s="135"/>
      <c r="CO90" s="135"/>
      <c r="CP90" s="136"/>
      <c r="CQ90" s="133"/>
      <c r="CR90" s="131"/>
      <c r="CS90" s="131"/>
      <c r="CT90" s="132"/>
      <c r="CU90" s="133"/>
      <c r="CV90" s="131"/>
      <c r="CW90" s="131"/>
      <c r="CX90" s="132"/>
      <c r="CY90" s="133"/>
      <c r="CZ90" s="131"/>
      <c r="DA90" s="131"/>
      <c r="DB90" s="132"/>
      <c r="DC90" s="82"/>
      <c r="DD90" s="79"/>
      <c r="DE90" s="79"/>
    </row>
    <row r="91" spans="1:109" ht="24.95" customHeight="1" outlineLevel="1" x14ac:dyDescent="0.55000000000000004">
      <c r="A91" s="284"/>
      <c r="B91" s="196" t="str">
        <f t="shared" ref="B91" si="262">B90</f>
        <v>1.6.8</v>
      </c>
      <c r="C91" s="285"/>
      <c r="D91" s="203" t="str">
        <f t="shared" ref="D91" si="263">D90</f>
        <v>Grounding System</v>
      </c>
      <c r="E91" s="33"/>
      <c r="F91" s="34">
        <f t="shared" ref="F91" si="264">E90</f>
        <v>316419.05365089042</v>
      </c>
      <c r="G91" s="83" t="s">
        <v>42</v>
      </c>
      <c r="H91" s="190">
        <v>0</v>
      </c>
      <c r="I91" s="190"/>
      <c r="J91" s="190"/>
      <c r="K91" s="121">
        <f t="shared" si="194"/>
        <v>0</v>
      </c>
      <c r="L91" s="111">
        <f t="shared" si="225"/>
        <v>0</v>
      </c>
      <c r="M91" s="141"/>
      <c r="N91" s="142"/>
      <c r="O91" s="142"/>
      <c r="P91" s="143"/>
      <c r="Q91" s="144"/>
      <c r="R91" s="142"/>
      <c r="S91" s="142"/>
      <c r="T91" s="143"/>
      <c r="U91" s="145"/>
      <c r="V91" s="142"/>
      <c r="W91" s="142"/>
      <c r="X91" s="143"/>
      <c r="Y91" s="144"/>
      <c r="Z91" s="142"/>
      <c r="AA91" s="142"/>
      <c r="AB91" s="146"/>
      <c r="AC91" s="143"/>
      <c r="AD91" s="144"/>
      <c r="AE91" s="142"/>
      <c r="AF91" s="142"/>
      <c r="AG91" s="143"/>
      <c r="AH91" s="145"/>
      <c r="AI91" s="142"/>
      <c r="AJ91" s="142"/>
      <c r="AK91" s="142"/>
      <c r="AL91" s="147"/>
      <c r="AM91" s="144"/>
      <c r="AN91" s="142"/>
      <c r="AO91" s="154"/>
      <c r="AP91" s="143"/>
      <c r="AQ91" s="165"/>
      <c r="AR91" s="163"/>
      <c r="AS91" s="163"/>
      <c r="AT91" s="164"/>
      <c r="AU91" s="165"/>
      <c r="AV91" s="163"/>
      <c r="AW91" s="163"/>
      <c r="AX91" s="163"/>
      <c r="AY91" s="168"/>
      <c r="AZ91" s="165"/>
      <c r="BA91" s="163"/>
      <c r="BB91" s="163"/>
      <c r="BC91" s="167"/>
      <c r="BD91" s="144"/>
      <c r="BE91" s="142"/>
      <c r="BF91" s="142"/>
      <c r="BG91" s="143"/>
      <c r="BH91" s="144"/>
      <c r="BI91" s="142"/>
      <c r="BJ91" s="142"/>
      <c r="BK91" s="142"/>
      <c r="BL91" s="147"/>
      <c r="BM91" s="144"/>
      <c r="BN91" s="142"/>
      <c r="BO91" s="142"/>
      <c r="BP91" s="143"/>
      <c r="BQ91" s="144"/>
      <c r="BR91" s="142"/>
      <c r="BS91" s="142"/>
      <c r="BT91" s="143"/>
      <c r="BU91" s="144"/>
      <c r="BV91" s="142"/>
      <c r="BW91" s="142"/>
      <c r="BX91" s="146"/>
      <c r="BY91" s="147"/>
      <c r="BZ91" s="144"/>
      <c r="CA91" s="142"/>
      <c r="CB91" s="142"/>
      <c r="CC91" s="143"/>
      <c r="CD91" s="144"/>
      <c r="CE91" s="142"/>
      <c r="CF91" s="142"/>
      <c r="CG91" s="143"/>
      <c r="CH91" s="144"/>
      <c r="CI91" s="142"/>
      <c r="CJ91" s="142"/>
      <c r="CK91" s="142"/>
      <c r="CL91" s="147"/>
      <c r="CM91" s="144"/>
      <c r="CN91" s="142"/>
      <c r="CO91" s="142"/>
      <c r="CP91" s="143"/>
      <c r="CQ91" s="130"/>
      <c r="CR91" s="128"/>
      <c r="CS91" s="128"/>
      <c r="CT91" s="129"/>
      <c r="CU91" s="130"/>
      <c r="CV91" s="128"/>
      <c r="CW91" s="128"/>
      <c r="CX91" s="129"/>
      <c r="CY91" s="130"/>
      <c r="CZ91" s="128"/>
      <c r="DA91" s="128"/>
      <c r="DB91" s="129"/>
      <c r="DC91" s="80"/>
      <c r="DD91" s="79"/>
      <c r="DE91" s="79"/>
    </row>
    <row r="92" spans="1:109" ht="24.95" customHeight="1" x14ac:dyDescent="0.55000000000000004">
      <c r="A92" s="282">
        <v>1.7</v>
      </c>
      <c r="B92" s="197">
        <f t="shared" ref="B92" si="265">A92</f>
        <v>1.7</v>
      </c>
      <c r="C92" s="283" t="s">
        <v>138</v>
      </c>
      <c r="D92" s="202" t="str">
        <f t="shared" ref="D92" si="266">C92</f>
        <v>Landscape</v>
      </c>
      <c r="E92" s="62">
        <f>SUM(E94:E97)</f>
        <v>2143352.4729750021</v>
      </c>
      <c r="F92" s="32">
        <f t="shared" ref="F92" si="267">E92</f>
        <v>2143352.4729750021</v>
      </c>
      <c r="G92" s="112" t="s">
        <v>41</v>
      </c>
      <c r="H92" s="184">
        <v>1</v>
      </c>
      <c r="I92" s="184"/>
      <c r="J92" s="184" t="s">
        <v>105</v>
      </c>
      <c r="K92" s="122">
        <f t="shared" ref="K92:K97" si="268">SUM(M92:DC92)</f>
        <v>1</v>
      </c>
      <c r="L92" s="113">
        <f>L94+L96</f>
        <v>2143352.4729750026</v>
      </c>
      <c r="M92" s="134" cm="1">
        <f t="array" ref="M92">SUMPRODUCT(($G$94:$G$97="P")*$F$94:$F$97*M94:M97)/$E$92</f>
        <v>0</v>
      </c>
      <c r="N92" s="135">
        <f t="shared" ref="N92:AS92" si="269">SUMPRODUCT(($G$94:$G$97="P")*$F$94:$F$97*N94:N97)/$E$92</f>
        <v>0</v>
      </c>
      <c r="O92" s="135">
        <f t="shared" si="269"/>
        <v>0</v>
      </c>
      <c r="P92" s="136">
        <f t="shared" si="269"/>
        <v>0</v>
      </c>
      <c r="Q92" s="137">
        <f t="shared" si="269"/>
        <v>0</v>
      </c>
      <c r="R92" s="135">
        <f t="shared" si="269"/>
        <v>0</v>
      </c>
      <c r="S92" s="135">
        <f t="shared" si="269"/>
        <v>0</v>
      </c>
      <c r="T92" s="136">
        <f t="shared" si="269"/>
        <v>0</v>
      </c>
      <c r="U92" s="138">
        <f t="shared" si="269"/>
        <v>0</v>
      </c>
      <c r="V92" s="135">
        <f t="shared" si="269"/>
        <v>0</v>
      </c>
      <c r="W92" s="135">
        <f t="shared" si="269"/>
        <v>0</v>
      </c>
      <c r="X92" s="136">
        <f t="shared" si="269"/>
        <v>0</v>
      </c>
      <c r="Y92" s="137">
        <f t="shared" si="269"/>
        <v>0</v>
      </c>
      <c r="Z92" s="135">
        <f t="shared" si="269"/>
        <v>0</v>
      </c>
      <c r="AA92" s="135">
        <f t="shared" si="269"/>
        <v>0</v>
      </c>
      <c r="AB92" s="139">
        <f t="shared" si="269"/>
        <v>0</v>
      </c>
      <c r="AC92" s="136">
        <f t="shared" si="269"/>
        <v>0</v>
      </c>
      <c r="AD92" s="137">
        <f t="shared" si="269"/>
        <v>0</v>
      </c>
      <c r="AE92" s="135">
        <f t="shared" si="269"/>
        <v>0</v>
      </c>
      <c r="AF92" s="135">
        <f t="shared" si="269"/>
        <v>0</v>
      </c>
      <c r="AG92" s="136">
        <f t="shared" si="269"/>
        <v>0</v>
      </c>
      <c r="AH92" s="138">
        <f t="shared" si="269"/>
        <v>0</v>
      </c>
      <c r="AI92" s="135">
        <f t="shared" si="269"/>
        <v>0</v>
      </c>
      <c r="AJ92" s="135">
        <f t="shared" si="269"/>
        <v>0</v>
      </c>
      <c r="AK92" s="135">
        <f t="shared" si="269"/>
        <v>0</v>
      </c>
      <c r="AL92" s="140">
        <f t="shared" si="269"/>
        <v>0</v>
      </c>
      <c r="AM92" s="137">
        <f t="shared" si="269"/>
        <v>0</v>
      </c>
      <c r="AN92" s="135">
        <f t="shared" si="269"/>
        <v>0</v>
      </c>
      <c r="AO92" s="135">
        <f t="shared" si="269"/>
        <v>0</v>
      </c>
      <c r="AP92" s="136">
        <f t="shared" si="269"/>
        <v>0</v>
      </c>
      <c r="AQ92" s="137">
        <f t="shared" si="269"/>
        <v>0</v>
      </c>
      <c r="AR92" s="135">
        <f t="shared" si="269"/>
        <v>0</v>
      </c>
      <c r="AS92" s="135">
        <f t="shared" si="269"/>
        <v>0</v>
      </c>
      <c r="AT92" s="136">
        <f t="shared" ref="AT92:BY92" si="270">SUMPRODUCT(($G$94:$G$97="P")*$F$94:$F$97*AT94:AT97)/$E$92</f>
        <v>0</v>
      </c>
      <c r="AU92" s="137">
        <f t="shared" si="270"/>
        <v>0</v>
      </c>
      <c r="AV92" s="135">
        <f t="shared" si="270"/>
        <v>0</v>
      </c>
      <c r="AW92" s="135">
        <f t="shared" si="270"/>
        <v>0</v>
      </c>
      <c r="AX92" s="135">
        <f t="shared" si="270"/>
        <v>0</v>
      </c>
      <c r="AY92" s="140">
        <f t="shared" si="270"/>
        <v>0</v>
      </c>
      <c r="AZ92" s="137">
        <f t="shared" si="270"/>
        <v>0</v>
      </c>
      <c r="BA92" s="135">
        <f t="shared" si="270"/>
        <v>0</v>
      </c>
      <c r="BB92" s="135">
        <f t="shared" si="270"/>
        <v>0</v>
      </c>
      <c r="BC92" s="139">
        <f t="shared" si="270"/>
        <v>0</v>
      </c>
      <c r="BD92" s="137">
        <f t="shared" si="270"/>
        <v>0</v>
      </c>
      <c r="BE92" s="135">
        <f t="shared" si="270"/>
        <v>0</v>
      </c>
      <c r="BF92" s="135">
        <f t="shared" si="270"/>
        <v>0</v>
      </c>
      <c r="BG92" s="136">
        <f t="shared" si="270"/>
        <v>1.9522277144608507E-2</v>
      </c>
      <c r="BH92" s="137">
        <f t="shared" si="270"/>
        <v>2.4402846430760634E-2</v>
      </c>
      <c r="BI92" s="135">
        <f t="shared" si="270"/>
        <v>2.4402846430760634E-2</v>
      </c>
      <c r="BJ92" s="135">
        <f t="shared" si="270"/>
        <v>2.4402846430760634E-2</v>
      </c>
      <c r="BK92" s="135">
        <f t="shared" si="270"/>
        <v>3.9044554289217014E-2</v>
      </c>
      <c r="BL92" s="140">
        <f t="shared" si="270"/>
        <v>3.9044554289217014E-2</v>
      </c>
      <c r="BM92" s="137">
        <f t="shared" si="270"/>
        <v>7.440284643076063E-2</v>
      </c>
      <c r="BN92" s="135">
        <f t="shared" si="270"/>
        <v>7.440284643076063E-2</v>
      </c>
      <c r="BO92" s="135">
        <f t="shared" si="270"/>
        <v>0.1</v>
      </c>
      <c r="BP92" s="136">
        <f t="shared" si="270"/>
        <v>0.1</v>
      </c>
      <c r="BQ92" s="137">
        <f t="shared" si="270"/>
        <v>7.5597153569239364E-2</v>
      </c>
      <c r="BR92" s="135">
        <f t="shared" si="270"/>
        <v>0.15238861427695749</v>
      </c>
      <c r="BS92" s="135">
        <f t="shared" si="270"/>
        <v>0.1267914607077181</v>
      </c>
      <c r="BT92" s="136">
        <f t="shared" si="270"/>
        <v>7.5597153569239364E-2</v>
      </c>
      <c r="BU92" s="137">
        <f t="shared" si="270"/>
        <v>0.05</v>
      </c>
      <c r="BV92" s="135">
        <f t="shared" si="270"/>
        <v>0</v>
      </c>
      <c r="BW92" s="135">
        <f t="shared" si="270"/>
        <v>0</v>
      </c>
      <c r="BX92" s="139">
        <f t="shared" si="270"/>
        <v>0</v>
      </c>
      <c r="BY92" s="140">
        <f t="shared" si="270"/>
        <v>0</v>
      </c>
      <c r="BZ92" s="137">
        <f t="shared" ref="BZ92:DB92" si="271">SUMPRODUCT(($G$94:$G$97="P")*$F$94:$F$97*BZ94:BZ97)/$E$92</f>
        <v>0</v>
      </c>
      <c r="CA92" s="135">
        <f t="shared" si="271"/>
        <v>0</v>
      </c>
      <c r="CB92" s="135">
        <f t="shared" si="271"/>
        <v>0</v>
      </c>
      <c r="CC92" s="136">
        <f t="shared" si="271"/>
        <v>0</v>
      </c>
      <c r="CD92" s="137">
        <f t="shared" si="271"/>
        <v>0</v>
      </c>
      <c r="CE92" s="135">
        <f t="shared" si="271"/>
        <v>0</v>
      </c>
      <c r="CF92" s="135">
        <f t="shared" si="271"/>
        <v>0</v>
      </c>
      <c r="CG92" s="136">
        <f t="shared" si="271"/>
        <v>0</v>
      </c>
      <c r="CH92" s="137">
        <f t="shared" si="271"/>
        <v>0</v>
      </c>
      <c r="CI92" s="135">
        <f t="shared" si="271"/>
        <v>0</v>
      </c>
      <c r="CJ92" s="135">
        <f t="shared" si="271"/>
        <v>0</v>
      </c>
      <c r="CK92" s="135">
        <f t="shared" si="271"/>
        <v>0</v>
      </c>
      <c r="CL92" s="140">
        <f t="shared" si="271"/>
        <v>0</v>
      </c>
      <c r="CM92" s="137">
        <f t="shared" si="271"/>
        <v>0</v>
      </c>
      <c r="CN92" s="135">
        <f t="shared" si="271"/>
        <v>0</v>
      </c>
      <c r="CO92" s="135">
        <f t="shared" si="271"/>
        <v>0</v>
      </c>
      <c r="CP92" s="136">
        <f t="shared" si="271"/>
        <v>0</v>
      </c>
      <c r="CQ92" s="133">
        <f t="shared" si="271"/>
        <v>0</v>
      </c>
      <c r="CR92" s="131">
        <f t="shared" si="271"/>
        <v>0</v>
      </c>
      <c r="CS92" s="131">
        <f t="shared" si="271"/>
        <v>0</v>
      </c>
      <c r="CT92" s="132">
        <f t="shared" si="271"/>
        <v>0</v>
      </c>
      <c r="CU92" s="133">
        <f t="shared" si="271"/>
        <v>0</v>
      </c>
      <c r="CV92" s="131">
        <f t="shared" si="271"/>
        <v>0</v>
      </c>
      <c r="CW92" s="131">
        <f t="shared" si="271"/>
        <v>0</v>
      </c>
      <c r="CX92" s="132">
        <f t="shared" si="271"/>
        <v>0</v>
      </c>
      <c r="CY92" s="133">
        <f t="shared" si="271"/>
        <v>0</v>
      </c>
      <c r="CZ92" s="131">
        <f t="shared" si="271"/>
        <v>0</v>
      </c>
      <c r="DA92" s="131">
        <f t="shared" si="271"/>
        <v>0</v>
      </c>
      <c r="DB92" s="132">
        <f t="shared" si="271"/>
        <v>0</v>
      </c>
      <c r="DC92" s="82"/>
      <c r="DD92" s="79"/>
      <c r="DE92" s="79"/>
    </row>
    <row r="93" spans="1:109" ht="24.95" customHeight="1" x14ac:dyDescent="0.55000000000000004">
      <c r="A93" s="282"/>
      <c r="B93" s="197">
        <f t="shared" ref="B93" si="272">B92</f>
        <v>1.7</v>
      </c>
      <c r="C93" s="283"/>
      <c r="D93" s="202" t="str">
        <f t="shared" ref="D93" si="273">D92</f>
        <v>Landscape</v>
      </c>
      <c r="E93" s="31"/>
      <c r="F93" s="32">
        <f t="shared" ref="F93" si="274">E92</f>
        <v>2143352.4729750021</v>
      </c>
      <c r="G93" s="114" t="s">
        <v>42</v>
      </c>
      <c r="H93" s="185">
        <v>1</v>
      </c>
      <c r="I93" s="185"/>
      <c r="J93" s="185" t="s">
        <v>105</v>
      </c>
      <c r="K93" s="123">
        <f t="shared" si="268"/>
        <v>0</v>
      </c>
      <c r="L93" s="115">
        <f>L95+L97</f>
        <v>0</v>
      </c>
      <c r="M93" s="141">
        <f t="shared" ref="M93:AR93" si="275">SUMPRODUCT(($G$94:$G$97="A")*$F$94:$F$97*M94:M97)/$E$92</f>
        <v>0</v>
      </c>
      <c r="N93" s="142">
        <f t="shared" si="275"/>
        <v>0</v>
      </c>
      <c r="O93" s="142">
        <f t="shared" si="275"/>
        <v>0</v>
      </c>
      <c r="P93" s="143">
        <f t="shared" si="275"/>
        <v>0</v>
      </c>
      <c r="Q93" s="144">
        <f t="shared" si="275"/>
        <v>0</v>
      </c>
      <c r="R93" s="142">
        <f t="shared" si="275"/>
        <v>0</v>
      </c>
      <c r="S93" s="142">
        <f t="shared" si="275"/>
        <v>0</v>
      </c>
      <c r="T93" s="143">
        <f t="shared" si="275"/>
        <v>0</v>
      </c>
      <c r="U93" s="145">
        <f t="shared" si="275"/>
        <v>0</v>
      </c>
      <c r="V93" s="142">
        <f t="shared" si="275"/>
        <v>0</v>
      </c>
      <c r="W93" s="142">
        <f t="shared" si="275"/>
        <v>0</v>
      </c>
      <c r="X93" s="143">
        <f t="shared" si="275"/>
        <v>0</v>
      </c>
      <c r="Y93" s="144">
        <f t="shared" si="275"/>
        <v>0</v>
      </c>
      <c r="Z93" s="142">
        <f t="shared" si="275"/>
        <v>0</v>
      </c>
      <c r="AA93" s="142">
        <f t="shared" si="275"/>
        <v>0</v>
      </c>
      <c r="AB93" s="146">
        <f t="shared" si="275"/>
        <v>0</v>
      </c>
      <c r="AC93" s="143">
        <f t="shared" si="275"/>
        <v>0</v>
      </c>
      <c r="AD93" s="144">
        <f t="shared" si="275"/>
        <v>0</v>
      </c>
      <c r="AE93" s="142">
        <f t="shared" si="275"/>
        <v>0</v>
      </c>
      <c r="AF93" s="142">
        <f t="shared" si="275"/>
        <v>0</v>
      </c>
      <c r="AG93" s="143">
        <f t="shared" si="275"/>
        <v>0</v>
      </c>
      <c r="AH93" s="145">
        <f t="shared" si="275"/>
        <v>0</v>
      </c>
      <c r="AI93" s="142">
        <f t="shared" si="275"/>
        <v>0</v>
      </c>
      <c r="AJ93" s="142">
        <f t="shared" si="275"/>
        <v>0</v>
      </c>
      <c r="AK93" s="142">
        <f t="shared" si="275"/>
        <v>0</v>
      </c>
      <c r="AL93" s="147">
        <f t="shared" si="275"/>
        <v>0</v>
      </c>
      <c r="AM93" s="144">
        <f t="shared" si="275"/>
        <v>0</v>
      </c>
      <c r="AN93" s="142">
        <f t="shared" si="275"/>
        <v>0</v>
      </c>
      <c r="AO93" s="154">
        <f t="shared" si="275"/>
        <v>0</v>
      </c>
      <c r="AP93" s="143">
        <f t="shared" si="275"/>
        <v>0</v>
      </c>
      <c r="AQ93" s="165">
        <f t="shared" si="275"/>
        <v>0</v>
      </c>
      <c r="AR93" s="163">
        <f t="shared" si="275"/>
        <v>0</v>
      </c>
      <c r="AS93" s="163">
        <f t="shared" ref="AS93:BX93" si="276">SUMPRODUCT(($G$94:$G$97="A")*$F$94:$F$97*AS94:AS97)/$E$92</f>
        <v>0</v>
      </c>
      <c r="AT93" s="164">
        <f t="shared" si="276"/>
        <v>0</v>
      </c>
      <c r="AU93" s="165">
        <f t="shared" si="276"/>
        <v>0</v>
      </c>
      <c r="AV93" s="163">
        <f t="shared" si="276"/>
        <v>0</v>
      </c>
      <c r="AW93" s="163">
        <f t="shared" si="276"/>
        <v>0</v>
      </c>
      <c r="AX93" s="163">
        <f t="shared" si="276"/>
        <v>0</v>
      </c>
      <c r="AY93" s="168">
        <f t="shared" si="276"/>
        <v>0</v>
      </c>
      <c r="AZ93" s="165">
        <f t="shared" si="276"/>
        <v>0</v>
      </c>
      <c r="BA93" s="163">
        <f t="shared" si="276"/>
        <v>0</v>
      </c>
      <c r="BB93" s="163">
        <f t="shared" si="276"/>
        <v>0</v>
      </c>
      <c r="BC93" s="167">
        <f t="shared" si="276"/>
        <v>0</v>
      </c>
      <c r="BD93" s="144">
        <f t="shared" si="276"/>
        <v>0</v>
      </c>
      <c r="BE93" s="142">
        <f t="shared" si="276"/>
        <v>0</v>
      </c>
      <c r="BF93" s="142">
        <f t="shared" si="276"/>
        <v>0</v>
      </c>
      <c r="BG93" s="143">
        <f t="shared" si="276"/>
        <v>0</v>
      </c>
      <c r="BH93" s="144">
        <f t="shared" si="276"/>
        <v>0</v>
      </c>
      <c r="BI93" s="142">
        <f t="shared" si="276"/>
        <v>0</v>
      </c>
      <c r="BJ93" s="142">
        <f t="shared" si="276"/>
        <v>0</v>
      </c>
      <c r="BK93" s="142">
        <f t="shared" si="276"/>
        <v>0</v>
      </c>
      <c r="BL93" s="147">
        <f t="shared" si="276"/>
        <v>0</v>
      </c>
      <c r="BM93" s="144">
        <f t="shared" si="276"/>
        <v>0</v>
      </c>
      <c r="BN93" s="142">
        <f t="shared" si="276"/>
        <v>0</v>
      </c>
      <c r="BO93" s="142">
        <f t="shared" si="276"/>
        <v>0</v>
      </c>
      <c r="BP93" s="143">
        <f t="shared" si="276"/>
        <v>0</v>
      </c>
      <c r="BQ93" s="144">
        <f t="shared" si="276"/>
        <v>0</v>
      </c>
      <c r="BR93" s="142">
        <f t="shared" si="276"/>
        <v>0</v>
      </c>
      <c r="BS93" s="142">
        <f t="shared" si="276"/>
        <v>0</v>
      </c>
      <c r="BT93" s="143">
        <f t="shared" si="276"/>
        <v>0</v>
      </c>
      <c r="BU93" s="144">
        <f t="shared" si="276"/>
        <v>0</v>
      </c>
      <c r="BV93" s="142">
        <f t="shared" si="276"/>
        <v>0</v>
      </c>
      <c r="BW93" s="142">
        <f t="shared" si="276"/>
        <v>0</v>
      </c>
      <c r="BX93" s="146">
        <f t="shared" si="276"/>
        <v>0</v>
      </c>
      <c r="BY93" s="147">
        <f t="shared" ref="BY93:DD93" si="277">SUMPRODUCT(($G$94:$G$97="A")*$F$94:$F$97*BY94:BY97)/$E$92</f>
        <v>0</v>
      </c>
      <c r="BZ93" s="144">
        <f t="shared" si="277"/>
        <v>0</v>
      </c>
      <c r="CA93" s="142">
        <f t="shared" si="277"/>
        <v>0</v>
      </c>
      <c r="CB93" s="142">
        <f t="shared" si="277"/>
        <v>0</v>
      </c>
      <c r="CC93" s="143">
        <f t="shared" si="277"/>
        <v>0</v>
      </c>
      <c r="CD93" s="144">
        <f t="shared" si="277"/>
        <v>0</v>
      </c>
      <c r="CE93" s="142">
        <f t="shared" si="277"/>
        <v>0</v>
      </c>
      <c r="CF93" s="142">
        <f t="shared" si="277"/>
        <v>0</v>
      </c>
      <c r="CG93" s="143">
        <f t="shared" si="277"/>
        <v>0</v>
      </c>
      <c r="CH93" s="144">
        <f t="shared" si="277"/>
        <v>0</v>
      </c>
      <c r="CI93" s="142">
        <f t="shared" si="277"/>
        <v>0</v>
      </c>
      <c r="CJ93" s="142">
        <f t="shared" si="277"/>
        <v>0</v>
      </c>
      <c r="CK93" s="142">
        <f t="shared" si="277"/>
        <v>0</v>
      </c>
      <c r="CL93" s="147">
        <f t="shared" si="277"/>
        <v>0</v>
      </c>
      <c r="CM93" s="144">
        <f t="shared" si="277"/>
        <v>0</v>
      </c>
      <c r="CN93" s="142">
        <f t="shared" si="277"/>
        <v>0</v>
      </c>
      <c r="CO93" s="142">
        <f t="shared" si="277"/>
        <v>0</v>
      </c>
      <c r="CP93" s="143">
        <f t="shared" si="277"/>
        <v>0</v>
      </c>
      <c r="CQ93" s="142">
        <f t="shared" si="277"/>
        <v>0</v>
      </c>
      <c r="CR93" s="142">
        <f t="shared" si="277"/>
        <v>0</v>
      </c>
      <c r="CS93" s="142">
        <f t="shared" si="277"/>
        <v>0</v>
      </c>
      <c r="CT93" s="142">
        <f t="shared" si="277"/>
        <v>0</v>
      </c>
      <c r="CU93" s="142">
        <f t="shared" si="277"/>
        <v>0</v>
      </c>
      <c r="CV93" s="142">
        <f t="shared" si="277"/>
        <v>0</v>
      </c>
      <c r="CW93" s="142">
        <f t="shared" si="277"/>
        <v>0</v>
      </c>
      <c r="CX93" s="142">
        <f t="shared" si="277"/>
        <v>0</v>
      </c>
      <c r="CY93" s="142">
        <f t="shared" si="277"/>
        <v>0</v>
      </c>
      <c r="CZ93" s="142">
        <f t="shared" si="277"/>
        <v>0</v>
      </c>
      <c r="DA93" s="142">
        <f t="shared" si="277"/>
        <v>0</v>
      </c>
      <c r="DB93" s="142">
        <f t="shared" si="277"/>
        <v>0</v>
      </c>
      <c r="DC93" s="142">
        <f t="shared" si="277"/>
        <v>0</v>
      </c>
      <c r="DD93" s="142">
        <f t="shared" si="277"/>
        <v>0</v>
      </c>
      <c r="DE93" s="79"/>
    </row>
    <row r="94" spans="1:109" ht="24.95" customHeight="1" outlineLevel="1" x14ac:dyDescent="0.55000000000000004">
      <c r="A94" s="284" t="s">
        <v>73</v>
      </c>
      <c r="B94" s="196" t="str">
        <f t="shared" ref="B94" si="278">A94</f>
        <v>1.7.1</v>
      </c>
      <c r="C94" s="285" t="s">
        <v>139</v>
      </c>
      <c r="D94" s="203" t="str">
        <f t="shared" ref="D94" si="279">C94</f>
        <v>Hardscape</v>
      </c>
      <c r="E94" s="33">
        <v>1046078.0249000001</v>
      </c>
      <c r="F94" s="34">
        <f t="shared" ref="F94" si="280">E94</f>
        <v>1046078.0249000001</v>
      </c>
      <c r="G94" s="81" t="s">
        <v>41</v>
      </c>
      <c r="H94" s="189">
        <v>0</v>
      </c>
      <c r="I94" s="189"/>
      <c r="J94" s="189"/>
      <c r="K94" s="120">
        <f t="shared" si="268"/>
        <v>1.0000000000000002</v>
      </c>
      <c r="L94" s="110">
        <f>K94*F94</f>
        <v>1046078.0249000003</v>
      </c>
      <c r="M94" s="134"/>
      <c r="N94" s="135"/>
      <c r="O94" s="135"/>
      <c r="P94" s="136"/>
      <c r="Q94" s="137"/>
      <c r="R94" s="135"/>
      <c r="S94" s="135"/>
      <c r="T94" s="136"/>
      <c r="U94" s="138"/>
      <c r="V94" s="135"/>
      <c r="W94" s="135"/>
      <c r="X94" s="136"/>
      <c r="Y94" s="137"/>
      <c r="Z94" s="135"/>
      <c r="AA94" s="135"/>
      <c r="AB94" s="139"/>
      <c r="AC94" s="136"/>
      <c r="AD94" s="137"/>
      <c r="AE94" s="135"/>
      <c r="AF94" s="135"/>
      <c r="AG94" s="136"/>
      <c r="AH94" s="138"/>
      <c r="AI94" s="135"/>
      <c r="AJ94" s="135"/>
      <c r="AK94" s="135"/>
      <c r="AL94" s="140"/>
      <c r="AM94" s="137"/>
      <c r="AN94" s="135"/>
      <c r="AO94" s="135"/>
      <c r="AP94" s="136"/>
      <c r="AQ94" s="157"/>
      <c r="AR94" s="149"/>
      <c r="AS94" s="149"/>
      <c r="AT94" s="156"/>
      <c r="AU94" s="157"/>
      <c r="AV94" s="149"/>
      <c r="AW94" s="149"/>
      <c r="AX94" s="149"/>
      <c r="AY94" s="150"/>
      <c r="AZ94" s="157"/>
      <c r="BA94" s="149"/>
      <c r="BB94" s="149"/>
      <c r="BC94" s="158"/>
      <c r="BD94" s="157"/>
      <c r="BE94" s="149"/>
      <c r="BF94" s="149"/>
      <c r="BG94" s="172">
        <v>0.04</v>
      </c>
      <c r="BH94" s="151">
        <v>0.05</v>
      </c>
      <c r="BI94" s="152">
        <v>0.05</v>
      </c>
      <c r="BJ94" s="152">
        <v>0.05</v>
      </c>
      <c r="BK94" s="152">
        <v>0.08</v>
      </c>
      <c r="BL94" s="159">
        <v>0.08</v>
      </c>
      <c r="BM94" s="151">
        <v>0.1</v>
      </c>
      <c r="BN94" s="152">
        <v>0.1</v>
      </c>
      <c r="BO94" s="152">
        <v>0.1</v>
      </c>
      <c r="BP94" s="153">
        <v>0.1</v>
      </c>
      <c r="BQ94" s="151">
        <v>0.05</v>
      </c>
      <c r="BR94" s="152">
        <v>0.05</v>
      </c>
      <c r="BS94" s="135">
        <v>0.05</v>
      </c>
      <c r="BT94" s="136">
        <v>0.05</v>
      </c>
      <c r="BU94" s="137">
        <v>0.05</v>
      </c>
      <c r="BV94" s="135"/>
      <c r="BW94" s="135"/>
      <c r="BX94" s="139"/>
      <c r="BY94" s="140"/>
      <c r="BZ94" s="137"/>
      <c r="CA94" s="135"/>
      <c r="CB94" s="135"/>
      <c r="CC94" s="136"/>
      <c r="CD94" s="137"/>
      <c r="CE94" s="135"/>
      <c r="CF94" s="135"/>
      <c r="CG94" s="136"/>
      <c r="CH94" s="137"/>
      <c r="CI94" s="135"/>
      <c r="CJ94" s="135"/>
      <c r="CK94" s="135"/>
      <c r="CL94" s="140"/>
      <c r="CM94" s="137"/>
      <c r="CN94" s="135"/>
      <c r="CO94" s="135"/>
      <c r="CP94" s="136"/>
      <c r="CQ94" s="133"/>
      <c r="CR94" s="131"/>
      <c r="CS94" s="131"/>
      <c r="CT94" s="132"/>
      <c r="CU94" s="133"/>
      <c r="CV94" s="131"/>
      <c r="CW94" s="131"/>
      <c r="CX94" s="132"/>
      <c r="CY94" s="133"/>
      <c r="CZ94" s="131"/>
      <c r="DA94" s="131"/>
      <c r="DB94" s="132"/>
      <c r="DC94" s="82"/>
      <c r="DD94" s="79"/>
      <c r="DE94" s="79"/>
    </row>
    <row r="95" spans="1:109" ht="24.95" customHeight="1" outlineLevel="1" x14ac:dyDescent="0.55000000000000004">
      <c r="A95" s="284"/>
      <c r="B95" s="196" t="str">
        <f t="shared" ref="B95" si="281">B94</f>
        <v>1.7.1</v>
      </c>
      <c r="C95" s="285"/>
      <c r="D95" s="203" t="str">
        <f t="shared" ref="D95" si="282">D94</f>
        <v>Hardscape</v>
      </c>
      <c r="E95" s="33"/>
      <c r="F95" s="34">
        <f t="shared" ref="F95" si="283">E94</f>
        <v>1046078.0249000001</v>
      </c>
      <c r="G95" s="83" t="s">
        <v>42</v>
      </c>
      <c r="H95" s="190">
        <v>0</v>
      </c>
      <c r="I95" s="190"/>
      <c r="J95" s="190"/>
      <c r="K95" s="121">
        <f t="shared" si="268"/>
        <v>0</v>
      </c>
      <c r="L95" s="111">
        <f>K95*F95</f>
        <v>0</v>
      </c>
      <c r="M95" s="141"/>
      <c r="N95" s="142"/>
      <c r="O95" s="142"/>
      <c r="P95" s="143"/>
      <c r="Q95" s="144"/>
      <c r="R95" s="142"/>
      <c r="S95" s="142"/>
      <c r="T95" s="143"/>
      <c r="U95" s="145"/>
      <c r="V95" s="142"/>
      <c r="W95" s="142"/>
      <c r="X95" s="143"/>
      <c r="Y95" s="144"/>
      <c r="Z95" s="142"/>
      <c r="AA95" s="142"/>
      <c r="AB95" s="146"/>
      <c r="AC95" s="143"/>
      <c r="AD95" s="144"/>
      <c r="AE95" s="142"/>
      <c r="AF95" s="142"/>
      <c r="AG95" s="143"/>
      <c r="AH95" s="145"/>
      <c r="AI95" s="142"/>
      <c r="AJ95" s="142"/>
      <c r="AK95" s="142"/>
      <c r="AL95" s="147"/>
      <c r="AM95" s="144"/>
      <c r="AN95" s="142"/>
      <c r="AO95" s="154"/>
      <c r="AP95" s="143"/>
      <c r="AQ95" s="165"/>
      <c r="AR95" s="163"/>
      <c r="AS95" s="163"/>
      <c r="AT95" s="164"/>
      <c r="AU95" s="165"/>
      <c r="AV95" s="163"/>
      <c r="AW95" s="163"/>
      <c r="AX95" s="163"/>
      <c r="AY95" s="168"/>
      <c r="AZ95" s="165"/>
      <c r="BA95" s="163"/>
      <c r="BB95" s="163"/>
      <c r="BC95" s="167"/>
      <c r="BD95" s="165"/>
      <c r="BE95" s="163"/>
      <c r="BF95" s="163"/>
      <c r="BG95" s="164"/>
      <c r="BH95" s="144"/>
      <c r="BI95" s="142"/>
      <c r="BJ95" s="142"/>
      <c r="BK95" s="142"/>
      <c r="BL95" s="147"/>
      <c r="BM95" s="144"/>
      <c r="BN95" s="142"/>
      <c r="BO95" s="142"/>
      <c r="BP95" s="143"/>
      <c r="BQ95" s="144"/>
      <c r="BR95" s="142"/>
      <c r="BS95" s="142"/>
      <c r="BT95" s="143"/>
      <c r="BU95" s="144"/>
      <c r="BV95" s="142"/>
      <c r="BW95" s="142"/>
      <c r="BX95" s="146"/>
      <c r="BY95" s="147"/>
      <c r="BZ95" s="144"/>
      <c r="CA95" s="142"/>
      <c r="CB95" s="142"/>
      <c r="CC95" s="143"/>
      <c r="CD95" s="144"/>
      <c r="CE95" s="142"/>
      <c r="CF95" s="142"/>
      <c r="CG95" s="143"/>
      <c r="CH95" s="144"/>
      <c r="CI95" s="142"/>
      <c r="CJ95" s="142"/>
      <c r="CK95" s="142"/>
      <c r="CL95" s="147"/>
      <c r="CM95" s="144"/>
      <c r="CN95" s="142"/>
      <c r="CO95" s="142"/>
      <c r="CP95" s="143"/>
      <c r="CQ95" s="130"/>
      <c r="CR95" s="128"/>
      <c r="CS95" s="128"/>
      <c r="CT95" s="129"/>
      <c r="CU95" s="130"/>
      <c r="CV95" s="128"/>
      <c r="CW95" s="128"/>
      <c r="CX95" s="129"/>
      <c r="CY95" s="130"/>
      <c r="CZ95" s="128"/>
      <c r="DA95" s="128"/>
      <c r="DB95" s="129"/>
      <c r="DC95" s="80"/>
      <c r="DD95" s="79"/>
      <c r="DE95" s="79"/>
    </row>
    <row r="96" spans="1:109" ht="24.95" customHeight="1" outlineLevel="1" x14ac:dyDescent="0.55000000000000004">
      <c r="A96" s="284" t="s">
        <v>74</v>
      </c>
      <c r="B96" s="196" t="str">
        <f t="shared" ref="B96" si="284">A96</f>
        <v>1.7.3</v>
      </c>
      <c r="C96" s="285" t="s">
        <v>140</v>
      </c>
      <c r="D96" s="203" t="str">
        <f t="shared" ref="D96" si="285">C96</f>
        <v>Lighting Landscape</v>
      </c>
      <c r="E96" s="33">
        <v>1097274.4480750021</v>
      </c>
      <c r="F96" s="34">
        <f t="shared" ref="F96" si="286">E96</f>
        <v>1097274.4480750021</v>
      </c>
      <c r="G96" s="81" t="s">
        <v>41</v>
      </c>
      <c r="H96" s="189">
        <v>0</v>
      </c>
      <c r="I96" s="189"/>
      <c r="J96" s="189"/>
      <c r="K96" s="120">
        <f t="shared" si="268"/>
        <v>1</v>
      </c>
      <c r="L96" s="110">
        <f>K96*F96</f>
        <v>1097274.4480750021</v>
      </c>
      <c r="M96" s="134"/>
      <c r="N96" s="135"/>
      <c r="O96" s="135"/>
      <c r="P96" s="136"/>
      <c r="Q96" s="137"/>
      <c r="R96" s="135"/>
      <c r="S96" s="135"/>
      <c r="T96" s="136"/>
      <c r="U96" s="138"/>
      <c r="V96" s="135"/>
      <c r="W96" s="135"/>
      <c r="X96" s="136"/>
      <c r="Y96" s="137"/>
      <c r="Z96" s="135"/>
      <c r="AA96" s="135"/>
      <c r="AB96" s="139"/>
      <c r="AC96" s="136"/>
      <c r="AD96" s="137"/>
      <c r="AE96" s="135"/>
      <c r="AF96" s="135"/>
      <c r="AG96" s="136"/>
      <c r="AH96" s="138"/>
      <c r="AI96" s="135"/>
      <c r="AJ96" s="135"/>
      <c r="AK96" s="135"/>
      <c r="AL96" s="140"/>
      <c r="AM96" s="137"/>
      <c r="AN96" s="135"/>
      <c r="AO96" s="135"/>
      <c r="AP96" s="136"/>
      <c r="AQ96" s="137"/>
      <c r="AR96" s="135"/>
      <c r="AS96" s="135"/>
      <c r="AT96" s="136"/>
      <c r="AU96" s="157"/>
      <c r="AV96" s="149"/>
      <c r="AW96" s="149"/>
      <c r="AX96" s="149"/>
      <c r="AY96" s="150"/>
      <c r="AZ96" s="157"/>
      <c r="BA96" s="149"/>
      <c r="BB96" s="149"/>
      <c r="BC96" s="158"/>
      <c r="BD96" s="137"/>
      <c r="BE96" s="135"/>
      <c r="BF96" s="135"/>
      <c r="BG96" s="136"/>
      <c r="BH96" s="137"/>
      <c r="BI96" s="135"/>
      <c r="BJ96" s="135"/>
      <c r="BK96" s="135"/>
      <c r="BL96" s="140"/>
      <c r="BM96" s="151">
        <v>0.05</v>
      </c>
      <c r="BN96" s="152">
        <v>0.05</v>
      </c>
      <c r="BO96" s="152">
        <v>0.1</v>
      </c>
      <c r="BP96" s="153">
        <v>0.1</v>
      </c>
      <c r="BQ96" s="151">
        <v>0.1</v>
      </c>
      <c r="BR96" s="152">
        <v>0.25</v>
      </c>
      <c r="BS96" s="135">
        <v>0.2</v>
      </c>
      <c r="BT96" s="136">
        <v>0.1</v>
      </c>
      <c r="BU96" s="137">
        <v>0.05</v>
      </c>
      <c r="BV96" s="135"/>
      <c r="BW96" s="135"/>
      <c r="BX96" s="139"/>
      <c r="BY96" s="140"/>
      <c r="BZ96" s="137"/>
      <c r="CA96" s="135"/>
      <c r="CB96" s="135"/>
      <c r="CC96" s="136"/>
      <c r="CD96" s="137"/>
      <c r="CE96" s="135"/>
      <c r="CF96" s="135"/>
      <c r="CG96" s="136"/>
      <c r="CH96" s="137"/>
      <c r="CI96" s="135"/>
      <c r="CJ96" s="135"/>
      <c r="CK96" s="135"/>
      <c r="CL96" s="140"/>
      <c r="CM96" s="137"/>
      <c r="CN96" s="135"/>
      <c r="CO96" s="135"/>
      <c r="CP96" s="136"/>
      <c r="CQ96" s="133"/>
      <c r="CR96" s="131"/>
      <c r="CS96" s="131"/>
      <c r="CT96" s="132"/>
      <c r="CU96" s="133"/>
      <c r="CV96" s="131"/>
      <c r="CW96" s="131"/>
      <c r="CX96" s="132"/>
      <c r="CY96" s="133"/>
      <c r="CZ96" s="131"/>
      <c r="DA96" s="131"/>
      <c r="DB96" s="132"/>
      <c r="DC96" s="82"/>
      <c r="DD96" s="79"/>
      <c r="DE96" s="79"/>
    </row>
    <row r="97" spans="1:109" ht="24.95" customHeight="1" outlineLevel="1" x14ac:dyDescent="0.55000000000000004">
      <c r="A97" s="284"/>
      <c r="B97" s="196" t="str">
        <f t="shared" ref="B97" si="287">B96</f>
        <v>1.7.3</v>
      </c>
      <c r="C97" s="285"/>
      <c r="D97" s="203" t="str">
        <f t="shared" ref="D97" si="288">D96</f>
        <v>Lighting Landscape</v>
      </c>
      <c r="E97" s="33"/>
      <c r="F97" s="34">
        <f t="shared" ref="F97" si="289">E96</f>
        <v>1097274.4480750021</v>
      </c>
      <c r="G97" s="83" t="s">
        <v>42</v>
      </c>
      <c r="H97" s="190">
        <v>0</v>
      </c>
      <c r="I97" s="190"/>
      <c r="J97" s="190"/>
      <c r="K97" s="121">
        <f t="shared" si="268"/>
        <v>0</v>
      </c>
      <c r="L97" s="111">
        <f>K97*F97</f>
        <v>0</v>
      </c>
      <c r="M97" s="141"/>
      <c r="N97" s="142"/>
      <c r="O97" s="142"/>
      <c r="P97" s="143"/>
      <c r="Q97" s="144"/>
      <c r="R97" s="142"/>
      <c r="S97" s="142"/>
      <c r="T97" s="143"/>
      <c r="U97" s="145"/>
      <c r="V97" s="142"/>
      <c r="W97" s="142"/>
      <c r="X97" s="143"/>
      <c r="Y97" s="144"/>
      <c r="Z97" s="142"/>
      <c r="AA97" s="142"/>
      <c r="AB97" s="146"/>
      <c r="AC97" s="143"/>
      <c r="AD97" s="144"/>
      <c r="AE97" s="142"/>
      <c r="AF97" s="142"/>
      <c r="AG97" s="143"/>
      <c r="AH97" s="145"/>
      <c r="AI97" s="142"/>
      <c r="AJ97" s="142"/>
      <c r="AK97" s="142"/>
      <c r="AL97" s="147"/>
      <c r="AM97" s="144"/>
      <c r="AN97" s="142"/>
      <c r="AO97" s="142"/>
      <c r="AP97" s="143"/>
      <c r="AQ97" s="144"/>
      <c r="AR97" s="142"/>
      <c r="AS97" s="154"/>
      <c r="AT97" s="143"/>
      <c r="AU97" s="165"/>
      <c r="AV97" s="163"/>
      <c r="AW97" s="163"/>
      <c r="AX97" s="163"/>
      <c r="AY97" s="168"/>
      <c r="AZ97" s="165"/>
      <c r="BA97" s="163"/>
      <c r="BB97" s="163"/>
      <c r="BC97" s="167"/>
      <c r="BD97" s="144"/>
      <c r="BE97" s="142"/>
      <c r="BF97" s="142"/>
      <c r="BG97" s="143"/>
      <c r="BH97" s="144"/>
      <c r="BI97" s="142"/>
      <c r="BJ97" s="142"/>
      <c r="BK97" s="142"/>
      <c r="BL97" s="147"/>
      <c r="BM97" s="144"/>
      <c r="BN97" s="142"/>
      <c r="BO97" s="142"/>
      <c r="BP97" s="143"/>
      <c r="BQ97" s="144"/>
      <c r="BR97" s="142"/>
      <c r="BS97" s="142"/>
      <c r="BT97" s="143"/>
      <c r="BU97" s="144"/>
      <c r="BV97" s="142"/>
      <c r="BW97" s="142"/>
      <c r="BX97" s="146"/>
      <c r="BY97" s="147"/>
      <c r="BZ97" s="144"/>
      <c r="CA97" s="142"/>
      <c r="CB97" s="142"/>
      <c r="CC97" s="143"/>
      <c r="CD97" s="144"/>
      <c r="CE97" s="142"/>
      <c r="CF97" s="142"/>
      <c r="CG97" s="143"/>
      <c r="CH97" s="144"/>
      <c r="CI97" s="142"/>
      <c r="CJ97" s="142"/>
      <c r="CK97" s="142"/>
      <c r="CL97" s="147"/>
      <c r="CM97" s="144"/>
      <c r="CN97" s="142"/>
      <c r="CO97" s="142"/>
      <c r="CP97" s="143"/>
      <c r="CQ97" s="130"/>
      <c r="CR97" s="128"/>
      <c r="CS97" s="128"/>
      <c r="CT97" s="129"/>
      <c r="CU97" s="130"/>
      <c r="CV97" s="128"/>
      <c r="CW97" s="128"/>
      <c r="CX97" s="129"/>
      <c r="CY97" s="130"/>
      <c r="CZ97" s="128"/>
      <c r="DA97" s="128"/>
      <c r="DB97" s="129"/>
      <c r="DC97" s="80"/>
      <c r="DD97" s="79"/>
      <c r="DE97" s="79"/>
    </row>
    <row r="98" spans="1:109" ht="24.95" customHeight="1" x14ac:dyDescent="0.55000000000000004">
      <c r="A98" s="282">
        <v>1.8</v>
      </c>
      <c r="B98" s="197">
        <f t="shared" ref="B98" si="290">A98</f>
        <v>1.8</v>
      </c>
      <c r="C98" s="283" t="s">
        <v>141</v>
      </c>
      <c r="D98" s="202" t="str">
        <f t="shared" ref="D98" si="291">C98</f>
        <v>Equipments</v>
      </c>
      <c r="E98" s="62">
        <f>SUM(E100:E107)</f>
        <v>33207814.05848429</v>
      </c>
      <c r="F98" s="32">
        <f t="shared" ref="F98" si="292">E98</f>
        <v>33207814.05848429</v>
      </c>
      <c r="G98" s="112" t="s">
        <v>41</v>
      </c>
      <c r="H98" s="184">
        <v>1</v>
      </c>
      <c r="I98" s="184"/>
      <c r="J98" s="184" t="s">
        <v>105</v>
      </c>
      <c r="K98" s="122">
        <f>L98/F98</f>
        <v>1</v>
      </c>
      <c r="L98" s="113">
        <f>L100+L102+L104+L106</f>
        <v>33207814.05848429</v>
      </c>
      <c r="M98" s="134">
        <f t="shared" ref="M98:AR98" si="293">SUMPRODUCT(($G$100:$G$107="P")*$F$100:$F$107*M100:M107)/$E$98</f>
        <v>0</v>
      </c>
      <c r="N98" s="135">
        <f t="shared" si="293"/>
        <v>0</v>
      </c>
      <c r="O98" s="135">
        <f t="shared" si="293"/>
        <v>0</v>
      </c>
      <c r="P98" s="136">
        <f t="shared" si="293"/>
        <v>0</v>
      </c>
      <c r="Q98" s="137">
        <f t="shared" si="293"/>
        <v>0</v>
      </c>
      <c r="R98" s="135">
        <f t="shared" si="293"/>
        <v>0</v>
      </c>
      <c r="S98" s="135">
        <f t="shared" si="293"/>
        <v>0</v>
      </c>
      <c r="T98" s="136">
        <f t="shared" si="293"/>
        <v>0</v>
      </c>
      <c r="U98" s="138">
        <f t="shared" si="293"/>
        <v>0</v>
      </c>
      <c r="V98" s="135">
        <f t="shared" si="293"/>
        <v>0</v>
      </c>
      <c r="W98" s="135">
        <f t="shared" si="293"/>
        <v>0</v>
      </c>
      <c r="X98" s="136">
        <f t="shared" si="293"/>
        <v>0</v>
      </c>
      <c r="Y98" s="137">
        <f t="shared" si="293"/>
        <v>0</v>
      </c>
      <c r="Z98" s="135">
        <f t="shared" si="293"/>
        <v>0</v>
      </c>
      <c r="AA98" s="135">
        <f t="shared" si="293"/>
        <v>0</v>
      </c>
      <c r="AB98" s="139">
        <f t="shared" si="293"/>
        <v>0</v>
      </c>
      <c r="AC98" s="136">
        <f t="shared" si="293"/>
        <v>0</v>
      </c>
      <c r="AD98" s="137">
        <f t="shared" si="293"/>
        <v>0</v>
      </c>
      <c r="AE98" s="135">
        <f t="shared" si="293"/>
        <v>0</v>
      </c>
      <c r="AF98" s="135">
        <f t="shared" si="293"/>
        <v>0</v>
      </c>
      <c r="AG98" s="136">
        <f t="shared" si="293"/>
        <v>0</v>
      </c>
      <c r="AH98" s="138">
        <f t="shared" si="293"/>
        <v>0</v>
      </c>
      <c r="AI98" s="135">
        <f t="shared" si="293"/>
        <v>0</v>
      </c>
      <c r="AJ98" s="135">
        <f t="shared" si="293"/>
        <v>0</v>
      </c>
      <c r="AK98" s="135">
        <f t="shared" si="293"/>
        <v>0</v>
      </c>
      <c r="AL98" s="140">
        <f t="shared" si="293"/>
        <v>0</v>
      </c>
      <c r="AM98" s="137">
        <f t="shared" si="293"/>
        <v>0</v>
      </c>
      <c r="AN98" s="135">
        <f t="shared" si="293"/>
        <v>0</v>
      </c>
      <c r="AO98" s="135">
        <f t="shared" si="293"/>
        <v>0</v>
      </c>
      <c r="AP98" s="136">
        <f t="shared" si="293"/>
        <v>0</v>
      </c>
      <c r="AQ98" s="137">
        <f t="shared" si="293"/>
        <v>0</v>
      </c>
      <c r="AR98" s="135">
        <f t="shared" si="293"/>
        <v>0</v>
      </c>
      <c r="AS98" s="135">
        <f t="shared" ref="AS98:BT98" si="294">SUMPRODUCT(($G$100:$G$107="P")*$F$100:$F$107*AS100:AS107)/$E$98</f>
        <v>0</v>
      </c>
      <c r="AT98" s="136">
        <f t="shared" si="294"/>
        <v>0</v>
      </c>
      <c r="AU98" s="137">
        <f t="shared" si="294"/>
        <v>0</v>
      </c>
      <c r="AV98" s="135">
        <f t="shared" si="294"/>
        <v>0</v>
      </c>
      <c r="AW98" s="135">
        <f t="shared" si="294"/>
        <v>0</v>
      </c>
      <c r="AX98" s="135">
        <f t="shared" si="294"/>
        <v>0</v>
      </c>
      <c r="AY98" s="140">
        <f t="shared" si="294"/>
        <v>0</v>
      </c>
      <c r="AZ98" s="137">
        <f t="shared" si="294"/>
        <v>0</v>
      </c>
      <c r="BA98" s="135">
        <f t="shared" si="294"/>
        <v>0</v>
      </c>
      <c r="BB98" s="135">
        <f t="shared" si="294"/>
        <v>0</v>
      </c>
      <c r="BC98" s="139">
        <f t="shared" si="294"/>
        <v>0</v>
      </c>
      <c r="BD98" s="137">
        <f t="shared" si="294"/>
        <v>0</v>
      </c>
      <c r="BE98" s="135">
        <f t="shared" si="294"/>
        <v>0</v>
      </c>
      <c r="BF98" s="135">
        <f t="shared" si="294"/>
        <v>0</v>
      </c>
      <c r="BG98" s="136">
        <f t="shared" si="294"/>
        <v>0</v>
      </c>
      <c r="BH98" s="137">
        <f t="shared" si="294"/>
        <v>0</v>
      </c>
      <c r="BI98" s="135">
        <f t="shared" si="294"/>
        <v>0</v>
      </c>
      <c r="BJ98" s="135">
        <f t="shared" si="294"/>
        <v>0</v>
      </c>
      <c r="BK98" s="135">
        <f t="shared" si="294"/>
        <v>0</v>
      </c>
      <c r="BL98" s="140">
        <f t="shared" si="294"/>
        <v>0</v>
      </c>
      <c r="BM98" s="137">
        <f t="shared" si="294"/>
        <v>0</v>
      </c>
      <c r="BN98" s="135">
        <f t="shared" si="294"/>
        <v>0</v>
      </c>
      <c r="BO98" s="135">
        <f t="shared" si="294"/>
        <v>0</v>
      </c>
      <c r="BP98" s="136">
        <f t="shared" si="294"/>
        <v>0</v>
      </c>
      <c r="BQ98" s="137">
        <f t="shared" si="294"/>
        <v>0</v>
      </c>
      <c r="BR98" s="135">
        <f t="shared" si="294"/>
        <v>0</v>
      </c>
      <c r="BS98" s="135">
        <f t="shared" si="294"/>
        <v>0</v>
      </c>
      <c r="BT98" s="136">
        <f t="shared" si="294"/>
        <v>0</v>
      </c>
      <c r="BU98" s="137" cm="1">
        <f t="array" ref="BU98">SUMPRODUCT(($G$100:$G$107="P")*$F$100:$F$107*BU100:BU107)/$E$98</f>
        <v>2.5509145049396501E-2</v>
      </c>
      <c r="BV98" s="135" cm="1">
        <f t="array" ref="BV98">SUMPRODUCT(($G$100:$G$107="P")*$F$100:$F$107*BV100:BV107)/$E$98</f>
        <v>2.5509145049396501E-2</v>
      </c>
      <c r="BW98" s="135" cm="1">
        <f t="array" ref="BW98">SUMPRODUCT(($G$100:$G$107="P")*$F$100:$F$107*BW100:BW107)/$E$98</f>
        <v>2.7796594600209636E-2</v>
      </c>
      <c r="BX98" s="139" cm="1">
        <f t="array" ref="BX98">SUMPRODUCT(($G$100:$G$107="P")*$F$100:$F$107*BX100:BX107)/$E$98</f>
        <v>4.4155941446353597E-2</v>
      </c>
      <c r="BY98" s="140" cm="1">
        <f t="array" ref="BY98">SUMPRODUCT(($G$100:$G$107="P")*$F$100:$F$107*BY100:BY107)/$E$98</f>
        <v>5.5593189200419273E-2</v>
      </c>
      <c r="BZ98" s="137" cm="1">
        <f t="array" ref="BZ98">SUMPRODUCT(($G$100:$G$107="P")*$F$100:$F$107*BZ100:BZ107)/$E$98</f>
        <v>0.13774682640107883</v>
      </c>
      <c r="CA98" s="135" cm="1">
        <f t="array" ref="CA98">SUMPRODUCT(($G$100:$G$107="P")*$F$100:$F$107*CA100:CA107)/$E$98</f>
        <v>0.12630957864701314</v>
      </c>
      <c r="CB98" s="135" cm="1">
        <f t="array" ref="CB98">SUMPRODUCT(($G$100:$G$107="P")*$F$100:$F$107*CB100:CB107)/$E$98</f>
        <v>0.12449346082571157</v>
      </c>
      <c r="CC98" s="136" cm="1">
        <f t="array" ref="CC98">SUMPRODUCT(($G$100:$G$107="P")*$F$100:$F$107*CC100:CC107)/$E$98</f>
        <v>0.12449346082571157</v>
      </c>
      <c r="CD98" s="137" cm="1">
        <f t="array" ref="CD98">SUMPRODUCT(($G$100:$G$107="P")*$F$100:$F$107*CD100:CD107)/$E$98</f>
        <v>0.11190597360846917</v>
      </c>
      <c r="CE98" s="135" cm="1">
        <f t="array" ref="CE98">SUMPRODUCT(($G$100:$G$107="P")*$F$100:$F$107*CE100:CE107)/$E$98</f>
        <v>7.9534479906633274E-2</v>
      </c>
      <c r="CF98" s="135" cm="1">
        <f t="array" ref="CF98">SUMPRODUCT(($G$100:$G$107="P")*$F$100:$F$107*CF100:CF107)/$E$98</f>
        <v>5.8476102219803497E-2</v>
      </c>
      <c r="CG98" s="136" cm="1">
        <f t="array" ref="CG98">SUMPRODUCT(($G$100:$G$107="P")*$F$100:$F$107*CG100:CG107)/$E$98</f>
        <v>5.8476102219803497E-2</v>
      </c>
      <c r="CH98" s="137" cm="1">
        <f t="array" ref="CH98">SUMPRODUCT(($G$100:$G$107="P")*$F$100:$F$107*CH100:CH107)/$E$98</f>
        <v>0</v>
      </c>
      <c r="CI98" s="135" cm="1">
        <f t="array" ref="CI98">SUMPRODUCT(($G$100:$G$107="P")*$F$100:$F$107*CI100:CI107)/$E$98</f>
        <v>0</v>
      </c>
      <c r="CJ98" s="135" cm="1">
        <f t="array" ref="CJ98">SUMPRODUCT(($G$100:$G$107="P")*$F$100:$F$107*CJ100:CJ107)/$E$98</f>
        <v>0</v>
      </c>
      <c r="CK98" s="135" cm="1">
        <f t="array" ref="CK98">SUMPRODUCT(($G$100:$G$107="P")*$F$100:$F$107*CK100:CK107)/$E$98</f>
        <v>0</v>
      </c>
      <c r="CL98" s="140" cm="1">
        <f t="array" ref="CL98">SUMPRODUCT(($G$100:$G$107="P")*$F$100:$F$107*CL100:CL107)/$E$98</f>
        <v>0</v>
      </c>
      <c r="CM98" s="137">
        <f t="shared" ref="CM98:DB98" si="295">SUMPRODUCT(($G$100:$G$107="P")*$F$100:$F$107*CM100:CM107)/$E$98</f>
        <v>0</v>
      </c>
      <c r="CN98" s="135">
        <f t="shared" si="295"/>
        <v>0</v>
      </c>
      <c r="CO98" s="135">
        <f t="shared" si="295"/>
        <v>0</v>
      </c>
      <c r="CP98" s="136">
        <f t="shared" si="295"/>
        <v>0</v>
      </c>
      <c r="CQ98" s="133">
        <f t="shared" si="295"/>
        <v>0</v>
      </c>
      <c r="CR98" s="131">
        <f t="shared" si="295"/>
        <v>0</v>
      </c>
      <c r="CS98" s="131">
        <f t="shared" si="295"/>
        <v>0</v>
      </c>
      <c r="CT98" s="132">
        <f t="shared" si="295"/>
        <v>0</v>
      </c>
      <c r="CU98" s="133">
        <f t="shared" si="295"/>
        <v>0</v>
      </c>
      <c r="CV98" s="131">
        <f t="shared" si="295"/>
        <v>0</v>
      </c>
      <c r="CW98" s="131">
        <f t="shared" si="295"/>
        <v>0</v>
      </c>
      <c r="CX98" s="132">
        <f t="shared" si="295"/>
        <v>0</v>
      </c>
      <c r="CY98" s="133">
        <f t="shared" si="295"/>
        <v>0</v>
      </c>
      <c r="CZ98" s="131">
        <f t="shared" si="295"/>
        <v>0</v>
      </c>
      <c r="DA98" s="131">
        <f t="shared" si="295"/>
        <v>0</v>
      </c>
      <c r="DB98" s="132">
        <f t="shared" si="295"/>
        <v>0</v>
      </c>
      <c r="DC98" s="82"/>
      <c r="DD98" s="79"/>
      <c r="DE98" s="79"/>
    </row>
    <row r="99" spans="1:109" ht="24.95" customHeight="1" x14ac:dyDescent="0.55000000000000004">
      <c r="A99" s="282"/>
      <c r="B99" s="197">
        <f t="shared" ref="B99" si="296">B98</f>
        <v>1.8</v>
      </c>
      <c r="C99" s="283"/>
      <c r="D99" s="202" t="str">
        <f t="shared" ref="D99" si="297">D98</f>
        <v>Equipments</v>
      </c>
      <c r="E99" s="31"/>
      <c r="F99" s="32">
        <f t="shared" ref="F99" si="298">E98</f>
        <v>33207814.05848429</v>
      </c>
      <c r="G99" s="114" t="s">
        <v>42</v>
      </c>
      <c r="H99" s="185">
        <v>1</v>
      </c>
      <c r="I99" s="185"/>
      <c r="J99" s="185" t="s">
        <v>105</v>
      </c>
      <c r="K99" s="123">
        <f>L99/F99</f>
        <v>0</v>
      </c>
      <c r="L99" s="115">
        <f>L101+L103+L105+L107</f>
        <v>0</v>
      </c>
      <c r="M99" s="141" cm="1">
        <f t="array" ref="M99">SUMPRODUCT(($G$100:$G$107="A")*$F$100:$F$107*M100:M107)/$E$98</f>
        <v>0</v>
      </c>
      <c r="N99" s="142" cm="1">
        <f t="array" ref="N99">SUMPRODUCT(($G$100:$G$107="A")*$F$100:$F$107*N100:N107)/$E$98</f>
        <v>0</v>
      </c>
      <c r="O99" s="142" cm="1">
        <f t="array" ref="O99">SUMPRODUCT(($G$100:$G$107="A")*$F$100:$F$107*O100:O107)/$E$98</f>
        <v>0</v>
      </c>
      <c r="P99" s="143" cm="1">
        <f t="array" ref="P99">SUMPRODUCT(($G$100:$G$107="A")*$F$100:$F$107*P100:P107)/$E$98</f>
        <v>0</v>
      </c>
      <c r="Q99" s="142" cm="1">
        <f t="array" ref="Q99">SUMPRODUCT(($G$100:$G$107="A")*$F$100:$F$107*Q100:Q107)/$E$98</f>
        <v>0</v>
      </c>
      <c r="R99" s="142" cm="1">
        <f t="array" ref="R99">SUMPRODUCT(($G$100:$G$107="A")*$F$100:$F$107*R100:R107)/$E$98</f>
        <v>0</v>
      </c>
      <c r="S99" s="142" cm="1">
        <f t="array" ref="S99">SUMPRODUCT(($G$100:$G$107="A")*$F$100:$F$107*S100:S107)/$E$98</f>
        <v>0</v>
      </c>
      <c r="T99" s="143" cm="1">
        <f t="array" ref="T99">SUMPRODUCT(($G$100:$G$107="A")*$F$100:$F$107*T100:T107)/$E$98</f>
        <v>0</v>
      </c>
      <c r="U99" s="145" cm="1">
        <f t="array" ref="U99">SUMPRODUCT(($G$100:$G$107="A")*$F$100:$F$107*U100:U107)/$E$98</f>
        <v>0</v>
      </c>
      <c r="V99" s="142" cm="1">
        <f t="array" ref="V99">SUMPRODUCT(($G$100:$G$107="A")*$F$100:$F$107*V100:V107)/$E$98</f>
        <v>0</v>
      </c>
      <c r="W99" s="142" cm="1">
        <f t="array" ref="W99">SUMPRODUCT(($G$100:$G$107="A")*$F$100:$F$107*W100:W107)/$E$98</f>
        <v>0</v>
      </c>
      <c r="X99" s="143" cm="1">
        <f t="array" ref="X99">SUMPRODUCT(($G$100:$G$107="A")*$F$100:$F$107*X100:X107)/$E$98</f>
        <v>0</v>
      </c>
      <c r="Y99" s="144" cm="1">
        <f t="array" ref="Y99">SUMPRODUCT(($G$100:$G$107="A")*$F$100:$F$107*Y100:Y107)/$E$98</f>
        <v>0</v>
      </c>
      <c r="Z99" s="142" cm="1">
        <f t="array" ref="Z99">SUMPRODUCT(($G$100:$G$107="A")*$F$100:$F$107*Z100:Z107)/$E$98</f>
        <v>0</v>
      </c>
      <c r="AA99" s="142" cm="1">
        <f t="array" ref="AA99">SUMPRODUCT(($G$100:$G$107="A")*$F$100:$F$107*AA100:AA107)/$E$98</f>
        <v>0</v>
      </c>
      <c r="AB99" s="146" cm="1">
        <f t="array" ref="AB99">SUMPRODUCT(($G$100:$G$107="A")*$F$100:$F$107*AB100:AB107)/$E$98</f>
        <v>0</v>
      </c>
      <c r="AC99" s="143" cm="1">
        <f t="array" ref="AC99">SUMPRODUCT(($G$100:$G$107="A")*$F$100:$F$107*AC100:AC107)/$E$98</f>
        <v>0</v>
      </c>
      <c r="AD99" s="144" cm="1">
        <f t="array" ref="AD99">SUMPRODUCT(($G$100:$G$107="A")*$F$100:$F$107*AD100:AD107)/$E$98</f>
        <v>0</v>
      </c>
      <c r="AE99" s="142" cm="1">
        <f t="array" ref="AE99">SUMPRODUCT(($G$100:$G$107="A")*$F$100:$F$107*AE100:AE107)/$E$98</f>
        <v>0</v>
      </c>
      <c r="AF99" s="142" cm="1">
        <f t="array" ref="AF99">SUMPRODUCT(($G$100:$G$107="A")*$F$100:$F$107*AF100:AF107)/$E$98</f>
        <v>0</v>
      </c>
      <c r="AG99" s="143" cm="1">
        <f t="array" ref="AG99">SUMPRODUCT(($G$100:$G$107="A")*$F$100:$F$107*AG100:AG107)/$E$98</f>
        <v>0</v>
      </c>
      <c r="AH99" s="145" cm="1">
        <f t="array" ref="AH99">SUMPRODUCT(($G$100:$G$107="A")*$F$100:$F$107*AH100:AH107)/$E$98</f>
        <v>0</v>
      </c>
      <c r="AI99" s="142" cm="1">
        <f t="array" ref="AI99">SUMPRODUCT(($G$100:$G$107="A")*$F$100:$F$107*AI100:AI107)/$E$98</f>
        <v>0</v>
      </c>
      <c r="AJ99" s="142" cm="1">
        <f t="array" ref="AJ99">SUMPRODUCT(($G$100:$G$107="A")*$F$100:$F$107*AJ100:AJ107)/$E$98</f>
        <v>0</v>
      </c>
      <c r="AK99" s="142" cm="1">
        <f t="array" ref="AK99">SUMPRODUCT(($G$100:$G$107="A")*$F$100:$F$107*AK100:AK107)/$E$98</f>
        <v>0</v>
      </c>
      <c r="AL99" s="147" cm="1">
        <f t="array" ref="AL99">SUMPRODUCT(($G$100:$G$107="A")*$F$100:$F$107*AL100:AL107)/$E$98</f>
        <v>0</v>
      </c>
      <c r="AM99" s="144" cm="1">
        <f t="array" ref="AM99">SUMPRODUCT(($G$100:$G$107="A")*$F$100:$F$107*AM100:AM107)/$E$98</f>
        <v>0</v>
      </c>
      <c r="AN99" s="142" cm="1">
        <f t="array" ref="AN99">SUMPRODUCT(($G$100:$G$107="A")*$F$100:$F$107*AN100:AN107)/$E$98</f>
        <v>0</v>
      </c>
      <c r="AO99" s="142" cm="1">
        <f t="array" ref="AO99">SUMPRODUCT(($G$100:$G$107="A")*$F$100:$F$107*AO100:AO107)/$E$98</f>
        <v>0</v>
      </c>
      <c r="AP99" s="143" cm="1">
        <f t="array" ref="AP99">SUMPRODUCT(($G$100:$G$107="A")*$F$100:$F$107*AP100:AP107)/$E$98</f>
        <v>0</v>
      </c>
      <c r="AQ99" s="144" cm="1">
        <f t="array" ref="AQ99">SUMPRODUCT(($G$100:$G$107="A")*$F$100:$F$107*AQ100:AQ107)/$E$98</f>
        <v>0</v>
      </c>
      <c r="AR99" s="142" cm="1">
        <f t="array" ref="AR99">SUMPRODUCT(($G$100:$G$107="A")*$F$100:$F$107*AR100:AR107)/$E$98</f>
        <v>0</v>
      </c>
      <c r="AS99" s="142" cm="1">
        <f t="array" ref="AS99">SUMPRODUCT(($G$100:$G$107="A")*$F$100:$F$107*AS100:AS107)/$E$98</f>
        <v>0</v>
      </c>
      <c r="AT99" s="143" cm="1">
        <f t="array" ref="AT99">SUMPRODUCT(($G$100:$G$107="A")*$F$100:$F$107*AT100:AT107)/$E$98</f>
        <v>0</v>
      </c>
      <c r="AU99" s="144" cm="1">
        <f t="array" ref="AU99">SUMPRODUCT(($G$100:$G$107="A")*$F$100:$F$107*AU100:AU107)/$E$98</f>
        <v>0</v>
      </c>
      <c r="AV99" s="142" cm="1">
        <f t="array" ref="AV99">SUMPRODUCT(($G$100:$G$107="A")*$F$100:$F$107*AV100:AV107)/$E$98</f>
        <v>0</v>
      </c>
      <c r="AW99" s="142" cm="1">
        <f t="array" ref="AW99">SUMPRODUCT(($G$100:$G$107="A")*$F$100:$F$107*AW100:AW107)/$E$98</f>
        <v>0</v>
      </c>
      <c r="AX99" s="142" cm="1">
        <f t="array" ref="AX99">SUMPRODUCT(($G$100:$G$107="A")*$F$100:$F$107*AX100:AX107)/$E$98</f>
        <v>0</v>
      </c>
      <c r="AY99" s="147" cm="1">
        <f t="array" ref="AY99">SUMPRODUCT(($G$100:$G$107="A")*$F$100:$F$107*AY100:AY107)/$E$98</f>
        <v>0</v>
      </c>
      <c r="AZ99" s="144" cm="1">
        <f t="array" ref="AZ99">SUMPRODUCT(($G$100:$G$107="A")*$F$100:$F$107*AZ100:AZ107)/$E$98</f>
        <v>0</v>
      </c>
      <c r="BA99" s="142" cm="1">
        <f t="array" ref="BA99">SUMPRODUCT(($G$100:$G$107="A")*$F$100:$F$107*BA100:BA107)/$E$98</f>
        <v>0</v>
      </c>
      <c r="BB99" s="142" cm="1">
        <f t="array" ref="BB99">SUMPRODUCT(($G$100:$G$107="A")*$F$100:$F$107*BB100:BB107)/$E$98</f>
        <v>0</v>
      </c>
      <c r="BC99" s="146" cm="1">
        <f t="array" ref="BC99">SUMPRODUCT(($G$100:$G$107="A")*$F$100:$F$107*BC100:BC107)/$E$98</f>
        <v>0</v>
      </c>
      <c r="BD99" s="144" cm="1">
        <f t="array" ref="BD99">SUMPRODUCT(($G$100:$G$107="A")*$F$100:$F$107*BD100:BD107)/$E$98</f>
        <v>0</v>
      </c>
      <c r="BE99" s="142" cm="1">
        <f t="array" ref="BE99">SUMPRODUCT(($G$100:$G$107="A")*$F$100:$F$107*BE100:BE107)/$E$98</f>
        <v>0</v>
      </c>
      <c r="BF99" s="142" cm="1">
        <f t="array" ref="BF99">SUMPRODUCT(($G$100:$G$107="A")*$F$100:$F$107*BF100:BF107)/$E$98</f>
        <v>0</v>
      </c>
      <c r="BG99" s="143" cm="1">
        <f t="array" ref="BG99">SUMPRODUCT(($G$100:$G$107="A")*$F$100:$F$107*BG100:BG107)/$E$98</f>
        <v>0</v>
      </c>
      <c r="BH99" s="144" cm="1">
        <f t="array" ref="BH99">SUMPRODUCT(($G$100:$G$107="A")*$F$100:$F$107*BH100:BH107)/$E$98</f>
        <v>0</v>
      </c>
      <c r="BI99" s="142" cm="1">
        <f t="array" ref="BI99">SUMPRODUCT(($G$100:$G$107="A")*$F$100:$F$107*BI100:BI107)/$E$98</f>
        <v>0</v>
      </c>
      <c r="BJ99" s="142" cm="1">
        <f t="array" ref="BJ99">SUMPRODUCT(($G$100:$G$107="A")*$F$100:$F$107*BJ100:BJ107)/$E$98</f>
        <v>0</v>
      </c>
      <c r="BK99" s="142" cm="1">
        <f t="array" ref="BK99">SUMPRODUCT(($G$100:$G$107="A")*$F$100:$F$107*BK100:BK107)/$E$98</f>
        <v>0</v>
      </c>
      <c r="BL99" s="147" cm="1">
        <f t="array" ref="BL99">SUMPRODUCT(($G$100:$G$107="A")*$F$100:$F$107*BL100:BL107)/$E$98</f>
        <v>0</v>
      </c>
      <c r="BM99" s="144" cm="1">
        <f t="array" ref="BM99">SUMPRODUCT(($G$100:$G$107="A")*$F$100:$F$107*BM100:BM107)/$E$98</f>
        <v>0</v>
      </c>
      <c r="BN99" s="142" cm="1">
        <f t="array" ref="BN99">SUMPRODUCT(($G$100:$G$107="A")*$F$100:$F$107*BN100:BN107)/$E$98</f>
        <v>0</v>
      </c>
      <c r="BO99" s="142" cm="1">
        <f t="array" ref="BO99">SUMPRODUCT(($G$100:$G$107="A")*$F$100:$F$107*BO100:BO107)/$E$98</f>
        <v>0</v>
      </c>
      <c r="BP99" s="143" cm="1">
        <f t="array" ref="BP99">SUMPRODUCT(($G$100:$G$107="A")*$F$100:$F$107*BP100:BP107)/$E$98</f>
        <v>0</v>
      </c>
      <c r="BQ99" s="144" cm="1">
        <f t="array" ref="BQ99">SUMPRODUCT(($G$100:$G$107="A")*$F$100:$F$107*BQ100:BQ107)/$E$98</f>
        <v>0</v>
      </c>
      <c r="BR99" s="142" cm="1">
        <f t="array" ref="BR99">SUMPRODUCT(($G$100:$G$107="A")*$F$100:$F$107*BR100:BR107)/$E$98</f>
        <v>0</v>
      </c>
      <c r="BS99" s="142" cm="1">
        <f t="array" ref="BS99">SUMPRODUCT(($G$100:$G$107="A")*$F$100:$F$107*BS100:BS107)/$E$98</f>
        <v>0</v>
      </c>
      <c r="BT99" s="143" cm="1">
        <f t="array" ref="BT99">SUMPRODUCT(($G$100:$G$107="A")*$F$100:$F$107*BT100:BT107)/$E$98</f>
        <v>0</v>
      </c>
      <c r="BU99" s="144" cm="1">
        <f t="array" ref="BU99">SUMPRODUCT(($G$100:$G$107="A")*$F$100:$F$107*BU100:BU107)/$E$98</f>
        <v>0</v>
      </c>
      <c r="BV99" s="142" cm="1">
        <f t="array" ref="BV99">SUMPRODUCT(($G$100:$G$107="A")*$F$100:$F$107*BV100:BV107)/$E$98</f>
        <v>0</v>
      </c>
      <c r="BW99" s="142" cm="1">
        <f t="array" ref="BW99">SUMPRODUCT(($G$100:$G$107="A")*$F$100:$F$107*BW100:BW107)/$E$98</f>
        <v>0</v>
      </c>
      <c r="BX99" s="146" cm="1">
        <f t="array" ref="BX99">SUMPRODUCT(($G$100:$G$107="A")*$F$100:$F$107*BX100:BX107)/$E$98</f>
        <v>0</v>
      </c>
      <c r="BY99" s="147" cm="1">
        <f t="array" ref="BY99">SUMPRODUCT(($G$100:$G$107="A")*$F$100:$F$107*BY100:BY107)/$E$98</f>
        <v>0</v>
      </c>
      <c r="BZ99" s="144" cm="1">
        <f t="array" ref="BZ99">SUMPRODUCT(($G$100:$G$107="A")*$F$100:$F$107*BZ100:BZ107)/$E$98</f>
        <v>0</v>
      </c>
      <c r="CA99" s="142" cm="1">
        <f t="array" ref="CA99">SUMPRODUCT(($G$100:$G$107="A")*$F$100:$F$107*CA100:CA107)/$E$98</f>
        <v>0</v>
      </c>
      <c r="CB99" s="142" cm="1">
        <f t="array" ref="CB99">SUMPRODUCT(($G$100:$G$107="A")*$F$100:$F$107*CB100:CB107)/$E$98</f>
        <v>0</v>
      </c>
      <c r="CC99" s="143" cm="1">
        <f t="array" ref="CC99">SUMPRODUCT(($G$100:$G$107="A")*$F$100:$F$107*CC100:CC107)/$E$98</f>
        <v>0</v>
      </c>
      <c r="CD99" s="144" cm="1">
        <f t="array" ref="CD99">SUMPRODUCT(($G$100:$G$107="A")*$F$100:$F$107*CD100:CD107)/$E$98</f>
        <v>0</v>
      </c>
      <c r="CE99" s="142" cm="1">
        <f t="array" ref="CE99">SUMPRODUCT(($G$100:$G$107="A")*$F$100:$F$107*CE100:CE107)/$E$98</f>
        <v>0</v>
      </c>
      <c r="CF99" s="142" cm="1">
        <f t="array" ref="CF99">SUMPRODUCT(($G$100:$G$107="A")*$F$100:$F$107*CF100:CF107)/$E$98</f>
        <v>0</v>
      </c>
      <c r="CG99" s="143" cm="1">
        <f t="array" ref="CG99">SUMPRODUCT(($G$100:$G$107="A")*$F$100:$F$107*CG100:CG107)/$E$98</f>
        <v>0</v>
      </c>
      <c r="CH99" s="144" cm="1">
        <f t="array" ref="CH99">SUMPRODUCT(($G$100:$G$107="A")*$F$100:$F$107*CH100:CH107)/$E$98</f>
        <v>0</v>
      </c>
      <c r="CI99" s="142" cm="1">
        <f t="array" ref="CI99">SUMPRODUCT(($G$100:$G$107="A")*$F$100:$F$107*CI100:CI107)/$E$98</f>
        <v>0</v>
      </c>
      <c r="CJ99" s="142" cm="1">
        <f t="array" ref="CJ99">SUMPRODUCT(($G$100:$G$107="A")*$F$100:$F$107*CJ100:CJ107)/$E$98</f>
        <v>0</v>
      </c>
      <c r="CK99" s="142" cm="1">
        <f t="array" ref="CK99">SUMPRODUCT(($G$100:$G$107="A")*$F$100:$F$107*CK100:CK107)/$E$98</f>
        <v>0</v>
      </c>
      <c r="CL99" s="147" cm="1">
        <f t="array" ref="CL99">SUMPRODUCT(($G$100:$G$107="A")*$F$100:$F$107*CL100:CL107)/$E$98</f>
        <v>0</v>
      </c>
      <c r="CM99" s="144" cm="1">
        <f t="array" ref="CM99">SUMPRODUCT(($G$100:$G$107="A")*$F$100:$F$107*CM100:CM107)/$E$98</f>
        <v>0</v>
      </c>
      <c r="CN99" s="142" cm="1">
        <f t="array" ref="CN99">SUMPRODUCT(($G$100:$G$107="A")*$F$100:$F$107*CN100:CN107)/$E$98</f>
        <v>0</v>
      </c>
      <c r="CO99" s="142" cm="1">
        <f t="array" ref="CO99">SUMPRODUCT(($G$100:$G$107="A")*$F$100:$F$107*CO100:CO107)/$E$98</f>
        <v>0</v>
      </c>
      <c r="CP99" s="143" cm="1">
        <f t="array" ref="CP99">SUMPRODUCT(($G$100:$G$107="A")*$F$100:$F$107*CP100:CP107)/$E$98</f>
        <v>0</v>
      </c>
      <c r="CQ99" s="130" cm="1">
        <f t="array" ref="CQ99">SUMPRODUCT(($G$100:$G$107="A")*$F$100:$F$107*CQ100:CQ107)/$E$98</f>
        <v>0</v>
      </c>
      <c r="CR99" s="128" cm="1">
        <f t="array" ref="CR99">SUMPRODUCT(($G$100:$G$107="A")*$F$100:$F$107*CR100:CR107)/$E$98</f>
        <v>0</v>
      </c>
      <c r="CS99" s="128" cm="1">
        <f t="array" ref="CS99">SUMPRODUCT(($G$100:$G$107="A")*$F$100:$F$107*CS100:CS107)/$E$98</f>
        <v>0</v>
      </c>
      <c r="CT99" s="129" cm="1">
        <f t="array" ref="CT99">SUMPRODUCT(($G$100:$G$107="A")*$F$100:$F$107*CT100:CT107)/$E$98</f>
        <v>0</v>
      </c>
      <c r="CU99" s="130" cm="1">
        <f t="array" ref="CU99">SUMPRODUCT(($G$100:$G$107="A")*$F$100:$F$107*CU100:CU107)/$E$98</f>
        <v>0</v>
      </c>
      <c r="CV99" s="128" cm="1">
        <f t="array" ref="CV99">SUMPRODUCT(($G$100:$G$107="A")*$F$100:$F$107*CV100:CV107)/$E$98</f>
        <v>0</v>
      </c>
      <c r="CW99" s="128" cm="1">
        <f t="array" ref="CW99">SUMPRODUCT(($G$100:$G$107="A")*$F$100:$F$107*CW100:CW107)/$E$98</f>
        <v>0</v>
      </c>
      <c r="CX99" s="129" cm="1">
        <f t="array" ref="CX99">SUMPRODUCT(($G$100:$G$107="A")*$F$100:$F$107*CX100:CX107)/$E$98</f>
        <v>0</v>
      </c>
      <c r="CY99" s="130" cm="1">
        <f t="array" ref="CY99">SUMPRODUCT(($G$100:$G$107="A")*$F$100:$F$107*CY100:CY107)/$E$98</f>
        <v>0</v>
      </c>
      <c r="CZ99" s="128" cm="1">
        <f t="array" ref="CZ99">SUMPRODUCT(($G$100:$G$107="A")*$F$100:$F$107*CZ100:CZ107)/$E$98</f>
        <v>0</v>
      </c>
      <c r="DA99" s="128" cm="1">
        <f t="array" ref="DA99">SUMPRODUCT(($G$100:$G$107="A")*$F$100:$F$107*DA100:DA107)/$E$98</f>
        <v>0</v>
      </c>
      <c r="DB99" s="129" cm="1">
        <f t="array" ref="DB99">SUMPRODUCT(($G$100:$G$107="A")*$F$100:$F$107*DB100:DB107)/$E$98</f>
        <v>0</v>
      </c>
      <c r="DC99" s="80" cm="1">
        <f t="array" ref="DC99">SUMPRODUCT(($G$100:$G$107="A")*$F$100:$F$107*DC100:DC107)/$E$98</f>
        <v>0</v>
      </c>
      <c r="DD99" s="79"/>
      <c r="DE99" s="79"/>
    </row>
    <row r="100" spans="1:109" ht="24.95" customHeight="1" outlineLevel="1" x14ac:dyDescent="0.55000000000000004">
      <c r="A100" s="284" t="s">
        <v>75</v>
      </c>
      <c r="B100" s="196" t="str">
        <f t="shared" ref="B100" si="299">A100</f>
        <v>1.8.1</v>
      </c>
      <c r="C100" s="285" t="s">
        <v>142</v>
      </c>
      <c r="D100" s="203" t="str">
        <f t="shared" ref="D100" si="300">C100</f>
        <v>Sound | AV</v>
      </c>
      <c r="E100" s="33">
        <v>7596119.9351565996</v>
      </c>
      <c r="F100" s="34">
        <f t="shared" ref="F100" si="301">E100</f>
        <v>7596119.9351565996</v>
      </c>
      <c r="G100" s="81" t="s">
        <v>41</v>
      </c>
      <c r="H100" s="189">
        <v>0</v>
      </c>
      <c r="I100" s="189"/>
      <c r="J100" s="189"/>
      <c r="K100" s="120">
        <f t="shared" ref="K100:K107" si="302">SUM(M100:DC100)</f>
        <v>1</v>
      </c>
      <c r="L100" s="110">
        <f t="shared" ref="L100:L107" si="303">K100*F100</f>
        <v>7596119.9351565996</v>
      </c>
      <c r="M100" s="134"/>
      <c r="N100" s="135"/>
      <c r="O100" s="135"/>
      <c r="P100" s="136"/>
      <c r="Q100" s="137"/>
      <c r="R100" s="135"/>
      <c r="S100" s="135"/>
      <c r="T100" s="136"/>
      <c r="U100" s="138"/>
      <c r="V100" s="135"/>
      <c r="W100" s="135"/>
      <c r="X100" s="136"/>
      <c r="Y100" s="137"/>
      <c r="Z100" s="135"/>
      <c r="AA100" s="135"/>
      <c r="AB100" s="139"/>
      <c r="AC100" s="136"/>
      <c r="AD100" s="137"/>
      <c r="AE100" s="135"/>
      <c r="AF100" s="135"/>
      <c r="AG100" s="136"/>
      <c r="AH100" s="138"/>
      <c r="AI100" s="135"/>
      <c r="AJ100" s="135"/>
      <c r="AK100" s="135"/>
      <c r="AL100" s="140"/>
      <c r="AM100" s="137"/>
      <c r="AN100" s="135"/>
      <c r="AO100" s="135"/>
      <c r="AP100" s="136"/>
      <c r="AQ100" s="137"/>
      <c r="AR100" s="135"/>
      <c r="AS100" s="135"/>
      <c r="AT100" s="136"/>
      <c r="AU100" s="137"/>
      <c r="AV100" s="135"/>
      <c r="AW100" s="135"/>
      <c r="AX100" s="135"/>
      <c r="AY100" s="140"/>
      <c r="AZ100" s="157"/>
      <c r="BA100" s="149"/>
      <c r="BB100" s="149"/>
      <c r="BC100" s="158"/>
      <c r="BD100" s="157"/>
      <c r="BE100" s="149"/>
      <c r="BF100" s="149"/>
      <c r="BG100" s="156"/>
      <c r="BH100" s="157"/>
      <c r="BI100" s="149"/>
      <c r="BJ100" s="149"/>
      <c r="BK100" s="149"/>
      <c r="BL100" s="150"/>
      <c r="BM100" s="137"/>
      <c r="BN100" s="135"/>
      <c r="BO100" s="135"/>
      <c r="BP100" s="136"/>
      <c r="BQ100" s="137"/>
      <c r="BR100" s="135"/>
      <c r="BS100" s="135"/>
      <c r="BT100" s="136"/>
      <c r="BU100" s="151">
        <v>0.04</v>
      </c>
      <c r="BV100" s="152">
        <v>0.04</v>
      </c>
      <c r="BW100" s="152">
        <v>0.05</v>
      </c>
      <c r="BX100" s="169">
        <v>0.05</v>
      </c>
      <c r="BY100" s="159">
        <v>0.1</v>
      </c>
      <c r="BZ100" s="151">
        <v>0.25</v>
      </c>
      <c r="CA100" s="152">
        <v>0.2</v>
      </c>
      <c r="CB100" s="152">
        <v>0.1</v>
      </c>
      <c r="CC100" s="153">
        <v>0.1</v>
      </c>
      <c r="CD100" s="137">
        <v>7.0000000000000007E-2</v>
      </c>
      <c r="CE100" s="135"/>
      <c r="CF100" s="135"/>
      <c r="CG100" s="136"/>
      <c r="CH100" s="137"/>
      <c r="CI100" s="135"/>
      <c r="CJ100" s="135"/>
      <c r="CK100" s="135"/>
      <c r="CL100" s="140"/>
      <c r="CM100" s="137"/>
      <c r="CN100" s="135"/>
      <c r="CO100" s="135"/>
      <c r="CP100" s="136"/>
      <c r="CQ100" s="133"/>
      <c r="CR100" s="131"/>
      <c r="CS100" s="131"/>
      <c r="CT100" s="132"/>
      <c r="CU100" s="133"/>
      <c r="CV100" s="131"/>
      <c r="CW100" s="131"/>
      <c r="CX100" s="132"/>
      <c r="CY100" s="133"/>
      <c r="CZ100" s="131"/>
      <c r="DA100" s="131"/>
      <c r="DB100" s="132"/>
      <c r="DC100" s="82"/>
      <c r="DD100" s="79"/>
      <c r="DE100" s="79"/>
    </row>
    <row r="101" spans="1:109" ht="24.95" customHeight="1" outlineLevel="1" x14ac:dyDescent="0.55000000000000004">
      <c r="A101" s="284"/>
      <c r="B101" s="196" t="str">
        <f t="shared" ref="B101" si="304">B100</f>
        <v>1.8.1</v>
      </c>
      <c r="C101" s="285"/>
      <c r="D101" s="203" t="str">
        <f t="shared" ref="D101" si="305">D100</f>
        <v>Sound | AV</v>
      </c>
      <c r="E101" s="33"/>
      <c r="F101" s="34">
        <f t="shared" ref="F101" si="306">E100</f>
        <v>7596119.9351565996</v>
      </c>
      <c r="G101" s="83" t="s">
        <v>42</v>
      </c>
      <c r="H101" s="190">
        <v>0</v>
      </c>
      <c r="I101" s="190"/>
      <c r="J101" s="190"/>
      <c r="K101" s="121">
        <f t="shared" si="302"/>
        <v>0</v>
      </c>
      <c r="L101" s="111">
        <f t="shared" si="303"/>
        <v>0</v>
      </c>
      <c r="M101" s="141"/>
      <c r="N101" s="142"/>
      <c r="O101" s="142"/>
      <c r="P101" s="143"/>
      <c r="Q101" s="144"/>
      <c r="R101" s="142"/>
      <c r="S101" s="142"/>
      <c r="T101" s="143"/>
      <c r="U101" s="145"/>
      <c r="V101" s="142"/>
      <c r="W101" s="142"/>
      <c r="X101" s="143"/>
      <c r="Y101" s="144"/>
      <c r="Z101" s="142"/>
      <c r="AA101" s="142"/>
      <c r="AB101" s="146"/>
      <c r="AC101" s="143"/>
      <c r="AD101" s="144"/>
      <c r="AE101" s="142"/>
      <c r="AF101" s="142"/>
      <c r="AG101" s="143"/>
      <c r="AH101" s="145"/>
      <c r="AI101" s="142"/>
      <c r="AJ101" s="142"/>
      <c r="AK101" s="142"/>
      <c r="AL101" s="147"/>
      <c r="AM101" s="144"/>
      <c r="AN101" s="142"/>
      <c r="AO101" s="142"/>
      <c r="AP101" s="143"/>
      <c r="AQ101" s="144"/>
      <c r="AR101" s="142"/>
      <c r="AS101" s="142"/>
      <c r="AT101" s="143"/>
      <c r="AU101" s="144"/>
      <c r="AV101" s="142"/>
      <c r="AW101" s="154"/>
      <c r="AX101" s="142"/>
      <c r="AY101" s="147"/>
      <c r="AZ101" s="165"/>
      <c r="BA101" s="163"/>
      <c r="BB101" s="163"/>
      <c r="BC101" s="167"/>
      <c r="BD101" s="165"/>
      <c r="BE101" s="163"/>
      <c r="BF101" s="163"/>
      <c r="BG101" s="164"/>
      <c r="BH101" s="165"/>
      <c r="BI101" s="163"/>
      <c r="BJ101" s="163"/>
      <c r="BK101" s="163"/>
      <c r="BL101" s="168"/>
      <c r="BM101" s="144"/>
      <c r="BN101" s="142"/>
      <c r="BO101" s="142"/>
      <c r="BP101" s="143"/>
      <c r="BQ101" s="144"/>
      <c r="BR101" s="142"/>
      <c r="BS101" s="142"/>
      <c r="BT101" s="143"/>
      <c r="BU101" s="144"/>
      <c r="BV101" s="142"/>
      <c r="BW101" s="142"/>
      <c r="BX101" s="146"/>
      <c r="BY101" s="147"/>
      <c r="BZ101" s="144"/>
      <c r="CA101" s="142"/>
      <c r="CB101" s="142"/>
      <c r="CC101" s="143"/>
      <c r="CD101" s="144"/>
      <c r="CE101" s="142"/>
      <c r="CF101" s="142"/>
      <c r="CG101" s="143"/>
      <c r="CH101" s="144"/>
      <c r="CI101" s="142"/>
      <c r="CJ101" s="142"/>
      <c r="CK101" s="142"/>
      <c r="CL101" s="147"/>
      <c r="CM101" s="144"/>
      <c r="CN101" s="142"/>
      <c r="CO101" s="142"/>
      <c r="CP101" s="143"/>
      <c r="CQ101" s="130"/>
      <c r="CR101" s="128"/>
      <c r="CS101" s="128"/>
      <c r="CT101" s="129"/>
      <c r="CU101" s="130"/>
      <c r="CV101" s="128"/>
      <c r="CW101" s="128"/>
      <c r="CX101" s="129"/>
      <c r="CY101" s="130"/>
      <c r="CZ101" s="128"/>
      <c r="DA101" s="128"/>
      <c r="DB101" s="129"/>
      <c r="DC101" s="80"/>
      <c r="DD101" s="79"/>
      <c r="DE101" s="79"/>
    </row>
    <row r="102" spans="1:109" ht="24.95" customHeight="1" outlineLevel="1" x14ac:dyDescent="0.55000000000000004">
      <c r="A102" s="284" t="s">
        <v>76</v>
      </c>
      <c r="B102" s="196" t="str">
        <f t="shared" ref="B102" si="307">A102</f>
        <v>1.8.2</v>
      </c>
      <c r="C102" s="334" t="s">
        <v>143</v>
      </c>
      <c r="D102" s="207" t="str">
        <f t="shared" ref="D102" si="308">C102</f>
        <v>Loose Fur.</v>
      </c>
      <c r="E102" s="33">
        <v>13986053.81195155</v>
      </c>
      <c r="F102" s="34">
        <f t="shared" ref="F102" si="309">E102</f>
        <v>13986053.81195155</v>
      </c>
      <c r="G102" s="81" t="s">
        <v>41</v>
      </c>
      <c r="H102" s="189">
        <v>0</v>
      </c>
      <c r="I102" s="189"/>
      <c r="J102" s="189"/>
      <c r="K102" s="120">
        <f t="shared" si="302"/>
        <v>1</v>
      </c>
      <c r="L102" s="110">
        <f t="shared" si="303"/>
        <v>13986053.81195155</v>
      </c>
      <c r="M102" s="134"/>
      <c r="N102" s="135"/>
      <c r="O102" s="135"/>
      <c r="P102" s="136"/>
      <c r="Q102" s="137"/>
      <c r="R102" s="135"/>
      <c r="S102" s="135"/>
      <c r="T102" s="136"/>
      <c r="U102" s="138"/>
      <c r="V102" s="135"/>
      <c r="W102" s="135"/>
      <c r="X102" s="136"/>
      <c r="Y102" s="137"/>
      <c r="Z102" s="135"/>
      <c r="AA102" s="135"/>
      <c r="AB102" s="139"/>
      <c r="AC102" s="136"/>
      <c r="AD102" s="137"/>
      <c r="AE102" s="135"/>
      <c r="AF102" s="135"/>
      <c r="AG102" s="136"/>
      <c r="AH102" s="138"/>
      <c r="AI102" s="135"/>
      <c r="AJ102" s="135"/>
      <c r="AK102" s="135"/>
      <c r="AL102" s="140"/>
      <c r="AM102" s="137"/>
      <c r="AN102" s="135"/>
      <c r="AO102" s="135"/>
      <c r="AP102" s="136"/>
      <c r="AQ102" s="137"/>
      <c r="AR102" s="135"/>
      <c r="AS102" s="135"/>
      <c r="AT102" s="136"/>
      <c r="AU102" s="137"/>
      <c r="AV102" s="135"/>
      <c r="AW102" s="135"/>
      <c r="AX102" s="135"/>
      <c r="AY102" s="140"/>
      <c r="AZ102" s="157"/>
      <c r="BA102" s="149"/>
      <c r="BB102" s="149"/>
      <c r="BC102" s="158"/>
      <c r="BD102" s="157"/>
      <c r="BE102" s="149"/>
      <c r="BF102" s="149"/>
      <c r="BG102" s="156"/>
      <c r="BH102" s="157"/>
      <c r="BI102" s="149"/>
      <c r="BJ102" s="149"/>
      <c r="BK102" s="149"/>
      <c r="BL102" s="150"/>
      <c r="BM102" s="157"/>
      <c r="BN102" s="149"/>
      <c r="BO102" s="149"/>
      <c r="BP102" s="156"/>
      <c r="BQ102" s="137"/>
      <c r="BR102" s="135"/>
      <c r="BS102" s="135"/>
      <c r="BT102" s="136"/>
      <c r="BU102" s="137"/>
      <c r="BV102" s="135"/>
      <c r="BW102" s="135"/>
      <c r="BX102" s="139"/>
      <c r="BY102" s="140"/>
      <c r="BZ102" s="151">
        <v>0.1</v>
      </c>
      <c r="CA102" s="152">
        <v>0.1</v>
      </c>
      <c r="CB102" s="152">
        <v>0.15</v>
      </c>
      <c r="CC102" s="153">
        <v>0.15</v>
      </c>
      <c r="CD102" s="151">
        <v>0.15</v>
      </c>
      <c r="CE102" s="152">
        <v>0.15</v>
      </c>
      <c r="CF102" s="152">
        <v>0.1</v>
      </c>
      <c r="CG102" s="153">
        <v>0.1</v>
      </c>
      <c r="CH102" s="137"/>
      <c r="CI102" s="135"/>
      <c r="CJ102" s="135"/>
      <c r="CK102" s="135"/>
      <c r="CL102" s="140"/>
      <c r="CM102" s="137"/>
      <c r="CN102" s="135"/>
      <c r="CO102" s="135"/>
      <c r="CP102" s="136"/>
      <c r="CQ102" s="133"/>
      <c r="CR102" s="131"/>
      <c r="CS102" s="131"/>
      <c r="CT102" s="132"/>
      <c r="CU102" s="133"/>
      <c r="CV102" s="131"/>
      <c r="CW102" s="131"/>
      <c r="CX102" s="132"/>
      <c r="CY102" s="133"/>
      <c r="CZ102" s="131"/>
      <c r="DA102" s="131"/>
      <c r="DB102" s="132"/>
      <c r="DC102" s="82"/>
      <c r="DD102" s="79"/>
      <c r="DE102" s="79"/>
    </row>
    <row r="103" spans="1:109" ht="24.95" customHeight="1" outlineLevel="1" x14ac:dyDescent="0.55000000000000004">
      <c r="A103" s="284"/>
      <c r="B103" s="196" t="str">
        <f t="shared" ref="B103" si="310">B102</f>
        <v>1.8.2</v>
      </c>
      <c r="C103" s="334"/>
      <c r="D103" s="207" t="str">
        <f t="shared" ref="D103" si="311">D102</f>
        <v>Loose Fur.</v>
      </c>
      <c r="E103" s="33"/>
      <c r="F103" s="34">
        <f t="shared" ref="F103" si="312">E102</f>
        <v>13986053.81195155</v>
      </c>
      <c r="G103" s="83" t="s">
        <v>42</v>
      </c>
      <c r="H103" s="190">
        <v>0</v>
      </c>
      <c r="I103" s="190"/>
      <c r="J103" s="190"/>
      <c r="K103" s="121">
        <f t="shared" si="302"/>
        <v>0</v>
      </c>
      <c r="L103" s="111">
        <f t="shared" si="303"/>
        <v>0</v>
      </c>
      <c r="M103" s="141"/>
      <c r="N103" s="142"/>
      <c r="O103" s="142"/>
      <c r="P103" s="143"/>
      <c r="Q103" s="144"/>
      <c r="R103" s="142"/>
      <c r="S103" s="142"/>
      <c r="T103" s="143"/>
      <c r="U103" s="145"/>
      <c r="V103" s="142"/>
      <c r="W103" s="142"/>
      <c r="X103" s="143"/>
      <c r="Y103" s="144"/>
      <c r="Z103" s="142"/>
      <c r="AA103" s="142"/>
      <c r="AB103" s="146"/>
      <c r="AC103" s="143"/>
      <c r="AD103" s="144"/>
      <c r="AE103" s="142"/>
      <c r="AF103" s="142"/>
      <c r="AG103" s="143"/>
      <c r="AH103" s="145"/>
      <c r="AI103" s="142"/>
      <c r="AJ103" s="142"/>
      <c r="AK103" s="142"/>
      <c r="AL103" s="147"/>
      <c r="AM103" s="144"/>
      <c r="AN103" s="142"/>
      <c r="AO103" s="142"/>
      <c r="AP103" s="143"/>
      <c r="AQ103" s="144"/>
      <c r="AR103" s="142"/>
      <c r="AS103" s="142"/>
      <c r="AT103" s="143"/>
      <c r="AU103" s="144"/>
      <c r="AV103" s="142"/>
      <c r="AW103" s="154"/>
      <c r="AX103" s="142"/>
      <c r="AY103" s="147"/>
      <c r="AZ103" s="144"/>
      <c r="BA103" s="142"/>
      <c r="BB103" s="142"/>
      <c r="BC103" s="146"/>
      <c r="BD103" s="144"/>
      <c r="BE103" s="142"/>
      <c r="BF103" s="142"/>
      <c r="BG103" s="143"/>
      <c r="BH103" s="144"/>
      <c r="BI103" s="142"/>
      <c r="BJ103" s="142"/>
      <c r="BK103" s="142"/>
      <c r="BL103" s="147"/>
      <c r="BM103" s="144"/>
      <c r="BN103" s="142"/>
      <c r="BO103" s="142"/>
      <c r="BP103" s="143"/>
      <c r="BQ103" s="144"/>
      <c r="BR103" s="142"/>
      <c r="BS103" s="142"/>
      <c r="BT103" s="143"/>
      <c r="BU103" s="144"/>
      <c r="BV103" s="142"/>
      <c r="BW103" s="142"/>
      <c r="BX103" s="146"/>
      <c r="BY103" s="147"/>
      <c r="BZ103" s="144"/>
      <c r="CA103" s="142"/>
      <c r="CB103" s="142"/>
      <c r="CC103" s="143"/>
      <c r="CD103" s="144"/>
      <c r="CE103" s="142"/>
      <c r="CF103" s="142"/>
      <c r="CG103" s="143"/>
      <c r="CH103" s="144"/>
      <c r="CI103" s="142"/>
      <c r="CJ103" s="142"/>
      <c r="CK103" s="142"/>
      <c r="CL103" s="147"/>
      <c r="CM103" s="144"/>
      <c r="CN103" s="142"/>
      <c r="CO103" s="142"/>
      <c r="CP103" s="143"/>
      <c r="CQ103" s="130"/>
      <c r="CR103" s="128"/>
      <c r="CS103" s="128"/>
      <c r="CT103" s="129"/>
      <c r="CU103" s="130"/>
      <c r="CV103" s="128"/>
      <c r="CW103" s="128"/>
      <c r="CX103" s="129"/>
      <c r="CY103" s="130"/>
      <c r="CZ103" s="128"/>
      <c r="DA103" s="128"/>
      <c r="DB103" s="129"/>
      <c r="DC103" s="80"/>
      <c r="DD103" s="79"/>
      <c r="DE103" s="79"/>
    </row>
    <row r="104" spans="1:109" ht="24.95" customHeight="1" outlineLevel="1" x14ac:dyDescent="0.55000000000000004">
      <c r="A104" s="284" t="s">
        <v>77</v>
      </c>
      <c r="B104" s="196" t="str">
        <f t="shared" ref="B104" si="313">A104</f>
        <v>1.8.5</v>
      </c>
      <c r="C104" s="285" t="s">
        <v>144</v>
      </c>
      <c r="D104" s="203" t="str">
        <f t="shared" ref="D104" si="314">C104</f>
        <v>Main Eq.</v>
      </c>
      <c r="E104" s="33">
        <v>10865162.9637</v>
      </c>
      <c r="F104" s="34">
        <f t="shared" ref="F104" si="315">E104</f>
        <v>10865162.9637</v>
      </c>
      <c r="G104" s="81" t="s">
        <v>41</v>
      </c>
      <c r="H104" s="189">
        <v>0</v>
      </c>
      <c r="I104" s="189"/>
      <c r="J104" s="189"/>
      <c r="K104" s="120">
        <f t="shared" si="302"/>
        <v>1</v>
      </c>
      <c r="L104" s="110">
        <f t="shared" si="303"/>
        <v>10865162.9637</v>
      </c>
      <c r="M104" s="134"/>
      <c r="N104" s="135"/>
      <c r="O104" s="135"/>
      <c r="P104" s="136"/>
      <c r="Q104" s="137"/>
      <c r="R104" s="135"/>
      <c r="S104" s="135"/>
      <c r="T104" s="136"/>
      <c r="U104" s="138"/>
      <c r="V104" s="135"/>
      <c r="W104" s="135"/>
      <c r="X104" s="136"/>
      <c r="Y104" s="137"/>
      <c r="Z104" s="135"/>
      <c r="AA104" s="135"/>
      <c r="AB104" s="139"/>
      <c r="AC104" s="136"/>
      <c r="AD104" s="137"/>
      <c r="AE104" s="135"/>
      <c r="AF104" s="135"/>
      <c r="AG104" s="136"/>
      <c r="AH104" s="138"/>
      <c r="AI104" s="135"/>
      <c r="AJ104" s="135"/>
      <c r="AK104" s="135"/>
      <c r="AL104" s="140"/>
      <c r="AM104" s="137"/>
      <c r="AN104" s="135"/>
      <c r="AO104" s="135"/>
      <c r="AP104" s="136"/>
      <c r="AQ104" s="137"/>
      <c r="AR104" s="135"/>
      <c r="AS104" s="135"/>
      <c r="AT104" s="136"/>
      <c r="AU104" s="137"/>
      <c r="AV104" s="135"/>
      <c r="AW104" s="135"/>
      <c r="AX104" s="149"/>
      <c r="AY104" s="150"/>
      <c r="AZ104" s="157"/>
      <c r="BA104" s="149"/>
      <c r="BB104" s="149"/>
      <c r="BC104" s="158"/>
      <c r="BD104" s="157"/>
      <c r="BE104" s="149"/>
      <c r="BF104" s="149"/>
      <c r="BG104" s="156"/>
      <c r="BH104" s="157"/>
      <c r="BI104" s="149"/>
      <c r="BJ104" s="149"/>
      <c r="BK104" s="149"/>
      <c r="BL104" s="150"/>
      <c r="BM104" s="157"/>
      <c r="BN104" s="149"/>
      <c r="BO104" s="149"/>
      <c r="BP104" s="156"/>
      <c r="BQ104" s="157"/>
      <c r="BR104" s="149"/>
      <c r="BS104" s="149"/>
      <c r="BT104" s="156"/>
      <c r="BU104" s="151">
        <v>0.05</v>
      </c>
      <c r="BV104" s="152">
        <v>0.05</v>
      </c>
      <c r="BW104" s="152">
        <v>0.05</v>
      </c>
      <c r="BX104" s="169">
        <v>0.1</v>
      </c>
      <c r="BY104" s="159">
        <v>0.1</v>
      </c>
      <c r="BZ104" s="151">
        <v>0.1</v>
      </c>
      <c r="CA104" s="152">
        <v>0.1</v>
      </c>
      <c r="CB104" s="152">
        <v>0.1</v>
      </c>
      <c r="CC104" s="153">
        <v>0.1</v>
      </c>
      <c r="CD104" s="151">
        <v>0.1</v>
      </c>
      <c r="CE104" s="152">
        <v>0.05</v>
      </c>
      <c r="CF104" s="152">
        <v>0.05</v>
      </c>
      <c r="CG104" s="153">
        <v>0.05</v>
      </c>
      <c r="CH104" s="137"/>
      <c r="CI104" s="135"/>
      <c r="CJ104" s="135"/>
      <c r="CK104" s="135"/>
      <c r="CL104" s="140"/>
      <c r="CM104" s="137"/>
      <c r="CN104" s="135"/>
      <c r="CO104" s="135"/>
      <c r="CP104" s="136"/>
      <c r="CQ104" s="133"/>
      <c r="CR104" s="131"/>
      <c r="CS104" s="131"/>
      <c r="CT104" s="132"/>
      <c r="CU104" s="133"/>
      <c r="CV104" s="131"/>
      <c r="CW104" s="131"/>
      <c r="CX104" s="132"/>
      <c r="CY104" s="133"/>
      <c r="CZ104" s="131"/>
      <c r="DA104" s="131"/>
      <c r="DB104" s="132"/>
      <c r="DC104" s="82"/>
      <c r="DD104" s="79"/>
      <c r="DE104" s="79"/>
    </row>
    <row r="105" spans="1:109" ht="24.95" customHeight="1" outlineLevel="1" x14ac:dyDescent="0.55000000000000004">
      <c r="A105" s="284"/>
      <c r="B105" s="196" t="str">
        <f t="shared" ref="B105" si="316">B104</f>
        <v>1.8.5</v>
      </c>
      <c r="C105" s="285"/>
      <c r="D105" s="203" t="str">
        <f t="shared" ref="D105" si="317">D104</f>
        <v>Main Eq.</v>
      </c>
      <c r="E105" s="33"/>
      <c r="F105" s="34">
        <f t="shared" ref="F105" si="318">E104</f>
        <v>10865162.9637</v>
      </c>
      <c r="G105" s="83" t="s">
        <v>42</v>
      </c>
      <c r="H105" s="190">
        <v>0</v>
      </c>
      <c r="I105" s="190"/>
      <c r="J105" s="190"/>
      <c r="K105" s="121">
        <f t="shared" si="302"/>
        <v>0</v>
      </c>
      <c r="L105" s="111">
        <f t="shared" si="303"/>
        <v>0</v>
      </c>
      <c r="M105" s="141"/>
      <c r="N105" s="142"/>
      <c r="O105" s="142"/>
      <c r="P105" s="143"/>
      <c r="Q105" s="144"/>
      <c r="R105" s="142"/>
      <c r="S105" s="142"/>
      <c r="T105" s="143"/>
      <c r="U105" s="145"/>
      <c r="V105" s="142"/>
      <c r="W105" s="142"/>
      <c r="X105" s="143"/>
      <c r="Y105" s="144"/>
      <c r="Z105" s="142"/>
      <c r="AA105" s="142"/>
      <c r="AB105" s="146"/>
      <c r="AC105" s="143"/>
      <c r="AD105" s="144"/>
      <c r="AE105" s="142"/>
      <c r="AF105" s="142"/>
      <c r="AG105" s="143"/>
      <c r="AH105" s="145"/>
      <c r="AI105" s="142"/>
      <c r="AJ105" s="142"/>
      <c r="AK105" s="142"/>
      <c r="AL105" s="147"/>
      <c r="AM105" s="144"/>
      <c r="AN105" s="142"/>
      <c r="AO105" s="142"/>
      <c r="AP105" s="143"/>
      <c r="AQ105" s="144"/>
      <c r="AR105" s="142"/>
      <c r="AS105" s="142"/>
      <c r="AT105" s="143"/>
      <c r="AU105" s="144"/>
      <c r="AV105" s="142"/>
      <c r="AW105" s="154"/>
      <c r="AX105" s="163"/>
      <c r="AY105" s="168"/>
      <c r="AZ105" s="165"/>
      <c r="BA105" s="163"/>
      <c r="BB105" s="163"/>
      <c r="BC105" s="167"/>
      <c r="BD105" s="165"/>
      <c r="BE105" s="163"/>
      <c r="BF105" s="163"/>
      <c r="BG105" s="164"/>
      <c r="BH105" s="165"/>
      <c r="BI105" s="163"/>
      <c r="BJ105" s="163"/>
      <c r="BK105" s="163"/>
      <c r="BL105" s="168"/>
      <c r="BM105" s="165"/>
      <c r="BN105" s="163"/>
      <c r="BO105" s="163"/>
      <c r="BP105" s="164"/>
      <c r="BQ105" s="165"/>
      <c r="BR105" s="163"/>
      <c r="BS105" s="163"/>
      <c r="BT105" s="164"/>
      <c r="BU105" s="144"/>
      <c r="BV105" s="142"/>
      <c r="BW105" s="142"/>
      <c r="BX105" s="146"/>
      <c r="BY105" s="147"/>
      <c r="BZ105" s="144"/>
      <c r="CA105" s="142"/>
      <c r="CB105" s="142"/>
      <c r="CC105" s="143"/>
      <c r="CD105" s="144"/>
      <c r="CE105" s="142"/>
      <c r="CF105" s="142"/>
      <c r="CG105" s="143"/>
      <c r="CH105" s="144"/>
      <c r="CI105" s="142"/>
      <c r="CJ105" s="142"/>
      <c r="CK105" s="142"/>
      <c r="CL105" s="147"/>
      <c r="CM105" s="144"/>
      <c r="CN105" s="142"/>
      <c r="CO105" s="142"/>
      <c r="CP105" s="143"/>
      <c r="CQ105" s="130"/>
      <c r="CR105" s="128"/>
      <c r="CS105" s="128"/>
      <c r="CT105" s="129"/>
      <c r="CU105" s="130"/>
      <c r="CV105" s="128"/>
      <c r="CW105" s="128"/>
      <c r="CX105" s="129"/>
      <c r="CY105" s="130"/>
      <c r="CZ105" s="128"/>
      <c r="DA105" s="128"/>
      <c r="DB105" s="129"/>
      <c r="DC105" s="80"/>
      <c r="DD105" s="79"/>
      <c r="DE105" s="79"/>
    </row>
    <row r="106" spans="1:109" ht="24.95" customHeight="1" outlineLevel="1" x14ac:dyDescent="0.55000000000000004">
      <c r="A106" s="284" t="s">
        <v>78</v>
      </c>
      <c r="B106" s="196" t="str">
        <f t="shared" ref="B106" si="319">A106</f>
        <v>1.8.6</v>
      </c>
      <c r="C106" s="285" t="s">
        <v>145</v>
      </c>
      <c r="D106" s="203" t="str">
        <f t="shared" ref="D106" si="320">C106</f>
        <v>Soft Scape Eq.</v>
      </c>
      <c r="E106" s="33">
        <v>760477.34767614095</v>
      </c>
      <c r="F106" s="34">
        <f t="shared" ref="F106" si="321">E106</f>
        <v>760477.34767614095</v>
      </c>
      <c r="G106" s="81" t="s">
        <v>41</v>
      </c>
      <c r="H106" s="189">
        <v>0</v>
      </c>
      <c r="I106" s="189"/>
      <c r="J106" s="189"/>
      <c r="K106" s="120">
        <f t="shared" si="302"/>
        <v>1</v>
      </c>
      <c r="L106" s="110">
        <f t="shared" si="303"/>
        <v>760477.34767614095</v>
      </c>
      <c r="M106" s="134"/>
      <c r="N106" s="135"/>
      <c r="O106" s="135"/>
      <c r="P106" s="136"/>
      <c r="Q106" s="137"/>
      <c r="R106" s="135"/>
      <c r="S106" s="135"/>
      <c r="T106" s="136"/>
      <c r="U106" s="138"/>
      <c r="V106" s="135"/>
      <c r="W106" s="135"/>
      <c r="X106" s="136"/>
      <c r="Y106" s="137"/>
      <c r="Z106" s="135"/>
      <c r="AA106" s="135"/>
      <c r="AB106" s="139"/>
      <c r="AC106" s="136"/>
      <c r="AD106" s="137"/>
      <c r="AE106" s="135"/>
      <c r="AF106" s="135"/>
      <c r="AG106" s="136"/>
      <c r="AH106" s="138"/>
      <c r="AI106" s="135"/>
      <c r="AJ106" s="135"/>
      <c r="AK106" s="135"/>
      <c r="AL106" s="140"/>
      <c r="AM106" s="137"/>
      <c r="AN106" s="135"/>
      <c r="AO106" s="135"/>
      <c r="AP106" s="136"/>
      <c r="AQ106" s="137"/>
      <c r="AR106" s="135"/>
      <c r="AS106" s="135"/>
      <c r="AT106" s="136"/>
      <c r="AU106" s="137"/>
      <c r="AV106" s="135"/>
      <c r="AW106" s="135"/>
      <c r="AX106" s="135"/>
      <c r="AY106" s="140"/>
      <c r="AZ106" s="137"/>
      <c r="BA106" s="135"/>
      <c r="BB106" s="135"/>
      <c r="BC106" s="139"/>
      <c r="BD106" s="137"/>
      <c r="BE106" s="135"/>
      <c r="BF106" s="135"/>
      <c r="BG106" s="136"/>
      <c r="BH106" s="157"/>
      <c r="BI106" s="149"/>
      <c r="BJ106" s="149"/>
      <c r="BK106" s="149"/>
      <c r="BL106" s="150"/>
      <c r="BM106" s="157"/>
      <c r="BN106" s="149"/>
      <c r="BO106" s="149"/>
      <c r="BP106" s="156"/>
      <c r="BQ106" s="137"/>
      <c r="BR106" s="135"/>
      <c r="BS106" s="135"/>
      <c r="BT106" s="136"/>
      <c r="BU106" s="137"/>
      <c r="BV106" s="135"/>
      <c r="BW106" s="135"/>
      <c r="BX106" s="139"/>
      <c r="BY106" s="140"/>
      <c r="BZ106" s="151">
        <v>0.25</v>
      </c>
      <c r="CA106" s="152">
        <v>0.25</v>
      </c>
      <c r="CB106" s="152">
        <v>0.25</v>
      </c>
      <c r="CC106" s="153">
        <v>0.25</v>
      </c>
      <c r="CD106" s="137"/>
      <c r="CE106" s="135"/>
      <c r="CF106" s="135"/>
      <c r="CG106" s="136"/>
      <c r="CH106" s="137"/>
      <c r="CI106" s="135"/>
      <c r="CJ106" s="135"/>
      <c r="CK106" s="135"/>
      <c r="CL106" s="140"/>
      <c r="CM106" s="137"/>
      <c r="CN106" s="135"/>
      <c r="CO106" s="135"/>
      <c r="CP106" s="136"/>
      <c r="CQ106" s="133"/>
      <c r="CR106" s="131"/>
      <c r="CS106" s="131"/>
      <c r="CT106" s="132"/>
      <c r="CU106" s="133"/>
      <c r="CV106" s="131"/>
      <c r="CW106" s="131"/>
      <c r="CX106" s="132"/>
      <c r="CY106" s="133"/>
      <c r="CZ106" s="131"/>
      <c r="DA106" s="131"/>
      <c r="DB106" s="132"/>
      <c r="DC106" s="82"/>
      <c r="DD106" s="79"/>
      <c r="DE106" s="79"/>
    </row>
    <row r="107" spans="1:109" ht="24.95" customHeight="1" outlineLevel="1" thickBot="1" x14ac:dyDescent="0.6">
      <c r="A107" s="284"/>
      <c r="B107" s="196" t="str">
        <f t="shared" ref="B107" si="322">B106</f>
        <v>1.8.6</v>
      </c>
      <c r="C107" s="285"/>
      <c r="D107" s="203" t="str">
        <f t="shared" ref="D107" si="323">D106</f>
        <v>Soft Scape Eq.</v>
      </c>
      <c r="E107" s="33"/>
      <c r="F107" s="34">
        <f t="shared" ref="F107" si="324">E106</f>
        <v>760477.34767614095</v>
      </c>
      <c r="G107" s="83" t="s">
        <v>42</v>
      </c>
      <c r="H107" s="190">
        <v>0</v>
      </c>
      <c r="I107" s="190"/>
      <c r="J107" s="190"/>
      <c r="K107" s="121">
        <f t="shared" si="302"/>
        <v>0</v>
      </c>
      <c r="L107" s="111">
        <f t="shared" si="303"/>
        <v>0</v>
      </c>
      <c r="M107" s="141"/>
      <c r="N107" s="142"/>
      <c r="O107" s="142"/>
      <c r="P107" s="143"/>
      <c r="Q107" s="144"/>
      <c r="R107" s="142"/>
      <c r="S107" s="142"/>
      <c r="T107" s="143"/>
      <c r="U107" s="145"/>
      <c r="V107" s="142"/>
      <c r="W107" s="142"/>
      <c r="X107" s="143"/>
      <c r="Y107" s="144"/>
      <c r="Z107" s="142"/>
      <c r="AA107" s="142"/>
      <c r="AB107" s="146"/>
      <c r="AC107" s="143"/>
      <c r="AD107" s="144"/>
      <c r="AE107" s="142"/>
      <c r="AF107" s="142"/>
      <c r="AG107" s="143"/>
      <c r="AH107" s="145"/>
      <c r="AI107" s="142"/>
      <c r="AJ107" s="142"/>
      <c r="AK107" s="142"/>
      <c r="AL107" s="147"/>
      <c r="AM107" s="144"/>
      <c r="AN107" s="142"/>
      <c r="AO107" s="142"/>
      <c r="AP107" s="143"/>
      <c r="AQ107" s="144"/>
      <c r="AR107" s="142"/>
      <c r="AS107" s="142"/>
      <c r="AT107" s="143"/>
      <c r="AU107" s="144"/>
      <c r="AV107" s="142"/>
      <c r="AW107" s="142"/>
      <c r="AX107" s="142"/>
      <c r="AY107" s="147"/>
      <c r="AZ107" s="144"/>
      <c r="BA107" s="142"/>
      <c r="BB107" s="142"/>
      <c r="BC107" s="146"/>
      <c r="BD107" s="144"/>
      <c r="BE107" s="142"/>
      <c r="BF107" s="163"/>
      <c r="BG107" s="143"/>
      <c r="BH107" s="144"/>
      <c r="BI107" s="142"/>
      <c r="BJ107" s="142"/>
      <c r="BK107" s="142"/>
      <c r="BL107" s="147"/>
      <c r="BM107" s="144"/>
      <c r="BN107" s="142"/>
      <c r="BO107" s="142"/>
      <c r="BP107" s="143"/>
      <c r="BQ107" s="144"/>
      <c r="BR107" s="142"/>
      <c r="BS107" s="142"/>
      <c r="BT107" s="143"/>
      <c r="BU107" s="144"/>
      <c r="BV107" s="142"/>
      <c r="BW107" s="142"/>
      <c r="BX107" s="146"/>
      <c r="BY107" s="147"/>
      <c r="BZ107" s="144"/>
      <c r="CA107" s="142"/>
      <c r="CB107" s="142"/>
      <c r="CC107" s="143"/>
      <c r="CD107" s="144"/>
      <c r="CE107" s="142"/>
      <c r="CF107" s="142"/>
      <c r="CG107" s="143"/>
      <c r="CH107" s="144"/>
      <c r="CI107" s="142"/>
      <c r="CJ107" s="142"/>
      <c r="CK107" s="142"/>
      <c r="CL107" s="147"/>
      <c r="CM107" s="144"/>
      <c r="CN107" s="142"/>
      <c r="CO107" s="142"/>
      <c r="CP107" s="143"/>
      <c r="CQ107" s="130"/>
      <c r="CR107" s="128"/>
      <c r="CS107" s="128"/>
      <c r="CT107" s="129"/>
      <c r="CU107" s="130"/>
      <c r="CV107" s="128"/>
      <c r="CW107" s="128"/>
      <c r="CX107" s="129"/>
      <c r="CY107" s="130"/>
      <c r="CZ107" s="128"/>
      <c r="DA107" s="128"/>
      <c r="DB107" s="129"/>
      <c r="DC107" s="80"/>
      <c r="DD107" s="79"/>
      <c r="DE107" s="79"/>
    </row>
    <row r="108" spans="1:109" ht="75" customHeight="1" thickBot="1" x14ac:dyDescent="0.6">
      <c r="A108" s="253"/>
      <c r="B108" s="254"/>
      <c r="C108" s="250"/>
      <c r="D108" s="208"/>
      <c r="E108" s="209" t="s">
        <v>79</v>
      </c>
      <c r="F108" s="209" t="s">
        <v>79</v>
      </c>
      <c r="G108" s="210" t="s">
        <v>81</v>
      </c>
      <c r="H108" s="211"/>
      <c r="I108" s="211"/>
      <c r="J108" s="211"/>
      <c r="K108" s="212" t="s">
        <v>84</v>
      </c>
      <c r="L108" s="212"/>
      <c r="M108" s="213" cm="1">
        <f t="array" ref="M108">SUMPRODUCT((M12:M107&gt;0)*($G$12:$G$107="P")*($H$12:$H$107=0)*M12:M107*$F$12:$F$107/$F$12)</f>
        <v>0</v>
      </c>
      <c r="N108" s="213" cm="1">
        <f t="array" ref="N108">SUMPRODUCT((N12:N107&gt;0)*($G$12:$G$107="P")*($H$12:$H$107=0)*N12:N107*$F$12:$F$107/$F$12)</f>
        <v>0</v>
      </c>
      <c r="O108" s="213" cm="1">
        <f t="array" ref="O108">SUMPRODUCT((O12:O107&gt;0)*($G$12:$G$107="P")*($H$12:$H$107=0)*O12:O107*$F$12:$F$107/$F$12)</f>
        <v>0</v>
      </c>
      <c r="P108" s="213" cm="1">
        <f t="array" ref="P108">SUMPRODUCT((P12:P107&gt;0)*($G$12:$G$107="P")*($H$12:$H$107=0)*P12:P107*$F$12:$F$107/$F$12)</f>
        <v>0</v>
      </c>
      <c r="Q108" s="213" cm="1">
        <f t="array" ref="Q108">SUMPRODUCT((Q12:Q107&gt;0)*($G$12:$G$107="P")*($H$12:$H$107=0)*Q12:Q107*$F$12:$F$107/$F$12)</f>
        <v>0</v>
      </c>
      <c r="R108" s="213" cm="1">
        <f t="array" ref="R108">SUMPRODUCT((R12:R107&gt;0)*($G$12:$G$107="P")*($H$12:$H$107=0)*R12:R107*$F$12:$F$107/$F$12)</f>
        <v>0</v>
      </c>
      <c r="S108" s="213" cm="1">
        <f t="array" ref="S108">SUMPRODUCT((S12:S107&gt;0)*($G$12:$G$107="P")*($H$12:$H$107=0)*S12:S107*$F$12:$F$107/$F$12)</f>
        <v>0</v>
      </c>
      <c r="T108" s="213" cm="1">
        <f t="array" ref="T108">SUMPRODUCT((T12:T107&gt;0)*($G$12:$G$107="P")*($H$12:$H$107=0)*T12:T107*$F$12:$F$107/$F$12)</f>
        <v>0</v>
      </c>
      <c r="U108" s="213" cm="1">
        <f t="array" ref="U108">SUMPRODUCT((U12:U107&gt;0)*($G$12:$G$107="P")*($H$12:$H$107=0)*U12:U107*$F$12:$F$107/$F$12)</f>
        <v>0</v>
      </c>
      <c r="V108" s="213" cm="1">
        <f t="array" ref="V108">SUMPRODUCT((V12:V107&gt;0)*($G$12:$G$107="P")*($H$12:$H$107=0)*V12:V107*$F$12:$F$107/$F$12)</f>
        <v>0</v>
      </c>
      <c r="W108" s="213" cm="1">
        <f t="array" ref="W108">SUMPRODUCT((W12:W107&gt;0)*($G$12:$G$107="P")*($H$12:$H$107=0)*W12:W107*$F$12:$F$107/$F$12)</f>
        <v>1.2678716525798311E-4</v>
      </c>
      <c r="X108" s="213" cm="1">
        <f t="array" ref="X108">SUMPRODUCT((X12:X107&gt;0)*($G$12:$G$107="P")*($H$12:$H$107=0)*X12:X107*$F$12:$F$107/$F$12)</f>
        <v>1.2678716525798311E-4</v>
      </c>
      <c r="Y108" s="213" cm="1">
        <f t="array" ref="Y108">SUMPRODUCT((Y12:Y107&gt;0)*($G$12:$G$107="P")*($H$12:$H$107=0)*Y12:Y107*$F$12:$F$107/$F$12)</f>
        <v>1.2678716525798311E-4</v>
      </c>
      <c r="Z108" s="213" cm="1">
        <f t="array" ref="Z108">SUMPRODUCT((Z12:Z107&gt;0)*($G$12:$G$107="P")*($H$12:$H$107=0)*Z12:Z107*$F$12:$F$107/$F$12)</f>
        <v>1.2678716525798311E-4</v>
      </c>
      <c r="AA108" s="213" cm="1">
        <f t="array" ref="AA108">SUMPRODUCT((AA12:AA107&gt;0)*($G$12:$G$107="P")*($H$12:$H$107=0)*AA12:AA107*$F$12:$F$107/$F$12)</f>
        <v>1.2678716525798311E-4</v>
      </c>
      <c r="AB108" s="213" cm="1">
        <f t="array" ref="AB108">SUMPRODUCT((AB12:AB107&gt;0)*($G$12:$G$107="P")*($H$12:$H$107=0)*AB12:AB107*$F$12:$F$107/$F$12)</f>
        <v>1.2678716525798311E-4</v>
      </c>
      <c r="AC108" s="213" cm="1">
        <f t="array" ref="AC108">SUMPRODUCT((AC12:AC107&gt;0)*($G$12:$G$107="P")*($H$12:$H$107=0)*AC12:AC107*$F$12:$F$107/$F$12)</f>
        <v>3.803614957739493E-4</v>
      </c>
      <c r="AD108" s="213" cm="1">
        <f t="array" ref="AD108">SUMPRODUCT((AD12:AD107&gt;0)*($G$12:$G$107="P")*($H$12:$H$107=0)*AD12:AD107*$F$12:$F$107/$F$12)</f>
        <v>2.5357433051596622E-4</v>
      </c>
      <c r="AE108" s="213" cm="1">
        <f t="array" ref="AE108">SUMPRODUCT((AE12:AE107&gt;0)*($G$12:$G$107="P")*($H$12:$H$107=0)*AE12:AE107*$F$12:$F$107/$F$12)</f>
        <v>2.5357433051596622E-4</v>
      </c>
      <c r="AF108" s="213" cm="1">
        <f t="array" ref="AF108">SUMPRODUCT((AF12:AF107&gt;0)*($G$12:$G$107="P")*($H$12:$H$107=0)*AF12:AF107*$F$12:$F$107/$F$12)</f>
        <v>1.2678716525798311E-4</v>
      </c>
      <c r="AG108" s="213" cm="1">
        <f t="array" ref="AG108">SUMPRODUCT((AG12:AG107&gt;0)*($G$12:$G$107="P")*($H$12:$H$107=0)*AG12:AG107*$F$12:$F$107/$F$12)</f>
        <v>4.3871552872570352E-4</v>
      </c>
      <c r="AH108" s="213" cm="1">
        <f t="array" ref="AH108">SUMPRODUCT((AH12:AH107&gt;0)*($G$12:$G$107="P")*($H$12:$H$107=0)*AH12:AH107*$F$12:$F$107/$F$12)</f>
        <v>4.3871552872570352E-4</v>
      </c>
      <c r="AI108" s="213" cm="1">
        <f t="array" ref="AI108">SUMPRODUCT((AI12:AI107&gt;0)*($G$12:$G$107="P")*($H$12:$H$107=0)*AI12:AI107*$F$12:$F$107/$F$12)</f>
        <v>4.3871552872570352E-4</v>
      </c>
      <c r="AJ108" s="213" cm="1">
        <f t="array" ref="AJ108">SUMPRODUCT((AJ12:AJ107&gt;0)*($G$12:$G$107="P")*($H$12:$H$107=0)*AJ12:AJ107*$F$12:$F$107/$F$12)</f>
        <v>7.5064389219342401E-4</v>
      </c>
      <c r="AK108" s="213" cm="1">
        <f t="array" ref="AK108">SUMPRODUCT((AK12:AK107&gt;0)*($G$12:$G$107="P")*($H$12:$H$107=0)*AK12:AK107*$F$12:$F$107/$F$12)</f>
        <v>3.4345247403829602E-3</v>
      </c>
      <c r="AL108" s="213" cm="1">
        <f t="array" ref="AL108">SUMPRODUCT((AL12:AL107&gt;0)*($G$12:$G$107="P")*($H$12:$H$107=0)*AL12:AL107*$F$12:$F$107/$F$12)</f>
        <v>4.0583814673184008E-3</v>
      </c>
      <c r="AM108" s="213" cm="1">
        <f t="array" ref="AM108">SUMPRODUCT((AM12:AM107&gt;0)*($G$12:$G$107="P")*($H$12:$H$107=0)*AM12:AM107*$F$12:$F$107/$F$12)</f>
        <v>5.4982583490295056E-3</v>
      </c>
      <c r="AN108" s="213" cm="1">
        <f t="array" ref="AN108">SUMPRODUCT((AN12:AN107&gt;0)*($G$12:$G$107="P")*($H$12:$H$107=0)*AN12:AN107*$F$12:$F$107/$F$12)</f>
        <v>7.0385884432070597E-3</v>
      </c>
      <c r="AO108" s="213" cm="1">
        <f t="array" ref="AO108">SUMPRODUCT((AO12:AO107&gt;0)*($G$12:$G$107="P")*($H$12:$H$107=0)*AO12:AO107*$F$12:$F$107/$F$12)</f>
        <v>1.3230042625752102E-2</v>
      </c>
      <c r="AP108" s="213" cm="1">
        <f t="array" ref="AP108">SUMPRODUCT((AP12:AP107&gt;0)*($G$12:$G$107="P")*($H$12:$H$107=0)*AP12:AP107*$F$12:$F$107/$F$12)</f>
        <v>1.3748796717250406E-2</v>
      </c>
      <c r="AQ108" s="213" cm="1">
        <f t="array" ref="AQ108">SUMPRODUCT((AQ12:AQ107&gt;0)*($G$12:$G$107="P")*($H$12:$H$107=0)*AQ12:AQ107*$F$12:$F$107/$F$12)</f>
        <v>1.3324923994147123E-2</v>
      </c>
      <c r="AR108" s="213" cm="1">
        <f t="array" ref="AR108">SUMPRODUCT((AR12:AR107&gt;0)*($G$12:$G$107="P")*($H$12:$H$107=0)*AR12:AR107*$F$12:$F$107/$F$12)</f>
        <v>1.3473648311278463E-2</v>
      </c>
      <c r="AS108" s="213" cm="1">
        <f t="array" ref="AS108">SUMPRODUCT((AS12:AS107&gt;0)*($G$12:$G$107="P")*($H$12:$H$107=0)*AS12:AS107*$F$12:$F$107/$F$12)</f>
        <v>1.4713734263741864E-2</v>
      </c>
      <c r="AT108" s="213" cm="1">
        <f t="array" ref="AT108">SUMPRODUCT((AT12:AT107&gt;0)*($G$12:$G$107="P")*($H$12:$H$107=0)*AT12:AT107*$F$12:$F$107/$F$12)</f>
        <v>1.3361063612045207E-2</v>
      </c>
      <c r="AU108" s="213" cm="1">
        <f t="array" ref="AU108">SUMPRODUCT((AU12:AU107&gt;0)*($G$12:$G$107="P")*($H$12:$H$107=0)*AU12:AU107*$F$12:$F$107/$F$12)</f>
        <v>1.4400915470898503E-2</v>
      </c>
      <c r="AV108" s="213" cm="1">
        <f t="array" ref="AV108">SUMPRODUCT((AV12:AV107&gt;0)*($G$12:$G$107="P")*($H$12:$H$107=0)*AV12:AV107*$F$12:$F$107/$F$12)</f>
        <v>3.4200508777203383E-2</v>
      </c>
      <c r="AW108" s="213" cm="1">
        <f t="array" ref="AW108">SUMPRODUCT((AW12:AW107&gt;0)*($G$12:$G$107="P")*($H$12:$H$107=0)*AW12:AW107*$F$12:$F$107/$F$12)</f>
        <v>2.9649567916757571E-2</v>
      </c>
      <c r="AX108" s="213" cm="1">
        <f t="array" ref="AX108">SUMPRODUCT((AX12:AX107&gt;0)*($G$12:$G$107="P")*($H$12:$H$107=0)*AX12:AX107*$F$12:$F$107/$F$12)</f>
        <v>2.9411371220165461E-2</v>
      </c>
      <c r="AY108" s="213" cm="1">
        <f t="array" ref="AY108">SUMPRODUCT((AY12:AY107&gt;0)*($G$12:$G$107="P")*($H$12:$H$107=0)*AY12:AY107*$F$12:$F$107/$F$12)</f>
        <v>2.3725170229392661E-2</v>
      </c>
      <c r="AZ108" s="213" cm="1">
        <f t="array" ref="AZ108">SUMPRODUCT((AZ12:AZ107&gt;0)*($G$12:$G$107="P")*($H$12:$H$107=0)*AZ12:AZ107*$F$12:$F$107/$F$12)</f>
        <v>2.3289329637733489E-2</v>
      </c>
      <c r="BA108" s="213" cm="1">
        <f t="array" ref="BA108">SUMPRODUCT((BA12:BA107&gt;0)*($G$12:$G$107="P")*($H$12:$H$107=0)*BA12:BA107*$F$12:$F$107/$F$12)</f>
        <v>2.3008711794611288E-2</v>
      </c>
      <c r="BB108" s="213" cm="1">
        <f t="array" ref="BB108">SUMPRODUCT((BB12:BB107&gt;0)*($G$12:$G$107="P")*($H$12:$H$107=0)*BB12:BB107*$F$12:$F$107/$F$12)</f>
        <v>2.6771729093766298E-2</v>
      </c>
      <c r="BC108" s="213" cm="1">
        <f t="array" ref="BC108">SUMPRODUCT((BC12:BC107&gt;0)*($G$12:$G$107="P")*($H$12:$H$107=0)*BC12:BC107*$F$12:$F$107/$F$12)</f>
        <v>2.5454040504539796E-2</v>
      </c>
      <c r="BD108" s="213" cm="1">
        <f t="array" ref="BD108">SUMPRODUCT((BD12:BD107&gt;0)*($G$12:$G$107="P")*($H$12:$H$107=0)*BD12:BD107*$F$12:$F$107/$F$12)</f>
        <v>3.2763125130063193E-2</v>
      </c>
      <c r="BE108" s="213" cm="1">
        <f t="array" ref="BE108">SUMPRODUCT((BE12:BE107&gt;0)*($G$12:$G$107="P")*($H$12:$H$107=0)*BE12:BE107*$F$12:$F$107/$F$12)</f>
        <v>3.7434264412579285E-2</v>
      </c>
      <c r="BF108" s="213" cm="1">
        <f t="array" ref="BF108">SUMPRODUCT((BF12:BF107&gt;0)*($G$12:$G$107="P")*($H$12:$H$107=0)*BF12:BF107*$F$12:$F$107/$F$12)</f>
        <v>5.0001065174434436E-2</v>
      </c>
      <c r="BG108" s="213" cm="1">
        <f t="array" ref="BG108">SUMPRODUCT((BG12:BG107&gt;0)*($G$12:$G$107="P")*($H$12:$H$107=0)*BG12:BG107*$F$12:$F$107/$F$12)</f>
        <v>5.0703546043261376E-2</v>
      </c>
      <c r="BH108" s="213" cm="1">
        <f t="array" ref="BH108">SUMPRODUCT((BH12:BH107&gt;0)*($G$12:$G$107="P")*($H$12:$H$107=0)*BH12:BH107*$F$12:$F$107/$F$12)</f>
        <v>5.0658390764152267E-2</v>
      </c>
      <c r="BI108" s="213" cm="1">
        <f t="array" ref="BI108">SUMPRODUCT((BI12:BI107&gt;0)*($G$12:$G$107="P")*($H$12:$H$107=0)*BI12:BI107*$F$12:$F$107/$F$12)</f>
        <v>6.6053453387200145E-2</v>
      </c>
      <c r="BJ108" s="213" cm="1">
        <f t="array" ref="BJ108">SUMPRODUCT((BJ12:BJ107&gt;0)*($G$12:$G$107="P")*($H$12:$H$107=0)*BJ12:BJ107*$F$12:$F$107/$F$12)</f>
        <v>6.7564377332018394E-2</v>
      </c>
      <c r="BK108" s="213" cm="1">
        <f t="array" ref="BK108">SUMPRODUCT((BK12:BK107&gt;0)*($G$12:$G$107="P")*($H$12:$H$107=0)*BK12:BK107*$F$12:$F$107/$F$12)</f>
        <v>8.0218901860867581E-2</v>
      </c>
      <c r="BL108" s="213" cm="1">
        <f t="array" ref="BL108">SUMPRODUCT((BL12:BL107&gt;0)*($G$12:$G$107="P")*($H$12:$H$107=0)*BL12:BL107*$F$12:$F$107/$F$12)</f>
        <v>6.8011861582155428E-2</v>
      </c>
      <c r="BM108" s="213" cm="1">
        <f t="array" ref="BM108">SUMPRODUCT((BM12:BM107&gt;0)*($G$12:$G$107="P")*($H$12:$H$107=0)*BM12:BM107*$F$12:$F$107/$F$12)</f>
        <v>6.555467203637777E-2</v>
      </c>
      <c r="BN108" s="213" cm="1">
        <f t="array" ref="BN108">SUMPRODUCT((BN12:BN107&gt;0)*($G$12:$G$107="P")*($H$12:$H$107=0)*BN12:BN107*$F$12:$F$107/$F$12)</f>
        <v>7.2289999687865397E-2</v>
      </c>
      <c r="BO108" s="213" cm="1">
        <f t="array" ref="BO108">SUMPRODUCT((BO12:BO107&gt;0)*($G$12:$G$107="P")*($H$12:$H$107=0)*BO12:BO107*$F$12:$F$107/$F$12)</f>
        <v>6.0510270859052251E-2</v>
      </c>
      <c r="BP108" s="213" cm="1">
        <f t="array" ref="BP108">SUMPRODUCT((BP12:BP107&gt;0)*($G$12:$G$107="P")*($H$12:$H$107=0)*BP12:BP107*$F$12:$F$107/$F$12)</f>
        <v>4.6182794719248674E-2</v>
      </c>
      <c r="BQ108" s="213" cm="1">
        <f t="array" ref="BQ108">SUMPRODUCT((BQ12:BQ107&gt;0)*($G$12:$G$107="P")*($H$12:$H$107=0)*BQ12:BQ107*$F$12:$F$107/$F$12)</f>
        <v>4.4068063927411839E-2</v>
      </c>
      <c r="BR108" s="213" cm="1">
        <f t="array" ref="BR108">SUMPRODUCT((BR12:BR107&gt;0)*($G$12:$G$107="P")*($H$12:$H$107=0)*BR12:BR107*$F$12:$F$107/$F$12)</f>
        <v>3.5877153344306301E-2</v>
      </c>
      <c r="BS108" s="213" cm="1">
        <f t="array" ref="BS108">SUMPRODUCT((BS12:BS107&gt;0)*($G$12:$G$107="P")*($H$12:$H$107=0)*BS12:BS107*$F$12:$F$107/$F$12)</f>
        <v>2.3487472954060871E-2</v>
      </c>
      <c r="BT108" s="213" cm="1">
        <f t="array" ref="BT108">SUMPRODUCT((BT12:BT107&gt;0)*($G$12:$G$107="P")*($H$12:$H$107=0)*BT12:BT107*$F$12:$F$107/$F$12)</f>
        <v>2.3460882409699596E-2</v>
      </c>
      <c r="BU108" s="213" cm="1">
        <f t="array" ref="BU108">SUMPRODUCT((BU12:BU107&gt;0)*($G$12:$G$107="P")*($H$12:$H$107=0)*BU12:BU107*$F$12:$F$107/$F$12)</f>
        <v>2.737648627238292E-2</v>
      </c>
      <c r="BV108" s="213" cm="1">
        <f t="array" ref="BV108">SUMPRODUCT((BV12:BV107&gt;0)*($G$12:$G$107="P")*($H$12:$H$107=0)*BV12:BV107*$F$12:$F$107/$F$12)</f>
        <v>1.3335930652189541E-2</v>
      </c>
      <c r="BW108" s="213" cm="1">
        <f t="array" ref="BW108">SUMPRODUCT((BW12:BW107&gt;0)*($G$12:$G$107="P")*($H$12:$H$107=0)*BW12:BW107*$F$12:$F$107/$F$12)</f>
        <v>1.3320088003206339E-2</v>
      </c>
      <c r="BX108" s="213" cm="1">
        <f t="array" ref="BX108">SUMPRODUCT((BX12:BX107&gt;0)*($G$12:$G$107="P")*($H$12:$H$107=0)*BX12:BX107*$F$12:$F$107/$F$12)</f>
        <v>1.6080437873110153E-2</v>
      </c>
      <c r="BY108" s="213" cm="1">
        <f t="array" ref="BY108">SUMPRODUCT((BY12:BY107&gt;0)*($G$12:$G$107="P")*($H$12:$H$107=0)*BY12:BY107*$F$12:$F$107/$F$12)</f>
        <v>1.7002644539704407E-2</v>
      </c>
      <c r="BZ108" s="213" cm="1">
        <f t="array" ref="BZ108">SUMPRODUCT((BZ12:BZ107&gt;0)*($G$12:$G$107="P")*($H$12:$H$107=0)*BZ12:BZ107*$F$12:$F$107/$F$12)</f>
        <v>3.325975720645704E-2</v>
      </c>
      <c r="CA108" s="213" cm="1">
        <f t="array" ref="CA108">SUMPRODUCT((CA12:CA107&gt;0)*($G$12:$G$107="P")*($H$12:$H$107=0)*CA12:CA107*$F$12:$F$107/$F$12)</f>
        <v>3.0571487412399817E-2</v>
      </c>
      <c r="CB108" s="213" cm="1">
        <f t="array" ref="CB108">SUMPRODUCT((CB12:CB107&gt;0)*($G$12:$G$107="P")*($H$12:$H$107=0)*CB12:CB107*$F$12:$F$107/$F$12)</f>
        <v>3.0144617698073788E-2</v>
      </c>
      <c r="CC108" s="213" cm="1">
        <f t="array" ref="CC108">SUMPRODUCT((CC12:CC107&gt;0)*($G$12:$G$107="P")*($H$12:$H$107=0)*CC12:CC107*$F$12:$F$107/$F$12)</f>
        <v>3.0144617698073788E-2</v>
      </c>
      <c r="CD108" s="213" cm="1">
        <f t="array" ref="CD108">SUMPRODUCT((CD12:CD107&gt;0)*($G$12:$G$107="P")*($H$12:$H$107=0)*CD12:CD107*$F$12:$F$107/$F$12)</f>
        <v>2.6302958115012636E-2</v>
      </c>
      <c r="CE108" s="213" cm="1">
        <f t="array" ref="CE108">SUMPRODUCT((CE12:CE107&gt;0)*($G$12:$G$107="P")*($H$12:$H$107=0)*CE12:CE107*$F$12:$F$107/$F$12)</f>
        <v>1.8694195012348872E-2</v>
      </c>
      <c r="CF108" s="213" cm="1">
        <f t="array" ref="CF108">SUMPRODUCT((CF12:CF107&gt;0)*($G$12:$G$107="P")*($H$12:$H$107=0)*CF12:CF107*$F$12:$F$107/$F$12)</f>
        <v>1.3744525138560467E-2</v>
      </c>
      <c r="CG108" s="213" cm="1">
        <f t="array" ref="CG108">SUMPRODUCT((CG12:CG107&gt;0)*($G$12:$G$107="P")*($H$12:$H$107=0)*CG12:CG107*$F$12:$F$107/$F$12)</f>
        <v>1.3744525138560467E-2</v>
      </c>
      <c r="CH108" s="213" cm="1">
        <f t="array" ref="CH108">SUMPRODUCT((CH12:CH107&gt;0)*($G$12:$G$107="P")*($H$12:$H$107=0)*CH12:CH107*$F$12:$F$107/$F$12)</f>
        <v>0</v>
      </c>
      <c r="CI108" s="213" cm="1">
        <f t="array" ref="CI108">SUMPRODUCT((CI12:CI107&gt;0)*($G$12:$G$107="P")*($H$12:$H$107=0)*CI12:CI107*$F$12:$F$107/$F$12)</f>
        <v>0</v>
      </c>
      <c r="CJ108" s="213" cm="1">
        <f t="array" ref="CJ108">SUMPRODUCT((CJ12:CJ107&gt;0)*($G$12:$G$107="P")*($H$12:$H$107=0)*CJ12:CJ107*$F$12:$F$107/$F$12)</f>
        <v>0</v>
      </c>
      <c r="CK108" s="213" cm="1">
        <f t="array" ref="CK108">SUMPRODUCT((CK12:CK107&gt;0)*($G$12:$G$107="P")*($H$12:$H$107=0)*CK12:CK107*$F$12:$F$107/$F$12)</f>
        <v>0</v>
      </c>
      <c r="CL108" s="213" cm="1">
        <f t="array" ref="CL108">SUMPRODUCT((CL12:CL107&gt;0)*($G$12:$G$107="P")*($H$12:$H$107=0)*CL12:CL107*$F$12:$F$107/$F$12)</f>
        <v>0</v>
      </c>
      <c r="CM108" s="213" cm="1">
        <f t="array" ref="CM108">SUMPRODUCT((CM12:CM107&gt;0)*($G$12:$G$107="P")*($H$12:$H$107=0)*CM12:CM107*$F$12:$F$107/$F$12)</f>
        <v>0</v>
      </c>
      <c r="CN108" s="213" cm="1">
        <f t="array" ref="CN108">SUMPRODUCT((CN12:CN107&gt;0)*($G$12:$G$107="P")*($H$12:$H$107=0)*CN12:CN107*$F$12:$F$107/$F$12)</f>
        <v>0</v>
      </c>
      <c r="CO108" s="213" cm="1">
        <f t="array" ref="CO108">SUMPRODUCT((CO12:CO107&gt;0)*($G$12:$G$107="P")*($H$12:$H$107=0)*CO12:CO107*$F$12:$F$107/$F$12)</f>
        <v>0</v>
      </c>
      <c r="CP108" s="214" cm="1">
        <f t="array" ref="CP108">SUMPRODUCT((CP12:CP107&gt;0)*($G$12:$G$107="P")*($H$12:$H$107=0)*CP12:CP107*$F$12:$F$107/$F$12)</f>
        <v>0</v>
      </c>
      <c r="CQ108" s="47" t="e">
        <f>SUMPRODUCT((CQ12:CQ107&gt;0)*($G$12:$G$107="P")*CQ12:CQ107*$F$12:$F$107/#REF!)</f>
        <v>#REF!</v>
      </c>
      <c r="CR108" s="48" t="e">
        <f>SUMPRODUCT((CR12:CR107&gt;0)*($G$12:$G$107="P")*CR12:CR107*$F$12:$F$107/#REF!)</f>
        <v>#REF!</v>
      </c>
      <c r="CS108" s="48" t="e">
        <f>SUMPRODUCT((CS12:CS107&gt;0)*($G$12:$G$107="P")*CS12:CS107*$F$12:$F$107/#REF!)</f>
        <v>#REF!</v>
      </c>
      <c r="CT108" s="49" t="e">
        <f>SUMPRODUCT((CT12:CT107&gt;0)*($G$12:$G$107="P")*CT12:CT107*$F$12:$F$107/#REF!)</f>
        <v>#REF!</v>
      </c>
      <c r="CU108" s="47" t="e">
        <f>SUMPRODUCT((CU12:CU107&gt;0)*($G$12:$G$107="P")*CU12:CU107*$F$12:$F$107/#REF!)</f>
        <v>#REF!</v>
      </c>
      <c r="CV108" s="48" t="e">
        <f>SUMPRODUCT((CV12:CV107&gt;0)*($G$12:$G$107="P")*CV12:CV107*$F$12:$F$107/#REF!)</f>
        <v>#REF!</v>
      </c>
      <c r="CW108" s="48" t="e">
        <f>SUMPRODUCT((CW12:CW107&gt;0)*($G$12:$G$107="P")*CW12:CW107*$F$12:$F$107/#REF!)</f>
        <v>#REF!</v>
      </c>
      <c r="CX108" s="49" t="e">
        <f>SUMPRODUCT((CX12:CX107&gt;0)*($G$12:$G$107="P")*CX12:CX107*$F$12:$F$107/#REF!)</f>
        <v>#REF!</v>
      </c>
      <c r="CY108" s="47" t="e">
        <f>SUMPRODUCT((CY12:CY107&gt;0)*($G$12:$G$107="P")*CY12:CY107*$F$12:$F$107/#REF!)</f>
        <v>#REF!</v>
      </c>
      <c r="CZ108" s="48" t="e">
        <f>SUMPRODUCT((CZ12:CZ107&gt;0)*($G$12:$G$107="P")*CZ12:CZ107*$F$12:$F$107/#REF!)</f>
        <v>#REF!</v>
      </c>
      <c r="DA108" s="48" t="e">
        <f>SUMPRODUCT((DA12:DA107&gt;0)*($G$12:$G$107="P")*DA12:DA107*$F$12:$F$107/#REF!)</f>
        <v>#REF!</v>
      </c>
      <c r="DB108" s="49" t="e">
        <f>SUMPRODUCT((DB12:DB107&gt;0)*($G$12:$G$107="P")*DB12:DB107*$F$12:$F$107/#REF!)</f>
        <v>#REF!</v>
      </c>
      <c r="DC108" s="50"/>
      <c r="DD108" s="79"/>
      <c r="DE108" s="79"/>
    </row>
    <row r="109" spans="1:109" ht="75" customHeight="1" x14ac:dyDescent="0.55000000000000004">
      <c r="A109" s="255"/>
      <c r="B109" s="256"/>
      <c r="C109" s="251"/>
      <c r="D109" s="215"/>
      <c r="E109" s="216"/>
      <c r="F109" s="216"/>
      <c r="G109" s="217"/>
      <c r="H109" s="218"/>
      <c r="I109" s="218"/>
      <c r="J109" s="218"/>
      <c r="K109" s="219" t="s">
        <v>90</v>
      </c>
      <c r="L109" s="219"/>
      <c r="M109" s="220">
        <f>M108</f>
        <v>0</v>
      </c>
      <c r="N109" s="220">
        <f>M109+N108</f>
        <v>0</v>
      </c>
      <c r="O109" s="220">
        <f t="shared" ref="O109:BZ109" si="325">N109+O108</f>
        <v>0</v>
      </c>
      <c r="P109" s="220">
        <f t="shared" si="325"/>
        <v>0</v>
      </c>
      <c r="Q109" s="220">
        <f t="shared" si="325"/>
        <v>0</v>
      </c>
      <c r="R109" s="220">
        <f t="shared" si="325"/>
        <v>0</v>
      </c>
      <c r="S109" s="220">
        <f t="shared" si="325"/>
        <v>0</v>
      </c>
      <c r="T109" s="220">
        <f t="shared" si="325"/>
        <v>0</v>
      </c>
      <c r="U109" s="220">
        <f t="shared" si="325"/>
        <v>0</v>
      </c>
      <c r="V109" s="220">
        <f t="shared" si="325"/>
        <v>0</v>
      </c>
      <c r="W109" s="220">
        <f t="shared" si="325"/>
        <v>1.2678716525798311E-4</v>
      </c>
      <c r="X109" s="220">
        <f t="shared" si="325"/>
        <v>2.5357433051596622E-4</v>
      </c>
      <c r="Y109" s="220">
        <f t="shared" si="325"/>
        <v>3.803614957739493E-4</v>
      </c>
      <c r="Z109" s="220">
        <f t="shared" si="325"/>
        <v>5.0714866103193244E-4</v>
      </c>
      <c r="AA109" s="220">
        <f t="shared" si="325"/>
        <v>6.3393582628991558E-4</v>
      </c>
      <c r="AB109" s="220">
        <f t="shared" si="325"/>
        <v>7.6072299154789872E-4</v>
      </c>
      <c r="AC109" s="220">
        <f t="shared" si="325"/>
        <v>1.1410844873218479E-3</v>
      </c>
      <c r="AD109" s="220">
        <f t="shared" si="325"/>
        <v>1.3946588178378142E-3</v>
      </c>
      <c r="AE109" s="220">
        <f t="shared" si="325"/>
        <v>1.6482331483537805E-3</v>
      </c>
      <c r="AF109" s="220">
        <f t="shared" si="325"/>
        <v>1.7750203136117635E-3</v>
      </c>
      <c r="AG109" s="220">
        <f t="shared" si="325"/>
        <v>2.2137358423374668E-3</v>
      </c>
      <c r="AH109" s="220">
        <f t="shared" si="325"/>
        <v>2.6524513710631703E-3</v>
      </c>
      <c r="AI109" s="220">
        <f t="shared" si="325"/>
        <v>3.0911668997888738E-3</v>
      </c>
      <c r="AJ109" s="220">
        <f t="shared" si="325"/>
        <v>3.8418107919822976E-3</v>
      </c>
      <c r="AK109" s="220">
        <f t="shared" si="325"/>
        <v>7.2763355323652579E-3</v>
      </c>
      <c r="AL109" s="220">
        <f t="shared" si="325"/>
        <v>1.1334716999683659E-2</v>
      </c>
      <c r="AM109" s="220">
        <f t="shared" si="325"/>
        <v>1.6832975348713163E-2</v>
      </c>
      <c r="AN109" s="220">
        <f t="shared" si="325"/>
        <v>2.3871563791920222E-2</v>
      </c>
      <c r="AO109" s="220">
        <f t="shared" si="325"/>
        <v>3.7101606417672323E-2</v>
      </c>
      <c r="AP109" s="220">
        <f t="shared" si="325"/>
        <v>5.0850403134922728E-2</v>
      </c>
      <c r="AQ109" s="220">
        <f t="shared" si="325"/>
        <v>6.4175327129069856E-2</v>
      </c>
      <c r="AR109" s="220">
        <f t="shared" si="325"/>
        <v>7.7648975440348322E-2</v>
      </c>
      <c r="AS109" s="220">
        <f t="shared" si="325"/>
        <v>9.236270970409019E-2</v>
      </c>
      <c r="AT109" s="220">
        <f t="shared" si="325"/>
        <v>0.1057237733161354</v>
      </c>
      <c r="AU109" s="220">
        <f t="shared" si="325"/>
        <v>0.1201246887870339</v>
      </c>
      <c r="AV109" s="220">
        <f t="shared" si="325"/>
        <v>0.15432519756423729</v>
      </c>
      <c r="AW109" s="220">
        <f t="shared" si="325"/>
        <v>0.18397476548099487</v>
      </c>
      <c r="AX109" s="220">
        <f t="shared" si="325"/>
        <v>0.21338613670116033</v>
      </c>
      <c r="AY109" s="220">
        <f t="shared" si="325"/>
        <v>0.23711130693055299</v>
      </c>
      <c r="AZ109" s="220">
        <f t="shared" si="325"/>
        <v>0.26040063656828649</v>
      </c>
      <c r="BA109" s="220">
        <f t="shared" si="325"/>
        <v>0.28340934836289777</v>
      </c>
      <c r="BB109" s="220">
        <f t="shared" si="325"/>
        <v>0.31018107745666407</v>
      </c>
      <c r="BC109" s="220">
        <f t="shared" si="325"/>
        <v>0.33563511796120388</v>
      </c>
      <c r="BD109" s="220">
        <f t="shared" si="325"/>
        <v>0.36839824309126706</v>
      </c>
      <c r="BE109" s="220">
        <f t="shared" si="325"/>
        <v>0.40583250750384636</v>
      </c>
      <c r="BF109" s="220">
        <f t="shared" si="325"/>
        <v>0.45583357267828079</v>
      </c>
      <c r="BG109" s="220">
        <f t="shared" si="325"/>
        <v>0.50653711872154217</v>
      </c>
      <c r="BH109" s="220">
        <f t="shared" si="325"/>
        <v>0.55719550948569441</v>
      </c>
      <c r="BI109" s="220">
        <f t="shared" si="325"/>
        <v>0.62324896287289455</v>
      </c>
      <c r="BJ109" s="220">
        <f t="shared" si="325"/>
        <v>0.69081334020491292</v>
      </c>
      <c r="BK109" s="220">
        <f t="shared" si="325"/>
        <v>0.77103224206578047</v>
      </c>
      <c r="BL109" s="220">
        <f t="shared" si="325"/>
        <v>0.83904410364793591</v>
      </c>
      <c r="BM109" s="220">
        <f t="shared" si="325"/>
        <v>0.90459877568431368</v>
      </c>
      <c r="BN109" s="220">
        <f t="shared" si="325"/>
        <v>0.97688877537217911</v>
      </c>
      <c r="BO109" s="220">
        <f t="shared" si="325"/>
        <v>1.0373990462312315</v>
      </c>
      <c r="BP109" s="220">
        <f t="shared" si="325"/>
        <v>1.08358184095048</v>
      </c>
      <c r="BQ109" s="220">
        <f t="shared" si="325"/>
        <v>1.1276499048778919</v>
      </c>
      <c r="BR109" s="220">
        <f t="shared" si="325"/>
        <v>1.1635270582221982</v>
      </c>
      <c r="BS109" s="220">
        <f t="shared" si="325"/>
        <v>1.187014531176259</v>
      </c>
      <c r="BT109" s="220">
        <f t="shared" si="325"/>
        <v>1.2104754135859586</v>
      </c>
      <c r="BU109" s="220">
        <f t="shared" si="325"/>
        <v>1.2378518998583414</v>
      </c>
      <c r="BV109" s="220">
        <f t="shared" si="325"/>
        <v>1.2511878305105311</v>
      </c>
      <c r="BW109" s="220">
        <f t="shared" si="325"/>
        <v>1.2645079185137373</v>
      </c>
      <c r="BX109" s="220">
        <f t="shared" si="325"/>
        <v>1.2805883563868474</v>
      </c>
      <c r="BY109" s="220">
        <f t="shared" si="325"/>
        <v>1.2975910009265519</v>
      </c>
      <c r="BZ109" s="220">
        <f t="shared" si="325"/>
        <v>1.3308507581330089</v>
      </c>
      <c r="CA109" s="220">
        <f t="shared" ref="CA109:CP109" si="326">BZ109+CA108</f>
        <v>1.3614222455454088</v>
      </c>
      <c r="CB109" s="220">
        <f t="shared" si="326"/>
        <v>1.3915668632434826</v>
      </c>
      <c r="CC109" s="220">
        <f t="shared" si="326"/>
        <v>1.4217114809415563</v>
      </c>
      <c r="CD109" s="220">
        <f t="shared" si="326"/>
        <v>1.448014439056569</v>
      </c>
      <c r="CE109" s="220">
        <f t="shared" si="326"/>
        <v>1.4667086340689179</v>
      </c>
      <c r="CF109" s="220">
        <f t="shared" si="326"/>
        <v>1.4804531592074783</v>
      </c>
      <c r="CG109" s="220">
        <f t="shared" si="326"/>
        <v>1.4941976843460387</v>
      </c>
      <c r="CH109" s="220">
        <f t="shared" si="326"/>
        <v>1.4941976843460387</v>
      </c>
      <c r="CI109" s="220">
        <f t="shared" si="326"/>
        <v>1.4941976843460387</v>
      </c>
      <c r="CJ109" s="220">
        <f t="shared" si="326"/>
        <v>1.4941976843460387</v>
      </c>
      <c r="CK109" s="220">
        <f t="shared" si="326"/>
        <v>1.4941976843460387</v>
      </c>
      <c r="CL109" s="220">
        <f t="shared" si="326"/>
        <v>1.4941976843460387</v>
      </c>
      <c r="CM109" s="220">
        <f t="shared" si="326"/>
        <v>1.4941976843460387</v>
      </c>
      <c r="CN109" s="220">
        <f t="shared" si="326"/>
        <v>1.4941976843460387</v>
      </c>
      <c r="CO109" s="220">
        <f t="shared" si="326"/>
        <v>1.4941976843460387</v>
      </c>
      <c r="CP109" s="221">
        <f t="shared" si="326"/>
        <v>1.4941976843460387</v>
      </c>
      <c r="CQ109" s="47" t="e">
        <f t="shared" ref="CQ109:DB109" si="327">CP109+CQ108</f>
        <v>#REF!</v>
      </c>
      <c r="CR109" s="48" t="e">
        <f t="shared" si="327"/>
        <v>#REF!</v>
      </c>
      <c r="CS109" s="48" t="e">
        <f t="shared" si="327"/>
        <v>#REF!</v>
      </c>
      <c r="CT109" s="49" t="e">
        <f t="shared" si="327"/>
        <v>#REF!</v>
      </c>
      <c r="CU109" s="47" t="e">
        <f t="shared" si="327"/>
        <v>#REF!</v>
      </c>
      <c r="CV109" s="48" t="e">
        <f t="shared" si="327"/>
        <v>#REF!</v>
      </c>
      <c r="CW109" s="48" t="e">
        <f t="shared" si="327"/>
        <v>#REF!</v>
      </c>
      <c r="CX109" s="49" t="e">
        <f t="shared" si="327"/>
        <v>#REF!</v>
      </c>
      <c r="CY109" s="47" t="e">
        <f t="shared" si="327"/>
        <v>#REF!</v>
      </c>
      <c r="CZ109" s="48" t="e">
        <f t="shared" si="327"/>
        <v>#REF!</v>
      </c>
      <c r="DA109" s="48" t="e">
        <f t="shared" si="327"/>
        <v>#REF!</v>
      </c>
      <c r="DB109" s="49" t="e">
        <f t="shared" si="327"/>
        <v>#REF!</v>
      </c>
      <c r="DC109" s="50"/>
      <c r="DD109" s="79"/>
      <c r="DE109" s="79"/>
    </row>
    <row r="110" spans="1:109" ht="39.75" x14ac:dyDescent="0.55000000000000004">
      <c r="A110" s="255"/>
      <c r="B110" s="256"/>
      <c r="C110" s="251"/>
      <c r="D110" s="215"/>
      <c r="E110" s="216"/>
      <c r="F110" s="216"/>
      <c r="G110" s="336" t="s">
        <v>82</v>
      </c>
      <c r="H110" s="222"/>
      <c r="I110" s="222"/>
      <c r="J110" s="222"/>
      <c r="K110" s="219" t="s">
        <v>84</v>
      </c>
      <c r="L110" s="219"/>
      <c r="M110" s="333">
        <f>SUM(M108:P108)</f>
        <v>0</v>
      </c>
      <c r="N110" s="333"/>
      <c r="O110" s="333"/>
      <c r="P110" s="333"/>
      <c r="Q110" s="333">
        <f>SUM(Q108:T108)</f>
        <v>0</v>
      </c>
      <c r="R110" s="333"/>
      <c r="S110" s="333"/>
      <c r="T110" s="333"/>
      <c r="U110" s="333">
        <f>SUM(U108:X108)</f>
        <v>2.5357433051596622E-4</v>
      </c>
      <c r="V110" s="333"/>
      <c r="W110" s="333"/>
      <c r="X110" s="333"/>
      <c r="Y110" s="342">
        <f>SUM(Y108:AC108)</f>
        <v>8.8751015680588175E-4</v>
      </c>
      <c r="Z110" s="342"/>
      <c r="AA110" s="342"/>
      <c r="AB110" s="342"/>
      <c r="AC110" s="342"/>
      <c r="AD110" s="333">
        <f>SUM(AD108:AG108)</f>
        <v>1.0726513550156191E-3</v>
      </c>
      <c r="AE110" s="333"/>
      <c r="AF110" s="333"/>
      <c r="AG110" s="333"/>
      <c r="AH110" s="342">
        <f>SUM(AH108:AL108)</f>
        <v>9.1209811573461919E-3</v>
      </c>
      <c r="AI110" s="342"/>
      <c r="AJ110" s="342"/>
      <c r="AK110" s="342"/>
      <c r="AL110" s="342"/>
      <c r="AM110" s="333">
        <f>SUM(AM108:AP108)</f>
        <v>3.9515686135239071E-2</v>
      </c>
      <c r="AN110" s="333"/>
      <c r="AO110" s="333"/>
      <c r="AP110" s="333"/>
      <c r="AQ110" s="333">
        <f>SUM(AQ108:AT108)</f>
        <v>5.4873370181212654E-2</v>
      </c>
      <c r="AR110" s="333"/>
      <c r="AS110" s="333"/>
      <c r="AT110" s="333"/>
      <c r="AU110" s="333">
        <f>SUM(AU108:AY108)</f>
        <v>0.13138753361441757</v>
      </c>
      <c r="AV110" s="333"/>
      <c r="AW110" s="333"/>
      <c r="AX110" s="333"/>
      <c r="AY110" s="223"/>
      <c r="AZ110" s="333">
        <f>SUM(AZ108:BC108)</f>
        <v>9.8523811030650874E-2</v>
      </c>
      <c r="BA110" s="333"/>
      <c r="BB110" s="333"/>
      <c r="BC110" s="333"/>
      <c r="BD110" s="333">
        <f>SUM(BD108:BG108)</f>
        <v>0.17090200076033829</v>
      </c>
      <c r="BE110" s="333"/>
      <c r="BF110" s="333"/>
      <c r="BG110" s="333"/>
      <c r="BH110" s="342">
        <f>SUM(BH108:BK108)</f>
        <v>0.26449512334423841</v>
      </c>
      <c r="BI110" s="342"/>
      <c r="BJ110" s="342"/>
      <c r="BK110" s="342"/>
      <c r="BL110" s="342"/>
      <c r="BM110" s="333">
        <f>SUM(BM108:BP108)</f>
        <v>0.24453773730254408</v>
      </c>
      <c r="BN110" s="333"/>
      <c r="BO110" s="333"/>
      <c r="BP110" s="333"/>
      <c r="BQ110" s="333">
        <f>SUM(BQ108:BT108)</f>
        <v>0.1268935726354786</v>
      </c>
      <c r="BR110" s="333"/>
      <c r="BS110" s="333"/>
      <c r="BT110" s="333"/>
      <c r="BU110" s="342">
        <f>SUM(BU108:BX108)</f>
        <v>7.011294280088895E-2</v>
      </c>
      <c r="BV110" s="342"/>
      <c r="BW110" s="342"/>
      <c r="BX110" s="342"/>
      <c r="BY110" s="342"/>
      <c r="BZ110" s="333">
        <f>SUM(BZ108:CC108)</f>
        <v>0.12412048001500445</v>
      </c>
      <c r="CA110" s="333"/>
      <c r="CB110" s="333"/>
      <c r="CC110" s="333"/>
      <c r="CD110" s="333">
        <f>SUM(CD108:CG108)</f>
        <v>7.2486203404482447E-2</v>
      </c>
      <c r="CE110" s="333"/>
      <c r="CF110" s="333"/>
      <c r="CG110" s="333"/>
      <c r="CH110" s="333">
        <f>SUM(CH108:CK108)</f>
        <v>0</v>
      </c>
      <c r="CI110" s="333"/>
      <c r="CJ110" s="333"/>
      <c r="CK110" s="333"/>
      <c r="CL110" s="223"/>
      <c r="CM110" s="333">
        <f>SUM(CM108:CP108)</f>
        <v>0</v>
      </c>
      <c r="CN110" s="333"/>
      <c r="CO110" s="333"/>
      <c r="CP110" s="335"/>
      <c r="CQ110" s="338" t="e">
        <f>SUM(CQ108:CT108)</f>
        <v>#REF!</v>
      </c>
      <c r="CR110" s="339"/>
      <c r="CS110" s="339"/>
      <c r="CT110" s="340"/>
      <c r="CU110" s="338" t="e">
        <f>SUM(CU108:CX108)</f>
        <v>#REF!</v>
      </c>
      <c r="CV110" s="339"/>
      <c r="CW110" s="339"/>
      <c r="CX110" s="340"/>
      <c r="CY110" s="338" t="e">
        <f>SUM(CY108:DB108)</f>
        <v>#REF!</v>
      </c>
      <c r="CZ110" s="339"/>
      <c r="DA110" s="339"/>
      <c r="DB110" s="340"/>
      <c r="DC110" s="51"/>
      <c r="DD110" s="79"/>
      <c r="DE110" s="79"/>
    </row>
    <row r="111" spans="1:109" ht="40.5" thickBot="1" x14ac:dyDescent="0.6">
      <c r="A111" s="257"/>
      <c r="B111" s="258"/>
      <c r="C111" s="252"/>
      <c r="D111" s="242"/>
      <c r="E111" s="243"/>
      <c r="F111" s="243"/>
      <c r="G111" s="337"/>
      <c r="H111" s="244"/>
      <c r="I111" s="244"/>
      <c r="J111" s="244"/>
      <c r="K111" s="245" t="s">
        <v>90</v>
      </c>
      <c r="L111" s="245"/>
      <c r="M111" s="341">
        <f>M110</f>
        <v>0</v>
      </c>
      <c r="N111" s="341"/>
      <c r="O111" s="341"/>
      <c r="P111" s="341"/>
      <c r="Q111" s="341">
        <f>M111+Q110</f>
        <v>0</v>
      </c>
      <c r="R111" s="341"/>
      <c r="S111" s="341"/>
      <c r="T111" s="341"/>
      <c r="U111" s="341">
        <f>Q111+U110</f>
        <v>2.5357433051596622E-4</v>
      </c>
      <c r="V111" s="341"/>
      <c r="W111" s="341"/>
      <c r="X111" s="341"/>
      <c r="Y111" s="343">
        <f>U111+Y110</f>
        <v>1.1410844873218479E-3</v>
      </c>
      <c r="Z111" s="343"/>
      <c r="AA111" s="343"/>
      <c r="AB111" s="343"/>
      <c r="AC111" s="343"/>
      <c r="AD111" s="341">
        <f t="shared" ref="AD111" si="328">Y111+AD110</f>
        <v>2.2137358423374668E-3</v>
      </c>
      <c r="AE111" s="341"/>
      <c r="AF111" s="341"/>
      <c r="AG111" s="341"/>
      <c r="AH111" s="343">
        <f>AD111+AH110</f>
        <v>1.1334716999683659E-2</v>
      </c>
      <c r="AI111" s="343"/>
      <c r="AJ111" s="343"/>
      <c r="AK111" s="343"/>
      <c r="AL111" s="343"/>
      <c r="AM111" s="341">
        <f t="shared" ref="AM111" si="329">AH111+AM110</f>
        <v>5.0850403134922728E-2</v>
      </c>
      <c r="AN111" s="341"/>
      <c r="AO111" s="341"/>
      <c r="AP111" s="341"/>
      <c r="AQ111" s="341">
        <f t="shared" ref="AQ111" si="330">AM111+AQ110</f>
        <v>0.10572377331613539</v>
      </c>
      <c r="AR111" s="341"/>
      <c r="AS111" s="341"/>
      <c r="AT111" s="341"/>
      <c r="AU111" s="341">
        <f t="shared" ref="AU111" si="331">AQ111+AU110</f>
        <v>0.23711130693055296</v>
      </c>
      <c r="AV111" s="341"/>
      <c r="AW111" s="341"/>
      <c r="AX111" s="341"/>
      <c r="AY111" s="246"/>
      <c r="AZ111" s="341">
        <f t="shared" ref="AZ111" si="332">AU111+AZ110</f>
        <v>0.33563511796120382</v>
      </c>
      <c r="BA111" s="341"/>
      <c r="BB111" s="341"/>
      <c r="BC111" s="341"/>
      <c r="BD111" s="341">
        <f t="shared" ref="BD111" si="333">AZ111+BD110</f>
        <v>0.50653711872154217</v>
      </c>
      <c r="BE111" s="341"/>
      <c r="BF111" s="341"/>
      <c r="BG111" s="341"/>
      <c r="BH111" s="343">
        <f t="shared" ref="BH111" si="334">BD111+BH110</f>
        <v>0.77103224206578058</v>
      </c>
      <c r="BI111" s="343"/>
      <c r="BJ111" s="343"/>
      <c r="BK111" s="343"/>
      <c r="BL111" s="343"/>
      <c r="BM111" s="341">
        <f>BH111+BM110</f>
        <v>1.0155699793683246</v>
      </c>
      <c r="BN111" s="341"/>
      <c r="BO111" s="341"/>
      <c r="BP111" s="341"/>
      <c r="BQ111" s="341">
        <f t="shared" ref="BQ111" si="335">BM111+BQ110</f>
        <v>1.1424635520038031</v>
      </c>
      <c r="BR111" s="341"/>
      <c r="BS111" s="341"/>
      <c r="BT111" s="341"/>
      <c r="BU111" s="343">
        <f t="shared" ref="BU111" si="336">BQ111+BU110</f>
        <v>1.212576494804692</v>
      </c>
      <c r="BV111" s="343"/>
      <c r="BW111" s="343"/>
      <c r="BX111" s="343"/>
      <c r="BY111" s="343"/>
      <c r="BZ111" s="341">
        <f t="shared" ref="BZ111" si="337">BU111+BZ110</f>
        <v>1.3366969748196964</v>
      </c>
      <c r="CA111" s="341"/>
      <c r="CB111" s="341"/>
      <c r="CC111" s="341"/>
      <c r="CD111" s="341">
        <f t="shared" ref="CD111" si="338">BZ111+CD110</f>
        <v>1.4091831782241788</v>
      </c>
      <c r="CE111" s="341"/>
      <c r="CF111" s="341"/>
      <c r="CG111" s="341"/>
      <c r="CH111" s="341">
        <f t="shared" ref="CH111" si="339">CD111+CH110</f>
        <v>1.4091831782241788</v>
      </c>
      <c r="CI111" s="341"/>
      <c r="CJ111" s="341"/>
      <c r="CK111" s="341"/>
      <c r="CL111" s="246"/>
      <c r="CM111" s="341">
        <f t="shared" ref="CM111" si="340">CH111+CM110</f>
        <v>1.4091831782241788</v>
      </c>
      <c r="CN111" s="341"/>
      <c r="CO111" s="341"/>
      <c r="CP111" s="344"/>
      <c r="CQ111" s="338" t="e">
        <f t="shared" ref="CQ111" si="341">CM111+CQ110</f>
        <v>#REF!</v>
      </c>
      <c r="CR111" s="339"/>
      <c r="CS111" s="339"/>
      <c r="CT111" s="340"/>
      <c r="CU111" s="338" t="e">
        <f t="shared" ref="CU111" si="342">CQ111+CU110</f>
        <v>#REF!</v>
      </c>
      <c r="CV111" s="339"/>
      <c r="CW111" s="339"/>
      <c r="CX111" s="340"/>
      <c r="CY111" s="338" t="e">
        <f t="shared" ref="CY111" si="343">CU111+CY110</f>
        <v>#REF!</v>
      </c>
      <c r="CZ111" s="339"/>
      <c r="DA111" s="339"/>
      <c r="DB111" s="340"/>
      <c r="DC111" s="51"/>
      <c r="DD111" s="79"/>
      <c r="DE111" s="79"/>
    </row>
    <row r="112" spans="1:109" s="35" customFormat="1" ht="16.5" customHeight="1" thickBot="1" x14ac:dyDescent="0.6">
      <c r="A112" s="235"/>
      <c r="B112" s="235"/>
      <c r="C112" s="235"/>
      <c r="D112" s="235"/>
      <c r="E112" s="236"/>
      <c r="F112" s="236"/>
      <c r="G112" s="236"/>
      <c r="H112" s="237"/>
      <c r="I112" s="237"/>
      <c r="J112" s="237"/>
      <c r="K112" s="238"/>
      <c r="L112" s="238"/>
      <c r="M112" s="239"/>
      <c r="N112" s="239"/>
      <c r="O112" s="239"/>
      <c r="P112" s="239"/>
      <c r="Q112" s="239"/>
      <c r="R112" s="239"/>
      <c r="S112" s="239"/>
      <c r="T112" s="239"/>
      <c r="U112" s="239"/>
      <c r="V112" s="239"/>
      <c r="W112" s="239"/>
      <c r="X112" s="239"/>
      <c r="Y112" s="239"/>
      <c r="Z112" s="239"/>
      <c r="AA112" s="239"/>
      <c r="AB112" s="239"/>
      <c r="AC112" s="239"/>
      <c r="AD112" s="239"/>
      <c r="AE112" s="239"/>
      <c r="AF112" s="239"/>
      <c r="AG112" s="239"/>
      <c r="AH112" s="239"/>
      <c r="AI112" s="239"/>
      <c r="AJ112" s="239"/>
      <c r="AK112" s="239"/>
      <c r="AL112" s="239"/>
      <c r="AM112" s="239"/>
      <c r="AN112" s="239"/>
      <c r="AO112" s="239"/>
      <c r="AP112" s="239"/>
      <c r="AQ112" s="239"/>
      <c r="AR112" s="239"/>
      <c r="AS112" s="239"/>
      <c r="AT112" s="239"/>
      <c r="AU112" s="239"/>
      <c r="AV112" s="239"/>
      <c r="AW112" s="239"/>
      <c r="AX112" s="239"/>
      <c r="AY112" s="239"/>
      <c r="AZ112" s="239"/>
      <c r="BA112" s="239"/>
      <c r="BB112" s="239"/>
      <c r="BC112" s="239"/>
      <c r="BD112" s="239"/>
      <c r="BE112" s="239"/>
      <c r="BF112" s="239"/>
      <c r="BG112" s="239"/>
      <c r="BH112" s="240"/>
      <c r="BI112" s="240"/>
      <c r="BJ112" s="240"/>
      <c r="BK112" s="240"/>
      <c r="BL112" s="240"/>
      <c r="BM112" s="240"/>
      <c r="BN112" s="240"/>
      <c r="BO112" s="240"/>
      <c r="BP112" s="240"/>
      <c r="BQ112" s="240"/>
      <c r="BR112" s="240"/>
      <c r="BS112" s="240"/>
      <c r="BT112" s="240"/>
      <c r="BU112" s="240"/>
      <c r="BV112" s="240"/>
      <c r="BW112" s="240"/>
      <c r="BX112" s="240"/>
      <c r="BY112" s="240"/>
      <c r="BZ112" s="240"/>
      <c r="CA112" s="240"/>
      <c r="CB112" s="240"/>
      <c r="CC112" s="240"/>
      <c r="CD112" s="240"/>
      <c r="CE112" s="240"/>
      <c r="CF112" s="240"/>
      <c r="CG112" s="240"/>
      <c r="CH112" s="240"/>
      <c r="CI112" s="240"/>
      <c r="CJ112" s="240"/>
      <c r="CK112" s="240"/>
      <c r="CL112" s="240"/>
      <c r="CM112" s="240"/>
      <c r="CN112" s="240"/>
      <c r="CO112" s="240"/>
      <c r="CP112" s="241"/>
      <c r="CQ112" s="52"/>
      <c r="CR112" s="53"/>
      <c r="CS112" s="53"/>
      <c r="CT112" s="54"/>
      <c r="CU112" s="52"/>
      <c r="CV112" s="53"/>
      <c r="CW112" s="53"/>
      <c r="CX112" s="54"/>
      <c r="CY112" s="52"/>
      <c r="CZ112" s="53"/>
      <c r="DA112" s="53"/>
      <c r="DB112" s="54"/>
      <c r="DC112" s="55"/>
      <c r="DD112" s="84"/>
      <c r="DE112" s="84"/>
    </row>
    <row r="113" spans="1:109" s="35" customFormat="1" ht="75" customHeight="1" thickBot="1" x14ac:dyDescent="0.6">
      <c r="A113" s="259"/>
      <c r="B113" s="247"/>
      <c r="C113" s="247"/>
      <c r="D113" s="224"/>
      <c r="E113" s="225" t="s">
        <v>80</v>
      </c>
      <c r="F113" s="225" t="s">
        <v>80</v>
      </c>
      <c r="G113" s="226" t="s">
        <v>85</v>
      </c>
      <c r="H113" s="226"/>
      <c r="I113" s="226"/>
      <c r="J113" s="226"/>
      <c r="K113" s="227" t="s">
        <v>91</v>
      </c>
      <c r="L113" s="227"/>
      <c r="M113" s="228" cm="1">
        <f t="array" ref="M113">SUMPRODUCT((M12:M107&gt;0)*($G$12:$G$107="A")*M12:M107*$F$12:$F$107/$F$12)</f>
        <v>0</v>
      </c>
      <c r="N113" s="228" cm="1">
        <f t="array" ref="N113">SUMPRODUCT((N12:N107&gt;0)*($G$12:$G$107="A")*N12:N107*$F$12:$F$107/$F$12)</f>
        <v>0</v>
      </c>
      <c r="O113" s="228" cm="1">
        <f t="array" ref="O113">SUMPRODUCT((O12:O107&gt;0)*($G$12:$G$107="A")*O12:O107*$F$12:$F$107/$F$12)</f>
        <v>0</v>
      </c>
      <c r="P113" s="228" cm="1">
        <f t="array" ref="P113">SUMPRODUCT((P12:P107&gt;0)*($G$12:$G$107="A")*P12:P107*$F$12:$F$107/$F$12)</f>
        <v>0</v>
      </c>
      <c r="Q113" s="228" cm="1">
        <f t="array" ref="Q113">SUMPRODUCT((Q12:Q107&gt;0)*($G$12:$G$107="A")*Q12:Q107*$F$12:$F$107/$F$12)</f>
        <v>0</v>
      </c>
      <c r="R113" s="228" cm="1">
        <f t="array" ref="R113">SUMPRODUCT((R12:R107&gt;0)*($G$12:$G$107="A")*R12:R107*$F$12:$F$107/$F$12)</f>
        <v>0</v>
      </c>
      <c r="S113" s="228" cm="1">
        <f t="array" ref="S113">SUMPRODUCT((S12:S107&gt;0)*($G$12:$G$107="A")*S12:S107*$F$12:$F$107/$F$12)</f>
        <v>0</v>
      </c>
      <c r="T113" s="228" cm="1">
        <f t="array" ref="T113">SUMPRODUCT((T12:T107&gt;0)*($G$12:$G$107="A")*T12:T107*$F$12:$F$107/$F$12)</f>
        <v>0</v>
      </c>
      <c r="U113" s="228" cm="1">
        <f t="array" ref="U113">SUMPRODUCT((U12:U107&gt;0)*($G$12:$G$107="A")*U12:U107*$F$12:$F$107/$F$12)</f>
        <v>1.0142973220638649E-4</v>
      </c>
      <c r="V113" s="228" cm="1">
        <f t="array" ref="V113">SUMPRODUCT((V12:V107&gt;0)*($G$12:$G$107="A")*V12:V107*$F$12:$F$107/$F$12)</f>
        <v>2.5357433051596622E-4</v>
      </c>
      <c r="W113" s="228" cm="1">
        <f t="array" ref="W113">SUMPRODUCT((W12:W107&gt;0)*($G$12:$G$107="A")*W12:W107*$F$12:$F$107/$F$12)</f>
        <v>2.5357433051596622E-4</v>
      </c>
      <c r="X113" s="228" cm="1">
        <f t="array" ref="X113">SUMPRODUCT((X12:X107&gt;0)*($G$12:$G$107="A")*X12:X107*$F$12:$F$107/$F$12)</f>
        <v>4.0571892882554594E-4</v>
      </c>
      <c r="Y113" s="228" cm="1">
        <f t="array" ref="Y113">SUMPRODUCT((Y12:Y107&gt;0)*($G$12:$G$107="A")*Y12:Y107*$F$12:$F$107/$F$12)</f>
        <v>4.0571892882554594E-4</v>
      </c>
      <c r="Z113" s="228" cm="1">
        <f t="array" ref="Z113">SUMPRODUCT((Z12:Z107&gt;0)*($G$12:$G$107="A")*Z12:Z107*$F$12:$F$107/$F$12)</f>
        <v>2.5357433051596622E-4</v>
      </c>
      <c r="AA113" s="228" cm="1">
        <f t="array" ref="AA113">SUMPRODUCT((AA12:AA107&gt;0)*($G$12:$G$107="A")*AA12:AA107*$F$12:$F$107/$F$12)</f>
        <v>2.5357433051596622E-4</v>
      </c>
      <c r="AB113" s="228" cm="1">
        <f t="array" ref="AB113">SUMPRODUCT((AB12:AB107&gt;0)*($G$12:$G$107="A")*AB12:AB107*$F$12:$F$107/$F$12)</f>
        <v>2.5357433051596622E-4</v>
      </c>
      <c r="AC113" s="228" cm="1">
        <f t="array" ref="AC113">SUMPRODUCT((AC12:AC107&gt;0)*($G$12:$G$107="A")*AC12:AC107*$F$12:$F$107/$F$12)</f>
        <v>2.5357433051596622E-4</v>
      </c>
      <c r="AD113" s="228" cm="1">
        <f t="array" ref="AD113">SUMPRODUCT((AD12:AD107&gt;0)*($G$12:$G$107="A")*AD12:AD107*$F$12:$F$107/$F$12)</f>
        <v>4.0571892882554594E-4</v>
      </c>
      <c r="AE113" s="228" cm="1">
        <f t="array" ref="AE113">SUMPRODUCT((AE12:AE107&gt;0)*($G$12:$G$107="A")*AE12:AE107*$F$12:$F$107/$F$12)</f>
        <v>4.0571892882554594E-4</v>
      </c>
      <c r="AF113" s="228" cm="1">
        <f t="array" ref="AF113">SUMPRODUCT((AF12:AF107&gt;0)*($G$12:$G$107="A")*AF12:AF107*$F$12:$F$107/$F$12)</f>
        <v>4.0571892882554594E-4</v>
      </c>
      <c r="AG113" s="228" cm="1">
        <f t="array" ref="AG113">SUMPRODUCT((AG12:AG107&gt;0)*($G$12:$G$107="A")*AG12:AG107*$F$12:$F$107/$F$12)</f>
        <v>1.1386445548159344E-3</v>
      </c>
      <c r="AH113" s="228" cm="1">
        <f t="array" ref="AH113">SUMPRODUCT((AH12:AH107&gt;0)*($G$12:$G$107="A")*AH12:AH107*$F$12:$F$107/$F$12)</f>
        <v>2.00440480567699E-3</v>
      </c>
      <c r="AI113" s="228" cm="1">
        <f t="array" ref="AI113">SUMPRODUCT((AI12:AI107&gt;0)*($G$12:$G$107="A")*AI12:AI107*$F$12:$F$107/$F$12)</f>
        <v>2.3280039757350621E-3</v>
      </c>
      <c r="AJ113" s="228" cm="1">
        <f t="array" ref="AJ113">SUMPRODUCT((AJ12:AJ107&gt;0)*($G$12:$G$107="A")*AJ12:AJ107*$F$12:$F$107/$F$12)</f>
        <v>3.0609296017254498E-3</v>
      </c>
      <c r="AK113" s="228" cm="1">
        <f t="array" ref="AK113">SUMPRODUCT((AK12:AK107&gt;0)*($G$12:$G$107="A")*AK12:AK107*$F$12:$F$107/$F$12)</f>
        <v>7.3405700178826722E-3</v>
      </c>
      <c r="AL113" s="228" cm="1">
        <f t="array" ref="AL113">SUMPRODUCT((AL12:AL107&gt;0)*($G$12:$G$107="A")*AL12:AL107*$F$12:$F$107/$F$12)</f>
        <v>8.2763551082858326E-3</v>
      </c>
      <c r="AM113" s="228"/>
      <c r="AN113" s="228"/>
      <c r="AO113" s="228"/>
      <c r="AP113" s="228"/>
      <c r="AQ113" s="228"/>
      <c r="AR113" s="228"/>
      <c r="AS113" s="228"/>
      <c r="AT113" s="228"/>
      <c r="AU113" s="228"/>
      <c r="AV113" s="228"/>
      <c r="AW113" s="228"/>
      <c r="AX113" s="228"/>
      <c r="AY113" s="228"/>
      <c r="AZ113" s="228"/>
      <c r="BA113" s="228"/>
      <c r="BB113" s="228"/>
      <c r="BC113" s="228"/>
      <c r="BD113" s="228"/>
      <c r="BE113" s="228"/>
      <c r="BF113" s="228"/>
      <c r="BG113" s="228"/>
      <c r="BH113" s="228"/>
      <c r="BI113" s="228"/>
      <c r="BJ113" s="228"/>
      <c r="BK113" s="228"/>
      <c r="BL113" s="228"/>
      <c r="BM113" s="228"/>
      <c r="BN113" s="228"/>
      <c r="BO113" s="228"/>
      <c r="BP113" s="228"/>
      <c r="BQ113" s="228"/>
      <c r="BR113" s="228"/>
      <c r="BS113" s="228"/>
      <c r="BT113" s="228"/>
      <c r="BU113" s="228"/>
      <c r="BV113" s="228"/>
      <c r="BW113" s="228"/>
      <c r="BX113" s="228"/>
      <c r="BY113" s="228"/>
      <c r="BZ113" s="228"/>
      <c r="CA113" s="228"/>
      <c r="CB113" s="228"/>
      <c r="CC113" s="228"/>
      <c r="CD113" s="228"/>
      <c r="CE113" s="228"/>
      <c r="CF113" s="228"/>
      <c r="CG113" s="228"/>
      <c r="CH113" s="228"/>
      <c r="CI113" s="228"/>
      <c r="CJ113" s="228"/>
      <c r="CK113" s="228"/>
      <c r="CL113" s="228"/>
      <c r="CM113" s="228"/>
      <c r="CN113" s="228"/>
      <c r="CO113" s="228"/>
      <c r="CP113" s="229"/>
      <c r="CQ113" s="56"/>
      <c r="CR113" s="57"/>
      <c r="CS113" s="57"/>
      <c r="CT113" s="58"/>
      <c r="CU113" s="56"/>
      <c r="CV113" s="57"/>
      <c r="CW113" s="57"/>
      <c r="CX113" s="58"/>
      <c r="CY113" s="56"/>
      <c r="CZ113" s="57"/>
      <c r="DA113" s="57"/>
      <c r="DB113" s="58"/>
      <c r="DC113" s="55"/>
      <c r="DD113" s="84"/>
      <c r="DE113" s="84"/>
    </row>
    <row r="114" spans="1:109" s="35" customFormat="1" ht="75" customHeight="1" thickBot="1" x14ac:dyDescent="0.6">
      <c r="A114" s="85"/>
      <c r="B114" s="249"/>
      <c r="C114" s="248"/>
      <c r="D114" s="230"/>
      <c r="E114" s="231"/>
      <c r="F114" s="231"/>
      <c r="G114" s="231"/>
      <c r="H114" s="231"/>
      <c r="I114" s="231"/>
      <c r="J114" s="231"/>
      <c r="K114" s="232" t="s">
        <v>83</v>
      </c>
      <c r="L114" s="232"/>
      <c r="M114" s="233">
        <f>M113</f>
        <v>0</v>
      </c>
      <c r="N114" s="233">
        <f>N113+M114</f>
        <v>0</v>
      </c>
      <c r="O114" s="233">
        <f t="shared" ref="O114:AE114" si="344">O113+N114</f>
        <v>0</v>
      </c>
      <c r="P114" s="233">
        <f t="shared" si="344"/>
        <v>0</v>
      </c>
      <c r="Q114" s="233">
        <f t="shared" si="344"/>
        <v>0</v>
      </c>
      <c r="R114" s="233">
        <f t="shared" si="344"/>
        <v>0</v>
      </c>
      <c r="S114" s="233">
        <f t="shared" si="344"/>
        <v>0</v>
      </c>
      <c r="T114" s="233">
        <f t="shared" si="344"/>
        <v>0</v>
      </c>
      <c r="U114" s="233">
        <f t="shared" si="344"/>
        <v>1.0142973220638649E-4</v>
      </c>
      <c r="V114" s="233">
        <f t="shared" si="344"/>
        <v>3.5500406272235272E-4</v>
      </c>
      <c r="W114" s="233">
        <f t="shared" si="344"/>
        <v>6.0857839323831889E-4</v>
      </c>
      <c r="X114" s="233">
        <f t="shared" si="344"/>
        <v>1.0142973220638649E-3</v>
      </c>
      <c r="Y114" s="233">
        <f t="shared" si="344"/>
        <v>1.4200162508894109E-3</v>
      </c>
      <c r="Z114" s="233">
        <f t="shared" si="344"/>
        <v>1.6735905814053772E-3</v>
      </c>
      <c r="AA114" s="233">
        <f t="shared" si="344"/>
        <v>1.9271649119213434E-3</v>
      </c>
      <c r="AB114" s="233">
        <f t="shared" si="344"/>
        <v>2.1807392424373095E-3</v>
      </c>
      <c r="AC114" s="233">
        <f t="shared" si="344"/>
        <v>2.4343135729532756E-3</v>
      </c>
      <c r="AD114" s="233">
        <f t="shared" si="344"/>
        <v>2.8400325017788213E-3</v>
      </c>
      <c r="AE114" s="233">
        <f t="shared" si="344"/>
        <v>3.2457514306043671E-3</v>
      </c>
      <c r="AF114" s="233">
        <f t="shared" ref="AF114" si="345">AF113+AE114</f>
        <v>3.6514703594299129E-3</v>
      </c>
      <c r="AG114" s="233">
        <f t="shared" ref="AG114" si="346">AG113+AF114</f>
        <v>4.7901149142458473E-3</v>
      </c>
      <c r="AH114" s="233">
        <f t="shared" ref="AH114" si="347">AH113+AG114</f>
        <v>6.7945197199228372E-3</v>
      </c>
      <c r="AI114" s="233">
        <f t="shared" ref="AI114" si="348">AI113+AH114</f>
        <v>9.1225236956578998E-3</v>
      </c>
      <c r="AJ114" s="233">
        <f t="shared" ref="AJ114" si="349">AJ113+AI114</f>
        <v>1.2183453297383349E-2</v>
      </c>
      <c r="AK114" s="233">
        <f t="shared" ref="AK114" si="350">AK113+AJ114</f>
        <v>1.9524023315266023E-2</v>
      </c>
      <c r="AL114" s="233">
        <f t="shared" ref="AL114" si="351">AL113+AK114</f>
        <v>2.7800378423551854E-2</v>
      </c>
      <c r="AM114" s="233"/>
      <c r="AN114" s="233"/>
      <c r="AO114" s="233"/>
      <c r="AP114" s="233"/>
      <c r="AQ114" s="233"/>
      <c r="AR114" s="233"/>
      <c r="AS114" s="233"/>
      <c r="AT114" s="233"/>
      <c r="AU114" s="233"/>
      <c r="AV114" s="233"/>
      <c r="AW114" s="233"/>
      <c r="AX114" s="233"/>
      <c r="AY114" s="233"/>
      <c r="AZ114" s="233"/>
      <c r="BA114" s="233"/>
      <c r="BB114" s="233"/>
      <c r="BC114" s="233"/>
      <c r="BD114" s="233"/>
      <c r="BE114" s="233"/>
      <c r="BF114" s="233"/>
      <c r="BG114" s="233"/>
      <c r="BH114" s="233"/>
      <c r="BI114" s="233"/>
      <c r="BJ114" s="233"/>
      <c r="BK114" s="233"/>
      <c r="BL114" s="233"/>
      <c r="BM114" s="233"/>
      <c r="BN114" s="233"/>
      <c r="BO114" s="233"/>
      <c r="BP114" s="233"/>
      <c r="BQ114" s="233"/>
      <c r="BR114" s="233"/>
      <c r="BS114" s="233"/>
      <c r="BT114" s="233"/>
      <c r="BU114" s="233"/>
      <c r="BV114" s="233"/>
      <c r="BW114" s="233"/>
      <c r="BX114" s="233"/>
      <c r="BY114" s="233"/>
      <c r="BZ114" s="233"/>
      <c r="CA114" s="233"/>
      <c r="CB114" s="233"/>
      <c r="CC114" s="233"/>
      <c r="CD114" s="233"/>
      <c r="CE114" s="233"/>
      <c r="CF114" s="233"/>
      <c r="CG114" s="233"/>
      <c r="CH114" s="233"/>
      <c r="CI114" s="233"/>
      <c r="CJ114" s="233"/>
      <c r="CK114" s="233"/>
      <c r="CL114" s="233"/>
      <c r="CM114" s="233"/>
      <c r="CN114" s="233"/>
      <c r="CO114" s="233"/>
      <c r="CP114" s="234"/>
      <c r="CQ114" s="56"/>
      <c r="CR114" s="57"/>
      <c r="CS114" s="57"/>
      <c r="CT114" s="58"/>
      <c r="CU114" s="56"/>
      <c r="CV114" s="57"/>
      <c r="CW114" s="57"/>
      <c r="CX114" s="58"/>
      <c r="CY114" s="56"/>
      <c r="CZ114" s="57"/>
      <c r="DA114" s="57"/>
      <c r="DB114" s="58"/>
      <c r="DC114" s="55"/>
      <c r="DD114" s="84"/>
      <c r="DE114" s="84"/>
    </row>
    <row r="115" spans="1:109" x14ac:dyDescent="0.5">
      <c r="C115" s="24"/>
      <c r="D115" s="24"/>
      <c r="E115" s="25"/>
      <c r="F115" s="25"/>
      <c r="G115" s="25"/>
      <c r="H115" s="181"/>
      <c r="I115" s="181"/>
      <c r="J115" s="181"/>
      <c r="K115" s="25"/>
      <c r="L115" s="2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</row>
    <row r="116" spans="1:109" x14ac:dyDescent="0.5">
      <c r="C116" s="24"/>
      <c r="D116" s="24"/>
      <c r="E116" s="25"/>
      <c r="F116" s="25"/>
      <c r="G116" s="25"/>
      <c r="H116" s="181"/>
      <c r="I116" s="181"/>
      <c r="J116" s="181"/>
      <c r="K116" s="25"/>
      <c r="L116" s="25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60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</row>
    <row r="117" spans="1:109" ht="26.25" x14ac:dyDescent="0.55000000000000004">
      <c r="E117" s="16"/>
      <c r="F117" s="16"/>
      <c r="G117" s="17"/>
      <c r="H117" s="182"/>
      <c r="I117" s="182"/>
      <c r="J117" s="182"/>
      <c r="K117" s="17"/>
      <c r="L117" s="17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59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</row>
    <row r="118" spans="1:109" x14ac:dyDescent="0.5">
      <c r="AE118" s="36"/>
    </row>
  </sheetData>
  <mergeCells count="198">
    <mergeCell ref="U110:X110"/>
    <mergeCell ref="AD110:AG110"/>
    <mergeCell ref="Y110:AC110"/>
    <mergeCell ref="CU111:CX111"/>
    <mergeCell ref="CY111:DB111"/>
    <mergeCell ref="BM111:BP111"/>
    <mergeCell ref="BQ111:BT111"/>
    <mergeCell ref="BZ111:CC111"/>
    <mergeCell ref="CD111:CG111"/>
    <mergeCell ref="CH111:CK111"/>
    <mergeCell ref="BU111:BY111"/>
    <mergeCell ref="AM111:AP111"/>
    <mergeCell ref="AQ111:AT111"/>
    <mergeCell ref="AU111:AX111"/>
    <mergeCell ref="AZ111:BC111"/>
    <mergeCell ref="BD111:BG111"/>
    <mergeCell ref="BH111:BL111"/>
    <mergeCell ref="Y111:AC111"/>
    <mergeCell ref="AH110:AL110"/>
    <mergeCell ref="AH111:AL111"/>
    <mergeCell ref="CM111:CP111"/>
    <mergeCell ref="CQ111:CT111"/>
    <mergeCell ref="CM110:CP110"/>
    <mergeCell ref="G110:G111"/>
    <mergeCell ref="A104:A105"/>
    <mergeCell ref="C104:C105"/>
    <mergeCell ref="CU110:CX110"/>
    <mergeCell ref="CY110:DB110"/>
    <mergeCell ref="M111:P111"/>
    <mergeCell ref="Q111:T111"/>
    <mergeCell ref="U111:X111"/>
    <mergeCell ref="AD111:AG111"/>
    <mergeCell ref="BM110:BP110"/>
    <mergeCell ref="BQ110:BT110"/>
    <mergeCell ref="BZ110:CC110"/>
    <mergeCell ref="CD110:CG110"/>
    <mergeCell ref="CH110:CK110"/>
    <mergeCell ref="BU110:BY110"/>
    <mergeCell ref="AM110:AP110"/>
    <mergeCell ref="AQ110:AT110"/>
    <mergeCell ref="AU110:AX110"/>
    <mergeCell ref="AZ110:BC110"/>
    <mergeCell ref="BD110:BG110"/>
    <mergeCell ref="BH110:BL110"/>
    <mergeCell ref="CQ110:CT110"/>
    <mergeCell ref="Q110:T110"/>
    <mergeCell ref="M110:P110"/>
    <mergeCell ref="A100:A101"/>
    <mergeCell ref="C100:C101"/>
    <mergeCell ref="A102:A103"/>
    <mergeCell ref="C102:C103"/>
    <mergeCell ref="A94:A95"/>
    <mergeCell ref="C94:C95"/>
    <mergeCell ref="A96:A97"/>
    <mergeCell ref="C96:C97"/>
    <mergeCell ref="A106:A107"/>
    <mergeCell ref="C106:C107"/>
    <mergeCell ref="A92:A93"/>
    <mergeCell ref="C92:C93"/>
    <mergeCell ref="A86:A87"/>
    <mergeCell ref="C86:C87"/>
    <mergeCell ref="A88:A89"/>
    <mergeCell ref="C88:C89"/>
    <mergeCell ref="A90:A91"/>
    <mergeCell ref="C90:C91"/>
    <mergeCell ref="A98:A99"/>
    <mergeCell ref="C98:C99"/>
    <mergeCell ref="A82:A83"/>
    <mergeCell ref="C82:C83"/>
    <mergeCell ref="A84:A85"/>
    <mergeCell ref="C84:C85"/>
    <mergeCell ref="A76:A77"/>
    <mergeCell ref="C76:C77"/>
    <mergeCell ref="A78:A79"/>
    <mergeCell ref="C78:C79"/>
    <mergeCell ref="A80:A81"/>
    <mergeCell ref="C80:C81"/>
    <mergeCell ref="A70:A71"/>
    <mergeCell ref="C70:C71"/>
    <mergeCell ref="A72:A73"/>
    <mergeCell ref="C72:C73"/>
    <mergeCell ref="A74:A75"/>
    <mergeCell ref="C74:C75"/>
    <mergeCell ref="A66:A67"/>
    <mergeCell ref="C66:C67"/>
    <mergeCell ref="A68:A69"/>
    <mergeCell ref="C68:C69"/>
    <mergeCell ref="A60:A61"/>
    <mergeCell ref="C60:C61"/>
    <mergeCell ref="A62:A63"/>
    <mergeCell ref="C62:C63"/>
    <mergeCell ref="A64:A65"/>
    <mergeCell ref="C64:C65"/>
    <mergeCell ref="A54:A55"/>
    <mergeCell ref="C54:C55"/>
    <mergeCell ref="A56:A57"/>
    <mergeCell ref="C56:C57"/>
    <mergeCell ref="A58:A59"/>
    <mergeCell ref="C58:C59"/>
    <mergeCell ref="A50:A51"/>
    <mergeCell ref="C50:C51"/>
    <mergeCell ref="A52:A53"/>
    <mergeCell ref="C52:C53"/>
    <mergeCell ref="A42:A43"/>
    <mergeCell ref="C42:C43"/>
    <mergeCell ref="A44:A45"/>
    <mergeCell ref="C44:C45"/>
    <mergeCell ref="A48:A49"/>
    <mergeCell ref="C48:C49"/>
    <mergeCell ref="A40:A41"/>
    <mergeCell ref="C40:C41"/>
    <mergeCell ref="A32:A33"/>
    <mergeCell ref="C32:C33"/>
    <mergeCell ref="A34:A35"/>
    <mergeCell ref="C34:C35"/>
    <mergeCell ref="A36:A37"/>
    <mergeCell ref="C36:C37"/>
    <mergeCell ref="A46:A47"/>
    <mergeCell ref="C46:C47"/>
    <mergeCell ref="A30:A31"/>
    <mergeCell ref="C30:C31"/>
    <mergeCell ref="A20:A21"/>
    <mergeCell ref="C20:C21"/>
    <mergeCell ref="A22:A23"/>
    <mergeCell ref="C22:C23"/>
    <mergeCell ref="A24:A25"/>
    <mergeCell ref="C24:C25"/>
    <mergeCell ref="A38:A39"/>
    <mergeCell ref="C38:C39"/>
    <mergeCell ref="CY10:DB10"/>
    <mergeCell ref="A12:A13"/>
    <mergeCell ref="C12:C13"/>
    <mergeCell ref="BH10:BL10"/>
    <mergeCell ref="BU10:BX10"/>
    <mergeCell ref="BZ10:CC10"/>
    <mergeCell ref="CD10:CG10"/>
    <mergeCell ref="CH10:CK10"/>
    <mergeCell ref="CM10:CP10"/>
    <mergeCell ref="CQ10:CT10"/>
    <mergeCell ref="AZ10:BC10"/>
    <mergeCell ref="BD10:BG10"/>
    <mergeCell ref="BM10:BP10"/>
    <mergeCell ref="BQ10:BT10"/>
    <mergeCell ref="AM10:AP10"/>
    <mergeCell ref="H8:H10"/>
    <mergeCell ref="B8:B10"/>
    <mergeCell ref="Y9:AC9"/>
    <mergeCell ref="Y10:AC10"/>
    <mergeCell ref="AH9:AL9"/>
    <mergeCell ref="AH10:AL10"/>
    <mergeCell ref="AU10:AY10"/>
    <mergeCell ref="M8:BG8"/>
    <mergeCell ref="BH8:BU8"/>
    <mergeCell ref="A1:DC1"/>
    <mergeCell ref="AH4:AM4"/>
    <mergeCell ref="CM4:CQ4"/>
    <mergeCell ref="AH5:AM5"/>
    <mergeCell ref="CM5:CQ5"/>
    <mergeCell ref="A8:A10"/>
    <mergeCell ref="C8:C10"/>
    <mergeCell ref="E8:E10"/>
    <mergeCell ref="G8:G10"/>
    <mergeCell ref="CU9:CX9"/>
    <mergeCell ref="CY9:DB9"/>
    <mergeCell ref="M10:P10"/>
    <mergeCell ref="Q10:T10"/>
    <mergeCell ref="U10:X10"/>
    <mergeCell ref="AD10:AG10"/>
    <mergeCell ref="AQ10:AT10"/>
    <mergeCell ref="BU9:BX9"/>
    <mergeCell ref="BZ9:CC9"/>
    <mergeCell ref="CD9:CG9"/>
    <mergeCell ref="CH9:CK9"/>
    <mergeCell ref="CM9:CP9"/>
    <mergeCell ref="CQ9:CT9"/>
    <mergeCell ref="AZ9:BC9"/>
    <mergeCell ref="CU10:CX10"/>
    <mergeCell ref="A14:A15"/>
    <mergeCell ref="C14:C15"/>
    <mergeCell ref="A16:A17"/>
    <mergeCell ref="C16:C17"/>
    <mergeCell ref="A18:A19"/>
    <mergeCell ref="C18:C19"/>
    <mergeCell ref="A26:A27"/>
    <mergeCell ref="C26:C27"/>
    <mergeCell ref="A28:A29"/>
    <mergeCell ref="C28:C29"/>
    <mergeCell ref="M9:P9"/>
    <mergeCell ref="Q9:T9"/>
    <mergeCell ref="U9:X9"/>
    <mergeCell ref="AD9:AG9"/>
    <mergeCell ref="AM9:AP9"/>
    <mergeCell ref="AQ9:AT9"/>
    <mergeCell ref="BD9:BG9"/>
    <mergeCell ref="BM9:BP9"/>
    <mergeCell ref="BQ9:BT9"/>
    <mergeCell ref="AU9:AY9"/>
    <mergeCell ref="BH9:BL9"/>
  </mergeCells>
  <conditionalFormatting sqref="K12:L107">
    <cfRule type="expression" dxfId="13" priority="17">
      <formula>AND($G12="A",K12&gt;0)</formula>
    </cfRule>
    <cfRule type="expression" dxfId="12" priority="18">
      <formula>AND($G12="P", K12=100%)</formula>
    </cfRule>
  </conditionalFormatting>
  <conditionalFormatting sqref="M12:CP107">
    <cfRule type="expression" dxfId="11" priority="2">
      <formula>AND($G12="Actual", M12&gt;0)</formula>
    </cfRule>
    <cfRule type="expression" dxfId="10" priority="3">
      <formula>AND($G12="P", $H12&lt;&gt;0,M12&gt;0)</formula>
    </cfRule>
  </conditionalFormatting>
  <conditionalFormatting sqref="M12:DC17 M18:CT18 M19:Q19 S19:CT19 M20:CT20 M21:Q21 S21:CT21 M22:CT22 M23:Q23 S23:CT23 M24:CT24 M25:V25 X25:CT25 M26:CT28 M29:V29 X29:CT29 M30:CT34 M35:V35 X35:CT35 M36:CT47 M48:DC49 M50:CT62 M57:DC57 M63:Z63 AB63:CT63 M64:CT64 M65:Z65 AB65:CT65 M66:CT66 M67:Z67 AB67:CT67 M68:CT68 M69:Z69 AB69:CT69 M70:CT70 M71:AI71 AK71:CT71 M72:CT72 M73:AQ73 AS73:CT73 M74:CT74 M75:BD75 BF75:CT75 M76:DC77 N78:CT78 M79:Z79 AB79:CT79 M80:CT80 M81:Z81 AB81:CT81 M82:CT82 M83:Z83 AB83:CT83 M84:CT84 BM84:BY87 M85:AR85 AT85:CT85 M86:Z86 AB86:CT86 M87:AN87 AP87:CT87 M88:CT88 M89:AN89 AP89:CT89 M90:CT90 M91:AN91 AP91:CT91 M92:CT92 M93:DD93 M94:CT94 M95:AN95 AP95:CT95 M96:CT96 M97:AR97 AT97:CT97 M98:CT100 M101:AV101 AX101:CT101 M102:CT102 M103:AV103 AX103:CT103 M104:CT104 M105:AV105 AX105:CT105 M106:CT106 M107:BE107 BG107:CT107 CU18:DC47 CU50:DC75 CU78:DC92 CU94:DC107">
    <cfRule type="expression" dxfId="9" priority="19">
      <formula>AND($G12="A", M12&gt;0)</formula>
    </cfRule>
  </conditionalFormatting>
  <conditionalFormatting sqref="M12:DC17 M18:CT18 CU18:DC47 M19:Q19 S19:CT19 M20:CT20 M21:Q21 S21:CT21 M22:CT22 M23:Q23 S23:CT23 M24:CT24 M25:V25 X25:CT25 M26:CT28 M29:V29 X29:CT29 M30:CT34 M35:V35 X35:CT35 M36:CT47 M48:DC49 M50:CT62 CU50:DC75 M57:DC57 M63:Z63 AB63:CT63 M64:CT64 M65:Z65 AB65:CT65 M66:CT66 M67:Z67 AB67:CT67 M68:CT68 M69:Z69 AB69:CT69 M70:CT70 M71:AI71 AK71:CT71 M72:CT72 M73:AQ73 AS73:CT73 M74:CT74 M75:BD75 BF75:CT75 M76:DC77 N78:CT78 CU78:DC91 M79:Z79 AB79:CT79 M80:CT80 M81:Z81 AB81:CT81 M82:CT82 M83:Z83 AB83:CT83 M84:CT84 BM84:BY87 M85:AR85 AT85:CT85 M86:Z86 AB86:CT86 M87:AN87 AP87:CT87 M88:CT88 M89:AN89 AP89:CT89 M90:CT90 M91:AN91 AP91:CT91 M92:DC92 M93:DD93 M94:CT94 CU94:DC107 M95:AN95 AP95:CT95 M96:CT96 M97:AR97 AT97:CT97 M98:CT100 M101:AV101 AX101:CT101 M102:CT102 M103:AV103 AX103:CT103 M104:CT104 M105:AV105 AX105:CT105 M106:CT106 M107:BE107 BG107:CT107">
    <cfRule type="expression" dxfId="8" priority="20">
      <formula>AND($G12="P", M12&gt;0)</formula>
    </cfRule>
  </conditionalFormatting>
  <conditionalFormatting sqref="M12:DC92 M93:DD93 M94:DC107">
    <cfRule type="expression" priority="5">
      <formula>IF(#REF!=0%,"",M12)</formula>
    </cfRule>
  </conditionalFormatting>
  <conditionalFormatting sqref="K12:K107">
    <cfRule type="expression" dxfId="7" priority="1">
      <formula>K12&gt;100%</formula>
    </cfRule>
  </conditionalFormatting>
  <printOptions horizontalCentered="1"/>
  <pageMargins left="0.19685039370078741" right="0.19685039370078741" top="0.19685039370078741" bottom="0.19685039370078741" header="0.19685039370078741" footer="0.19685039370078741"/>
  <pageSetup paperSize="8" scale="25" fitToHeight="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0"/>
  <sheetViews>
    <sheetView topLeftCell="A25" workbookViewId="0">
      <selection activeCell="D2" sqref="D2"/>
    </sheetView>
  </sheetViews>
  <sheetFormatPr defaultRowHeight="21" x14ac:dyDescent="0.45"/>
  <cols>
    <col min="1" max="1" width="18.6640625" customWidth="1"/>
    <col min="2" max="2" width="12" customWidth="1"/>
    <col min="3" max="3" width="22.83203125" customWidth="1"/>
    <col min="4" max="4" width="19.83203125" style="86" customWidth="1"/>
    <col min="5" max="5" width="11.33203125" style="86" customWidth="1"/>
  </cols>
  <sheetData>
    <row r="1" spans="1:5" x14ac:dyDescent="0.45">
      <c r="A1" s="97" t="s">
        <v>92</v>
      </c>
      <c r="B1" s="87" t="s">
        <v>89</v>
      </c>
      <c r="C1" s="87" t="s">
        <v>86</v>
      </c>
      <c r="D1" s="99" t="s">
        <v>87</v>
      </c>
      <c r="E1" s="99" t="s">
        <v>88</v>
      </c>
    </row>
    <row r="2" spans="1:5" x14ac:dyDescent="0.45">
      <c r="A2" s="98">
        <v>46082</v>
      </c>
      <c r="B2" s="98">
        <v>46630</v>
      </c>
      <c r="C2" s="98">
        <f>'NKC2-%'!M11</f>
        <v>46059</v>
      </c>
      <c r="D2" s="100">
        <f>INDEX('NKC2-%'!$M$109:$CP$109,1,ROW(A1))*100</f>
        <v>0</v>
      </c>
      <c r="E2" s="100">
        <f>INDEX('NKC2-%'!$M$114:$CP$114,1,ROW(A1))*100</f>
        <v>0</v>
      </c>
    </row>
    <row r="3" spans="1:5" x14ac:dyDescent="0.45">
      <c r="A3" s="98">
        <v>46082</v>
      </c>
      <c r="B3" s="98">
        <v>46630</v>
      </c>
      <c r="C3" s="98">
        <f>C2+7</f>
        <v>46066</v>
      </c>
      <c r="D3" s="100">
        <f>INDEX('NKC2-%'!$M$109:$CP$109,1,ROW(A2))*100</f>
        <v>0</v>
      </c>
      <c r="E3" s="100">
        <f>INDEX('NKC2-%'!$M$114:$CP$114,1,ROW(A2))*100</f>
        <v>0</v>
      </c>
    </row>
    <row r="4" spans="1:5" x14ac:dyDescent="0.45">
      <c r="A4" s="98">
        <v>46082</v>
      </c>
      <c r="B4" s="98">
        <v>46630</v>
      </c>
      <c r="C4" s="98">
        <f t="shared" ref="C4:C67" si="0">C3+7</f>
        <v>46073</v>
      </c>
      <c r="D4" s="100">
        <f>INDEX('NKC2-%'!$M$109:$CP$109,1,ROW(A3))*100</f>
        <v>0</v>
      </c>
      <c r="E4" s="100">
        <f>INDEX('NKC2-%'!$M$114:$CP$114,1,ROW(A3))*100</f>
        <v>0</v>
      </c>
    </row>
    <row r="5" spans="1:5" x14ac:dyDescent="0.45">
      <c r="A5" s="98">
        <v>46082</v>
      </c>
      <c r="B5" s="98">
        <v>46630</v>
      </c>
      <c r="C5" s="98">
        <f t="shared" si="0"/>
        <v>46080</v>
      </c>
      <c r="D5" s="100">
        <f>INDEX('NKC2-%'!$M$109:$CP$109,1,ROW(A4))*100</f>
        <v>0</v>
      </c>
      <c r="E5" s="100">
        <f>INDEX('NKC2-%'!$M$114:$CP$114,1,ROW(A4))*100</f>
        <v>0</v>
      </c>
    </row>
    <row r="6" spans="1:5" x14ac:dyDescent="0.45">
      <c r="A6" s="98">
        <v>46082</v>
      </c>
      <c r="B6" s="98">
        <v>46630</v>
      </c>
      <c r="C6" s="98">
        <f t="shared" si="0"/>
        <v>46087</v>
      </c>
      <c r="D6" s="100">
        <f>INDEX('NKC2-%'!$M$109:$CP$109,1,ROW(A5))*100</f>
        <v>0</v>
      </c>
      <c r="E6" s="100">
        <f>INDEX('NKC2-%'!$M$114:$CP$114,1,ROW(A5))*100</f>
        <v>0</v>
      </c>
    </row>
    <row r="7" spans="1:5" x14ac:dyDescent="0.45">
      <c r="A7" s="98">
        <v>46082</v>
      </c>
      <c r="B7" s="98">
        <v>46630</v>
      </c>
      <c r="C7" s="98">
        <f t="shared" si="0"/>
        <v>46094</v>
      </c>
      <c r="D7" s="100">
        <f>INDEX('NKC2-%'!$M$109:$CP$109,1,ROW(A6))*100</f>
        <v>0</v>
      </c>
      <c r="E7" s="100">
        <f>INDEX('NKC2-%'!$M$114:$CP$114,1,ROW(A6))*100</f>
        <v>0</v>
      </c>
    </row>
    <row r="8" spans="1:5" x14ac:dyDescent="0.45">
      <c r="A8" s="98">
        <v>46082</v>
      </c>
      <c r="B8" s="98">
        <v>46630</v>
      </c>
      <c r="C8" s="98">
        <f t="shared" si="0"/>
        <v>46101</v>
      </c>
      <c r="D8" s="100">
        <f>INDEX('NKC2-%'!$M$109:$CP$109,1,ROW(A7))*100</f>
        <v>0</v>
      </c>
      <c r="E8" s="100">
        <f>INDEX('NKC2-%'!$M$114:$CP$114,1,ROW(A7))*100</f>
        <v>0</v>
      </c>
    </row>
    <row r="9" spans="1:5" x14ac:dyDescent="0.45">
      <c r="A9" s="98">
        <v>46082</v>
      </c>
      <c r="B9" s="98">
        <v>46630</v>
      </c>
      <c r="C9" s="98">
        <f t="shared" si="0"/>
        <v>46108</v>
      </c>
      <c r="D9" s="100">
        <f>INDEX('NKC2-%'!$M$109:$CP$109,1,ROW(A8))*100</f>
        <v>0</v>
      </c>
      <c r="E9" s="100">
        <f>INDEX('NKC2-%'!$M$114:$CP$114,1,ROW(A8))*100</f>
        <v>0</v>
      </c>
    </row>
    <row r="10" spans="1:5" x14ac:dyDescent="0.45">
      <c r="A10" s="98">
        <v>46082</v>
      </c>
      <c r="B10" s="98">
        <v>46630</v>
      </c>
      <c r="C10" s="98">
        <f t="shared" si="0"/>
        <v>46115</v>
      </c>
      <c r="D10" s="100">
        <f>INDEX('NKC2-%'!$M$109:$CP$109,1,ROW(A9))*100</f>
        <v>0</v>
      </c>
      <c r="E10" s="100">
        <f>INDEX('NKC2-%'!$M$114:$CP$114,1,ROW(A9))*100</f>
        <v>1.0142973220638649E-2</v>
      </c>
    </row>
    <row r="11" spans="1:5" x14ac:dyDescent="0.45">
      <c r="A11" s="98">
        <v>46082</v>
      </c>
      <c r="B11" s="98">
        <v>46630</v>
      </c>
      <c r="C11" s="98">
        <f t="shared" si="0"/>
        <v>46122</v>
      </c>
      <c r="D11" s="100">
        <f>INDEX('NKC2-%'!$M$109:$CP$109,1,ROW(A10))*100</f>
        <v>0</v>
      </c>
      <c r="E11" s="100">
        <f>INDEX('NKC2-%'!$M$114:$CP$114,1,ROW(A10))*100</f>
        <v>3.5500406272235274E-2</v>
      </c>
    </row>
    <row r="12" spans="1:5" x14ac:dyDescent="0.45">
      <c r="A12" s="98">
        <v>46082</v>
      </c>
      <c r="B12" s="98">
        <v>46630</v>
      </c>
      <c r="C12" s="98">
        <f t="shared" si="0"/>
        <v>46129</v>
      </c>
      <c r="D12" s="100">
        <f>INDEX('NKC2-%'!$M$109:$CP$109,1,ROW(A11))*100</f>
        <v>1.2678716525798311E-2</v>
      </c>
      <c r="E12" s="100">
        <f>INDEX('NKC2-%'!$M$114:$CP$114,1,ROW(A11))*100</f>
        <v>6.0857839323831889E-2</v>
      </c>
    </row>
    <row r="13" spans="1:5" x14ac:dyDescent="0.45">
      <c r="A13" s="98">
        <v>46082</v>
      </c>
      <c r="B13" s="98">
        <v>46630</v>
      </c>
      <c r="C13" s="98">
        <f t="shared" si="0"/>
        <v>46136</v>
      </c>
      <c r="D13" s="100">
        <f>INDEX('NKC2-%'!$M$109:$CP$109,1,ROW(A12))*100</f>
        <v>2.5357433051596621E-2</v>
      </c>
      <c r="E13" s="100">
        <f>INDEX('NKC2-%'!$M$114:$CP$114,1,ROW(A12))*100</f>
        <v>0.10142973220638649</v>
      </c>
    </row>
    <row r="14" spans="1:5" x14ac:dyDescent="0.45">
      <c r="A14" s="98">
        <v>46082</v>
      </c>
      <c r="B14" s="98">
        <v>46630</v>
      </c>
      <c r="C14" s="98">
        <f t="shared" si="0"/>
        <v>46143</v>
      </c>
      <c r="D14" s="100">
        <f>INDEX('NKC2-%'!$M$109:$CP$109,1,ROW(A13))*100</f>
        <v>3.8036149577394929E-2</v>
      </c>
      <c r="E14" s="100">
        <f>INDEX('NKC2-%'!$M$114:$CP$114,1,ROW(A13))*100</f>
        <v>0.1420016250889411</v>
      </c>
    </row>
    <row r="15" spans="1:5" x14ac:dyDescent="0.45">
      <c r="A15" s="98">
        <v>46082</v>
      </c>
      <c r="B15" s="98">
        <v>46630</v>
      </c>
      <c r="C15" s="98">
        <f t="shared" si="0"/>
        <v>46150</v>
      </c>
      <c r="D15" s="100">
        <f>INDEX('NKC2-%'!$M$109:$CP$109,1,ROW(A14))*100</f>
        <v>5.0714866103193243E-2</v>
      </c>
      <c r="E15" s="100">
        <f>INDEX('NKC2-%'!$M$114:$CP$114,1,ROW(A14))*100</f>
        <v>0.16735905814053773</v>
      </c>
    </row>
    <row r="16" spans="1:5" x14ac:dyDescent="0.45">
      <c r="A16" s="98">
        <v>46082</v>
      </c>
      <c r="B16" s="98">
        <v>46630</v>
      </c>
      <c r="C16" s="98">
        <f t="shared" si="0"/>
        <v>46157</v>
      </c>
      <c r="D16" s="100">
        <f>INDEX('NKC2-%'!$M$109:$CP$109,1,ROW(A15))*100</f>
        <v>6.3393582628991557E-2</v>
      </c>
      <c r="E16" s="100">
        <f>INDEX('NKC2-%'!$M$114:$CP$114,1,ROW(A15))*100</f>
        <v>0.19271649119213435</v>
      </c>
    </row>
    <row r="17" spans="1:5" x14ac:dyDescent="0.45">
      <c r="A17" s="98">
        <v>46082</v>
      </c>
      <c r="B17" s="98">
        <v>46630</v>
      </c>
      <c r="C17" s="98">
        <f t="shared" si="0"/>
        <v>46164</v>
      </c>
      <c r="D17" s="100">
        <f>INDEX('NKC2-%'!$M$109:$CP$109,1,ROW(A16))*100</f>
        <v>7.6072299154789871E-2</v>
      </c>
      <c r="E17" s="100">
        <f>INDEX('NKC2-%'!$M$114:$CP$114,1,ROW(A16))*100</f>
        <v>0.21807392424373095</v>
      </c>
    </row>
    <row r="18" spans="1:5" x14ac:dyDescent="0.45">
      <c r="A18" s="98">
        <v>46082</v>
      </c>
      <c r="B18" s="98">
        <v>46630</v>
      </c>
      <c r="C18" s="98">
        <f t="shared" si="0"/>
        <v>46171</v>
      </c>
      <c r="D18" s="100">
        <f>INDEX('NKC2-%'!$M$109:$CP$109,1,ROW(A17))*100</f>
        <v>0.11410844873218479</v>
      </c>
      <c r="E18" s="100">
        <f>INDEX('NKC2-%'!$M$114:$CP$114,1,ROW(A17))*100</f>
        <v>0.24343135729532756</v>
      </c>
    </row>
    <row r="19" spans="1:5" x14ac:dyDescent="0.45">
      <c r="A19" s="98">
        <v>46082</v>
      </c>
      <c r="B19" s="98">
        <v>46630</v>
      </c>
      <c r="C19" s="98">
        <f t="shared" si="0"/>
        <v>46178</v>
      </c>
      <c r="D19" s="100">
        <f>INDEX('NKC2-%'!$M$109:$CP$109,1,ROW(A18))*100</f>
        <v>0.13946588178378141</v>
      </c>
      <c r="E19" s="100">
        <f>INDEX('NKC2-%'!$M$114:$CP$114,1,ROW(A18))*100</f>
        <v>0.28400325017788214</v>
      </c>
    </row>
    <row r="20" spans="1:5" x14ac:dyDescent="0.45">
      <c r="A20" s="98">
        <v>46082</v>
      </c>
      <c r="B20" s="98">
        <v>46630</v>
      </c>
      <c r="C20" s="98">
        <f t="shared" si="0"/>
        <v>46185</v>
      </c>
      <c r="D20" s="100">
        <f>INDEX('NKC2-%'!$M$109:$CP$109,1,ROW(A19))*100</f>
        <v>0.16482331483537804</v>
      </c>
      <c r="E20" s="100">
        <f>INDEX('NKC2-%'!$M$114:$CP$114,1,ROW(A19))*100</f>
        <v>0.32457514306043672</v>
      </c>
    </row>
    <row r="21" spans="1:5" x14ac:dyDescent="0.45">
      <c r="A21" s="98">
        <v>46082</v>
      </c>
      <c r="B21" s="98">
        <v>46630</v>
      </c>
      <c r="C21" s="98">
        <f t="shared" si="0"/>
        <v>46192</v>
      </c>
      <c r="D21" s="100">
        <f>INDEX('NKC2-%'!$M$109:$CP$109,1,ROW(A20))*100</f>
        <v>0.17750203136117634</v>
      </c>
      <c r="E21" s="100">
        <f>INDEX('NKC2-%'!$M$114:$CP$114,1,ROW(A20))*100</f>
        <v>0.3651470359429913</v>
      </c>
    </row>
    <row r="22" spans="1:5" x14ac:dyDescent="0.45">
      <c r="A22" s="98">
        <v>46082</v>
      </c>
      <c r="B22" s="98">
        <v>46630</v>
      </c>
      <c r="C22" s="98">
        <f t="shared" si="0"/>
        <v>46199</v>
      </c>
      <c r="D22" s="100">
        <f>INDEX('NKC2-%'!$M$109:$CP$109,1,ROW(A21))*100</f>
        <v>0.22137358423374667</v>
      </c>
      <c r="E22" s="100">
        <f>INDEX('NKC2-%'!$M$114:$CP$114,1,ROW(A21))*100</f>
        <v>0.47901149142458471</v>
      </c>
    </row>
    <row r="23" spans="1:5" x14ac:dyDescent="0.45">
      <c r="A23" s="98">
        <v>46082</v>
      </c>
      <c r="B23" s="98">
        <v>46630</v>
      </c>
      <c r="C23" s="98">
        <f t="shared" si="0"/>
        <v>46206</v>
      </c>
      <c r="D23" s="100">
        <f>INDEX('NKC2-%'!$M$109:$CP$109,1,ROW(A22))*100</f>
        <v>0.26524513710631703</v>
      </c>
      <c r="E23" s="100">
        <f>INDEX('NKC2-%'!$M$114:$CP$114,1,ROW(A22))*100</f>
        <v>0.67945197199228369</v>
      </c>
    </row>
    <row r="24" spans="1:5" x14ac:dyDescent="0.45">
      <c r="A24" s="98">
        <v>46082</v>
      </c>
      <c r="B24" s="98">
        <v>46630</v>
      </c>
      <c r="C24" s="98">
        <f t="shared" si="0"/>
        <v>46213</v>
      </c>
      <c r="D24" s="100">
        <f>INDEX('NKC2-%'!$M$109:$CP$109,1,ROW(A23))*100</f>
        <v>0.30911668997888736</v>
      </c>
      <c r="E24" s="100">
        <f>INDEX('NKC2-%'!$M$114:$CP$114,1,ROW(A23))*100</f>
        <v>0.91225236956579003</v>
      </c>
    </row>
    <row r="25" spans="1:5" x14ac:dyDescent="0.45">
      <c r="A25" s="98">
        <v>46082</v>
      </c>
      <c r="B25" s="98">
        <v>46630</v>
      </c>
      <c r="C25" s="98">
        <f t="shared" si="0"/>
        <v>46220</v>
      </c>
      <c r="D25" s="100">
        <f>INDEX('NKC2-%'!$M$109:$CP$109,1,ROW(A24))*100</f>
        <v>0.38418107919822975</v>
      </c>
      <c r="E25" s="100">
        <f>INDEX('NKC2-%'!$M$114:$CP$114,1,ROW(A24))*100</f>
        <v>1.2183453297383349</v>
      </c>
    </row>
    <row r="26" spans="1:5" x14ac:dyDescent="0.45">
      <c r="A26" s="98">
        <v>46082</v>
      </c>
      <c r="B26" s="98">
        <v>46630</v>
      </c>
      <c r="C26" s="98">
        <f t="shared" si="0"/>
        <v>46227</v>
      </c>
      <c r="D26" s="100">
        <f>INDEX('NKC2-%'!$M$109:$CP$109,1,ROW(A25))*100</f>
        <v>0.72763355323652579</v>
      </c>
      <c r="E26" s="100">
        <f>INDEX('NKC2-%'!$M$114:$CP$114,1,ROW(A25))*100</f>
        <v>1.9524023315266024</v>
      </c>
    </row>
    <row r="27" spans="1:5" x14ac:dyDescent="0.45">
      <c r="A27" s="98">
        <v>46082</v>
      </c>
      <c r="B27" s="98">
        <v>46630</v>
      </c>
      <c r="C27" s="98">
        <f t="shared" si="0"/>
        <v>46234</v>
      </c>
      <c r="D27" s="100">
        <f>INDEX('NKC2-%'!$M$109:$CP$109,1,ROW(A26))*100</f>
        <v>1.1334716999683658</v>
      </c>
      <c r="E27" s="100">
        <f>INDEX('NKC2-%'!$M$114:$CP$114,1,ROW(A26))*100</f>
        <v>2.7800378423551853</v>
      </c>
    </row>
    <row r="28" spans="1:5" x14ac:dyDescent="0.45">
      <c r="A28" s="98">
        <v>46082</v>
      </c>
      <c r="B28" s="98">
        <v>46630</v>
      </c>
      <c r="C28" s="98">
        <f t="shared" si="0"/>
        <v>46241</v>
      </c>
      <c r="D28" s="100">
        <f>INDEX('NKC2-%'!$M$109:$CP$109,1,ROW(A27))*100</f>
        <v>1.6832975348713162</v>
      </c>
      <c r="E28" s="100">
        <f>INDEX('NKC2-%'!$M$114:$CP$114,1,ROW(A27))*100</f>
        <v>0</v>
      </c>
    </row>
    <row r="29" spans="1:5" x14ac:dyDescent="0.45">
      <c r="A29" s="98">
        <v>46082</v>
      </c>
      <c r="B29" s="98">
        <v>46630</v>
      </c>
      <c r="C29" s="98">
        <f t="shared" si="0"/>
        <v>46248</v>
      </c>
      <c r="D29" s="100">
        <f>INDEX('NKC2-%'!$M$109:$CP$109,1,ROW(A28))*100</f>
        <v>2.3871563791920223</v>
      </c>
      <c r="E29" s="100">
        <f>INDEX('NKC2-%'!$M$114:$CP$114,1,ROW(A28))*100</f>
        <v>0</v>
      </c>
    </row>
    <row r="30" spans="1:5" x14ac:dyDescent="0.45">
      <c r="A30" s="98">
        <v>46082</v>
      </c>
      <c r="B30" s="98">
        <v>46630</v>
      </c>
      <c r="C30" s="98">
        <f t="shared" si="0"/>
        <v>46255</v>
      </c>
      <c r="D30" s="100">
        <f>INDEX('NKC2-%'!$M$109:$CP$109,1,ROW(A29))*100</f>
        <v>3.7101606417672324</v>
      </c>
      <c r="E30" s="100">
        <f>INDEX('NKC2-%'!$M$114:$CP$114,1,ROW(A29))*100</f>
        <v>0</v>
      </c>
    </row>
    <row r="31" spans="1:5" x14ac:dyDescent="0.45">
      <c r="A31" s="98">
        <v>46082</v>
      </c>
      <c r="B31" s="98">
        <v>46630</v>
      </c>
      <c r="C31" s="98">
        <f t="shared" si="0"/>
        <v>46262</v>
      </c>
      <c r="D31" s="100">
        <f>INDEX('NKC2-%'!$M$109:$CP$109,1,ROW(A30))*100</f>
        <v>5.0850403134922733</v>
      </c>
      <c r="E31" s="100">
        <f>INDEX('NKC2-%'!$M$114:$CP$114,1,ROW(A30))*100</f>
        <v>0</v>
      </c>
    </row>
    <row r="32" spans="1:5" x14ac:dyDescent="0.45">
      <c r="A32" s="98">
        <v>46082</v>
      </c>
      <c r="B32" s="98">
        <v>46630</v>
      </c>
      <c r="C32" s="98">
        <f t="shared" si="0"/>
        <v>46269</v>
      </c>
      <c r="D32" s="100">
        <f>INDEX('NKC2-%'!$M$109:$CP$109,1,ROW(A31))*100</f>
        <v>6.4175327129069855</v>
      </c>
      <c r="E32" s="100">
        <f>INDEX('NKC2-%'!$M$114:$CP$114,1,ROW(A31))*100</f>
        <v>0</v>
      </c>
    </row>
    <row r="33" spans="1:5" x14ac:dyDescent="0.45">
      <c r="A33" s="98">
        <v>46082</v>
      </c>
      <c r="B33" s="98">
        <v>46630</v>
      </c>
      <c r="C33" s="98">
        <f t="shared" si="0"/>
        <v>46276</v>
      </c>
      <c r="D33" s="100">
        <f>INDEX('NKC2-%'!$M$109:$CP$109,1,ROW(A32))*100</f>
        <v>7.7648975440348327</v>
      </c>
      <c r="E33" s="100">
        <f>INDEX('NKC2-%'!$M$114:$CP$114,1,ROW(A32))*100</f>
        <v>0</v>
      </c>
    </row>
    <row r="34" spans="1:5" x14ac:dyDescent="0.45">
      <c r="A34" s="98">
        <v>46082</v>
      </c>
      <c r="B34" s="98">
        <v>46630</v>
      </c>
      <c r="C34" s="98">
        <f t="shared" si="0"/>
        <v>46283</v>
      </c>
      <c r="D34" s="100">
        <f>INDEX('NKC2-%'!$M$109:$CP$109,1,ROW(A33))*100</f>
        <v>9.2362709704090182</v>
      </c>
      <c r="E34" s="100">
        <f>INDEX('NKC2-%'!$M$114:$CP$114,1,ROW(A33))*100</f>
        <v>0</v>
      </c>
    </row>
    <row r="35" spans="1:5" x14ac:dyDescent="0.45">
      <c r="A35" s="98">
        <v>46082</v>
      </c>
      <c r="B35" s="98">
        <v>46630</v>
      </c>
      <c r="C35" s="98">
        <f t="shared" si="0"/>
        <v>46290</v>
      </c>
      <c r="D35" s="100">
        <f>INDEX('NKC2-%'!$M$109:$CP$109,1,ROW(A34))*100</f>
        <v>10.57237733161354</v>
      </c>
      <c r="E35" s="100">
        <f>INDEX('NKC2-%'!$M$114:$CP$114,1,ROW(A34))*100</f>
        <v>0</v>
      </c>
    </row>
    <row r="36" spans="1:5" x14ac:dyDescent="0.45">
      <c r="A36" s="98">
        <v>46082</v>
      </c>
      <c r="B36" s="98">
        <v>46630</v>
      </c>
      <c r="C36" s="98">
        <f t="shared" si="0"/>
        <v>46297</v>
      </c>
      <c r="D36" s="100">
        <f>INDEX('NKC2-%'!$M$109:$CP$109,1,ROW(A35))*100</f>
        <v>12.012468878703391</v>
      </c>
      <c r="E36" s="100">
        <f>INDEX('NKC2-%'!$M$114:$CP$114,1,ROW(A35))*100</f>
        <v>0</v>
      </c>
    </row>
    <row r="37" spans="1:5" x14ac:dyDescent="0.45">
      <c r="A37" s="98">
        <v>46082</v>
      </c>
      <c r="B37" s="98">
        <v>46630</v>
      </c>
      <c r="C37" s="98">
        <f t="shared" si="0"/>
        <v>46304</v>
      </c>
      <c r="D37" s="100">
        <f>INDEX('NKC2-%'!$M$109:$CP$109,1,ROW(A36))*100</f>
        <v>15.43251975642373</v>
      </c>
      <c r="E37" s="100">
        <f>INDEX('NKC2-%'!$M$114:$CP$114,1,ROW(A36))*100</f>
        <v>0</v>
      </c>
    </row>
    <row r="38" spans="1:5" x14ac:dyDescent="0.45">
      <c r="A38" s="98">
        <v>46082</v>
      </c>
      <c r="B38" s="98">
        <v>46630</v>
      </c>
      <c r="C38" s="98">
        <f t="shared" si="0"/>
        <v>46311</v>
      </c>
      <c r="D38" s="100">
        <f>INDEX('NKC2-%'!$M$109:$CP$109,1,ROW(A37))*100</f>
        <v>18.397476548099487</v>
      </c>
      <c r="E38" s="100">
        <f>INDEX('NKC2-%'!$M$114:$CP$114,1,ROW(A37))*100</f>
        <v>0</v>
      </c>
    </row>
    <row r="39" spans="1:5" x14ac:dyDescent="0.45">
      <c r="A39" s="98">
        <v>46082</v>
      </c>
      <c r="B39" s="98">
        <v>46630</v>
      </c>
      <c r="C39" s="98">
        <f t="shared" si="0"/>
        <v>46318</v>
      </c>
      <c r="D39" s="100">
        <f>INDEX('NKC2-%'!$M$109:$CP$109,1,ROW(A38))*100</f>
        <v>21.338613670116032</v>
      </c>
      <c r="E39" s="100">
        <f>INDEX('NKC2-%'!$M$114:$CP$114,1,ROW(A38))*100</f>
        <v>0</v>
      </c>
    </row>
    <row r="40" spans="1:5" x14ac:dyDescent="0.45">
      <c r="A40" s="98">
        <v>46082</v>
      </c>
      <c r="B40" s="98">
        <v>46630</v>
      </c>
      <c r="C40" s="98">
        <f t="shared" si="0"/>
        <v>46325</v>
      </c>
      <c r="D40" s="100">
        <f>INDEX('NKC2-%'!$M$109:$CP$109,1,ROW(A39))*100</f>
        <v>23.711130693055299</v>
      </c>
      <c r="E40" s="100">
        <f>INDEX('NKC2-%'!$M$114:$CP$114,1,ROW(A39))*100</f>
        <v>0</v>
      </c>
    </row>
    <row r="41" spans="1:5" x14ac:dyDescent="0.45">
      <c r="A41" s="98">
        <v>46082</v>
      </c>
      <c r="B41" s="98">
        <v>46630</v>
      </c>
      <c r="C41" s="98">
        <f t="shared" si="0"/>
        <v>46332</v>
      </c>
      <c r="D41" s="100">
        <f>INDEX('NKC2-%'!$M$109:$CP$109,1,ROW(A40))*100</f>
        <v>26.04006365682865</v>
      </c>
      <c r="E41" s="100">
        <f>INDEX('NKC2-%'!$M$114:$CP$114,1,ROW(A40))*100</f>
        <v>0</v>
      </c>
    </row>
    <row r="42" spans="1:5" x14ac:dyDescent="0.45">
      <c r="A42" s="98">
        <v>46082</v>
      </c>
      <c r="B42" s="98">
        <v>46630</v>
      </c>
      <c r="C42" s="98">
        <f t="shared" si="0"/>
        <v>46339</v>
      </c>
      <c r="D42" s="100">
        <f>INDEX('NKC2-%'!$M$109:$CP$109,1,ROW(A41))*100</f>
        <v>28.340934836289776</v>
      </c>
      <c r="E42" s="100">
        <f>INDEX('NKC2-%'!$M$114:$CP$114,1,ROW(A41))*100</f>
        <v>0</v>
      </c>
    </row>
    <row r="43" spans="1:5" x14ac:dyDescent="0.45">
      <c r="A43" s="98">
        <v>46082</v>
      </c>
      <c r="B43" s="98">
        <v>46630</v>
      </c>
      <c r="C43" s="98">
        <f t="shared" si="0"/>
        <v>46346</v>
      </c>
      <c r="D43" s="100">
        <f>INDEX('NKC2-%'!$M$109:$CP$109,1,ROW(A42))*100</f>
        <v>31.018107745666406</v>
      </c>
      <c r="E43" s="100">
        <f>INDEX('NKC2-%'!$M$114:$CP$114,1,ROW(A42))*100</f>
        <v>0</v>
      </c>
    </row>
    <row r="44" spans="1:5" x14ac:dyDescent="0.45">
      <c r="A44" s="98">
        <v>46082</v>
      </c>
      <c r="B44" s="98">
        <v>46630</v>
      </c>
      <c r="C44" s="98">
        <f t="shared" si="0"/>
        <v>46353</v>
      </c>
      <c r="D44" s="100">
        <f>INDEX('NKC2-%'!$M$109:$CP$109,1,ROW(A43))*100</f>
        <v>33.563511796120387</v>
      </c>
      <c r="E44" s="100">
        <f>INDEX('NKC2-%'!$M$114:$CP$114,1,ROW(A43))*100</f>
        <v>0</v>
      </c>
    </row>
    <row r="45" spans="1:5" x14ac:dyDescent="0.45">
      <c r="A45" s="98">
        <v>46082</v>
      </c>
      <c r="B45" s="98">
        <v>46630</v>
      </c>
      <c r="C45" s="98">
        <f t="shared" si="0"/>
        <v>46360</v>
      </c>
      <c r="D45" s="100">
        <f>INDEX('NKC2-%'!$M$109:$CP$109,1,ROW(A44))*100</f>
        <v>36.839824309126705</v>
      </c>
      <c r="E45" s="100">
        <f>INDEX('NKC2-%'!$M$114:$CP$114,1,ROW(A44))*100</f>
        <v>0</v>
      </c>
    </row>
    <row r="46" spans="1:5" x14ac:dyDescent="0.45">
      <c r="A46" s="98">
        <v>46082</v>
      </c>
      <c r="B46" s="98">
        <v>46630</v>
      </c>
      <c r="C46" s="98">
        <f t="shared" si="0"/>
        <v>46367</v>
      </c>
      <c r="D46" s="100">
        <f>INDEX('NKC2-%'!$M$109:$CP$109,1,ROW(A45))*100</f>
        <v>40.583250750384636</v>
      </c>
      <c r="E46" s="100">
        <f>INDEX('NKC2-%'!$M$114:$CP$114,1,ROW(A45))*100</f>
        <v>0</v>
      </c>
    </row>
    <row r="47" spans="1:5" x14ac:dyDescent="0.45">
      <c r="A47" s="98">
        <v>46082</v>
      </c>
      <c r="B47" s="98">
        <v>46630</v>
      </c>
      <c r="C47" s="98">
        <f t="shared" si="0"/>
        <v>46374</v>
      </c>
      <c r="D47" s="100">
        <f>INDEX('NKC2-%'!$M$109:$CP$109,1,ROW(A46))*100</f>
        <v>45.583357267828077</v>
      </c>
      <c r="E47" s="100">
        <f>INDEX('NKC2-%'!$M$114:$CP$114,1,ROW(A46))*100</f>
        <v>0</v>
      </c>
    </row>
    <row r="48" spans="1:5" x14ac:dyDescent="0.45">
      <c r="A48" s="98">
        <v>46082</v>
      </c>
      <c r="B48" s="98">
        <v>46630</v>
      </c>
      <c r="C48" s="98">
        <f t="shared" si="0"/>
        <v>46381</v>
      </c>
      <c r="D48" s="100">
        <f>INDEX('NKC2-%'!$M$109:$CP$109,1,ROW(A47))*100</f>
        <v>50.653711872154219</v>
      </c>
      <c r="E48" s="100">
        <f>INDEX('NKC2-%'!$M$114:$CP$114,1,ROW(A47))*100</f>
        <v>0</v>
      </c>
    </row>
    <row r="49" spans="1:5" x14ac:dyDescent="0.45">
      <c r="A49" s="98">
        <v>46082</v>
      </c>
      <c r="B49" s="98">
        <v>46630</v>
      </c>
      <c r="C49" s="98">
        <f t="shared" si="0"/>
        <v>46388</v>
      </c>
      <c r="D49" s="100">
        <f>INDEX('NKC2-%'!$M$109:$CP$109,1,ROW(A48))*100</f>
        <v>55.719550948569442</v>
      </c>
      <c r="E49" s="100">
        <f>INDEX('NKC2-%'!$M$114:$CP$114,1,ROW(A48))*100</f>
        <v>0</v>
      </c>
    </row>
    <row r="50" spans="1:5" x14ac:dyDescent="0.45">
      <c r="A50" s="98">
        <v>46082</v>
      </c>
      <c r="B50" s="98">
        <v>46630</v>
      </c>
      <c r="C50" s="98">
        <f t="shared" si="0"/>
        <v>46395</v>
      </c>
      <c r="D50" s="100">
        <f>INDEX('NKC2-%'!$M$109:$CP$109,1,ROW(A49))*100</f>
        <v>62.324896287289455</v>
      </c>
      <c r="E50" s="100">
        <f>INDEX('NKC2-%'!$M$114:$CP$114,1,ROW(A49))*100</f>
        <v>0</v>
      </c>
    </row>
    <row r="51" spans="1:5" x14ac:dyDescent="0.45">
      <c r="A51" s="98">
        <v>46082</v>
      </c>
      <c r="B51" s="98">
        <v>46630</v>
      </c>
      <c r="C51" s="98">
        <f t="shared" si="0"/>
        <v>46402</v>
      </c>
      <c r="D51" s="100">
        <f>INDEX('NKC2-%'!$M$109:$CP$109,1,ROW(A50))*100</f>
        <v>69.081334020491298</v>
      </c>
      <c r="E51" s="100">
        <f>INDEX('NKC2-%'!$M$114:$CP$114,1,ROW(A50))*100</f>
        <v>0</v>
      </c>
    </row>
    <row r="52" spans="1:5" x14ac:dyDescent="0.45">
      <c r="A52" s="98">
        <v>46082</v>
      </c>
      <c r="B52" s="98">
        <v>46630</v>
      </c>
      <c r="C52" s="98">
        <f t="shared" si="0"/>
        <v>46409</v>
      </c>
      <c r="D52" s="100">
        <f>INDEX('NKC2-%'!$M$109:$CP$109,1,ROW(A51))*100</f>
        <v>77.103224206578048</v>
      </c>
      <c r="E52" s="100">
        <f>INDEX('NKC2-%'!$M$114:$CP$114,1,ROW(A51))*100</f>
        <v>0</v>
      </c>
    </row>
    <row r="53" spans="1:5" x14ac:dyDescent="0.45">
      <c r="A53" s="98">
        <v>46082</v>
      </c>
      <c r="B53" s="98">
        <v>46630</v>
      </c>
      <c r="C53" s="98">
        <f t="shared" si="0"/>
        <v>46416</v>
      </c>
      <c r="D53" s="100">
        <f>INDEX('NKC2-%'!$M$109:$CP$109,1,ROW(A52))*100</f>
        <v>83.904410364793591</v>
      </c>
      <c r="E53" s="100">
        <f>INDEX('NKC2-%'!$M$114:$CP$114,1,ROW(A52))*100</f>
        <v>0</v>
      </c>
    </row>
    <row r="54" spans="1:5" x14ac:dyDescent="0.45">
      <c r="A54" s="98">
        <v>46082</v>
      </c>
      <c r="B54" s="98">
        <v>46630</v>
      </c>
      <c r="C54" s="98">
        <f t="shared" si="0"/>
        <v>46423</v>
      </c>
      <c r="D54" s="100">
        <f>INDEX('NKC2-%'!$M$109:$CP$109,1,ROW(A53))*100</f>
        <v>90.459877568431367</v>
      </c>
      <c r="E54" s="100">
        <f>INDEX('NKC2-%'!$M$114:$CP$114,1,ROW(A53))*100</f>
        <v>0</v>
      </c>
    </row>
    <row r="55" spans="1:5" x14ac:dyDescent="0.45">
      <c r="A55" s="98">
        <v>46082</v>
      </c>
      <c r="B55" s="98">
        <v>46630</v>
      </c>
      <c r="C55" s="98">
        <f t="shared" si="0"/>
        <v>46430</v>
      </c>
      <c r="D55" s="100">
        <f>INDEX('NKC2-%'!$M$109:$CP$109,1,ROW(A54))*100</f>
        <v>97.688877537217905</v>
      </c>
      <c r="E55" s="100">
        <f>INDEX('NKC2-%'!$M$114:$CP$114,1,ROW(A54))*100</f>
        <v>0</v>
      </c>
    </row>
    <row r="56" spans="1:5" x14ac:dyDescent="0.45">
      <c r="A56" s="98">
        <v>46082</v>
      </c>
      <c r="B56" s="98">
        <v>46630</v>
      </c>
      <c r="C56" s="98">
        <f t="shared" si="0"/>
        <v>46437</v>
      </c>
      <c r="D56" s="100">
        <f>INDEX('NKC2-%'!$M$109:$CP$109,1,ROW(A55))*100</f>
        <v>103.73990462312315</v>
      </c>
      <c r="E56" s="100">
        <f>INDEX('NKC2-%'!$M$114:$CP$114,1,ROW(A55))*100</f>
        <v>0</v>
      </c>
    </row>
    <row r="57" spans="1:5" x14ac:dyDescent="0.45">
      <c r="A57" s="98">
        <v>46082</v>
      </c>
      <c r="B57" s="98">
        <v>46630</v>
      </c>
      <c r="C57" s="98">
        <f t="shared" si="0"/>
        <v>46444</v>
      </c>
      <c r="D57" s="100">
        <f>INDEX('NKC2-%'!$M$109:$CP$109,1,ROW(A56))*100</f>
        <v>108.358184095048</v>
      </c>
      <c r="E57" s="100">
        <f>INDEX('NKC2-%'!$M$114:$CP$114,1,ROW(A56))*100</f>
        <v>0</v>
      </c>
    </row>
    <row r="58" spans="1:5" x14ac:dyDescent="0.45">
      <c r="A58" s="98">
        <v>46082</v>
      </c>
      <c r="B58" s="98">
        <v>46630</v>
      </c>
      <c r="C58" s="98">
        <f t="shared" si="0"/>
        <v>46451</v>
      </c>
      <c r="D58" s="100">
        <f>INDEX('NKC2-%'!$M$109:$CP$109,1,ROW(A57))*100</f>
        <v>112.76499048778919</v>
      </c>
      <c r="E58" s="100">
        <f>INDEX('NKC2-%'!$M$114:$CP$114,1,ROW(A57))*100</f>
        <v>0</v>
      </c>
    </row>
    <row r="59" spans="1:5" x14ac:dyDescent="0.45">
      <c r="A59" s="98">
        <v>46082</v>
      </c>
      <c r="B59" s="98">
        <v>46630</v>
      </c>
      <c r="C59" s="98">
        <f>C58+7</f>
        <v>46458</v>
      </c>
      <c r="D59" s="100">
        <f>INDEX('NKC2-%'!$M$109:$CP$109,1,ROW(A58))*100</f>
        <v>116.35270582221982</v>
      </c>
      <c r="E59" s="100">
        <f>INDEX('NKC2-%'!$M$114:$CP$114,1,ROW(A58))*100</f>
        <v>0</v>
      </c>
    </row>
    <row r="60" spans="1:5" x14ac:dyDescent="0.45">
      <c r="A60" s="98">
        <v>46082</v>
      </c>
      <c r="B60" s="98">
        <v>46630</v>
      </c>
      <c r="C60" s="98">
        <f t="shared" si="0"/>
        <v>46465</v>
      </c>
      <c r="D60" s="100">
        <f>INDEX('NKC2-%'!$M$109:$CP$109,1,ROW(A59))*100</f>
        <v>118.7014531176259</v>
      </c>
      <c r="E60" s="100">
        <f>INDEX('NKC2-%'!$M$114:$CP$114,1,ROW(A59))*100</f>
        <v>0</v>
      </c>
    </row>
    <row r="61" spans="1:5" x14ac:dyDescent="0.45">
      <c r="A61" s="98">
        <v>46082</v>
      </c>
      <c r="B61" s="98">
        <v>46630</v>
      </c>
      <c r="C61" s="98">
        <f t="shared" si="0"/>
        <v>46472</v>
      </c>
      <c r="D61" s="100">
        <f>INDEX('NKC2-%'!$M$109:$CP$109,1,ROW(A60))*100</f>
        <v>121.04754135859585</v>
      </c>
      <c r="E61" s="100">
        <f>INDEX('NKC2-%'!$M$114:$CP$114,1,ROW(A60))*100</f>
        <v>0</v>
      </c>
    </row>
    <row r="62" spans="1:5" x14ac:dyDescent="0.45">
      <c r="A62" s="98">
        <v>46082</v>
      </c>
      <c r="B62" s="98">
        <v>46630</v>
      </c>
      <c r="C62" s="98">
        <f t="shared" si="0"/>
        <v>46479</v>
      </c>
      <c r="D62" s="100">
        <f>INDEX('NKC2-%'!$M$109:$CP$109,1,ROW(A61))*100</f>
        <v>123.78518998583414</v>
      </c>
      <c r="E62" s="100">
        <f>INDEX('NKC2-%'!$M$114:$CP$114,1,ROW(A61))*100</f>
        <v>0</v>
      </c>
    </row>
    <row r="63" spans="1:5" x14ac:dyDescent="0.45">
      <c r="A63" s="98">
        <v>46082</v>
      </c>
      <c r="B63" s="98">
        <v>46630</v>
      </c>
      <c r="C63" s="98">
        <f t="shared" si="0"/>
        <v>46486</v>
      </c>
      <c r="D63" s="100">
        <f>INDEX('NKC2-%'!$M$109:$CP$109,1,ROW(A62))*100</f>
        <v>125.1187830510531</v>
      </c>
      <c r="E63" s="100">
        <f>INDEX('NKC2-%'!$M$114:$CP$114,1,ROW(A62))*100</f>
        <v>0</v>
      </c>
    </row>
    <row r="64" spans="1:5" x14ac:dyDescent="0.45">
      <c r="A64" s="98">
        <v>46082</v>
      </c>
      <c r="B64" s="98">
        <v>46630</v>
      </c>
      <c r="C64" s="98">
        <f t="shared" si="0"/>
        <v>46493</v>
      </c>
      <c r="D64" s="100">
        <f>INDEX('NKC2-%'!$M$109:$CP$109,1,ROW(A63))*100</f>
        <v>126.45079185137374</v>
      </c>
      <c r="E64" s="100">
        <f>INDEX('NKC2-%'!$M$114:$CP$114,1,ROW(A63))*100</f>
        <v>0</v>
      </c>
    </row>
    <row r="65" spans="1:5" x14ac:dyDescent="0.45">
      <c r="A65" s="98">
        <v>46082</v>
      </c>
      <c r="B65" s="98">
        <v>46630</v>
      </c>
      <c r="C65" s="98">
        <f t="shared" si="0"/>
        <v>46500</v>
      </c>
      <c r="D65" s="100">
        <f>INDEX('NKC2-%'!$M$109:$CP$109,1,ROW(A64))*100</f>
        <v>128.05883563868474</v>
      </c>
      <c r="E65" s="100">
        <f>INDEX('NKC2-%'!$M$114:$CP$114,1,ROW(A64))*100</f>
        <v>0</v>
      </c>
    </row>
    <row r="66" spans="1:5" x14ac:dyDescent="0.45">
      <c r="A66" s="98">
        <v>46082</v>
      </c>
      <c r="B66" s="98">
        <v>46630</v>
      </c>
      <c r="C66" s="98">
        <f t="shared" si="0"/>
        <v>46507</v>
      </c>
      <c r="D66" s="100">
        <f>INDEX('NKC2-%'!$M$109:$CP$109,1,ROW(A65))*100</f>
        <v>129.75910009265519</v>
      </c>
      <c r="E66" s="100">
        <f>INDEX('NKC2-%'!$M$114:$CP$114,1,ROW(A65))*100</f>
        <v>0</v>
      </c>
    </row>
    <row r="67" spans="1:5" x14ac:dyDescent="0.45">
      <c r="A67" s="98">
        <v>46082</v>
      </c>
      <c r="B67" s="98">
        <v>46630</v>
      </c>
      <c r="C67" s="98">
        <f t="shared" si="0"/>
        <v>46514</v>
      </c>
      <c r="D67" s="100">
        <f>INDEX('NKC2-%'!$M$109:$CP$109,1,ROW(A66))*100</f>
        <v>133.0850758133009</v>
      </c>
      <c r="E67" s="100">
        <f>INDEX('NKC2-%'!$M$114:$CP$114,1,ROW(A66))*100</f>
        <v>0</v>
      </c>
    </row>
    <row r="68" spans="1:5" x14ac:dyDescent="0.45">
      <c r="A68" s="98">
        <v>46082</v>
      </c>
      <c r="B68" s="98">
        <v>46630</v>
      </c>
      <c r="C68" s="98">
        <f t="shared" ref="C68:C70" si="1">C67+7</f>
        <v>46521</v>
      </c>
      <c r="D68" s="100">
        <f>INDEX('NKC2-%'!$M$109:$CP$109,1,ROW(A67))*100</f>
        <v>136.14222455454089</v>
      </c>
      <c r="E68" s="100">
        <f>INDEX('NKC2-%'!$M$114:$CP$114,1,ROW(A67))*100</f>
        <v>0</v>
      </c>
    </row>
    <row r="69" spans="1:5" x14ac:dyDescent="0.45">
      <c r="A69" s="98">
        <v>46082</v>
      </c>
      <c r="B69" s="98">
        <v>46630</v>
      </c>
      <c r="C69" s="98">
        <f t="shared" si="1"/>
        <v>46528</v>
      </c>
      <c r="D69" s="100">
        <f>INDEX('NKC2-%'!$M$109:$CP$109,1,ROW(A68))*100</f>
        <v>139.15668632434824</v>
      </c>
      <c r="E69" s="100">
        <f>INDEX('NKC2-%'!$M$114:$CP$114,1,ROW(A68))*100</f>
        <v>0</v>
      </c>
    </row>
    <row r="70" spans="1:5" x14ac:dyDescent="0.45">
      <c r="A70" s="98">
        <v>46082</v>
      </c>
      <c r="B70" s="98">
        <v>46630</v>
      </c>
      <c r="C70" s="98">
        <f t="shared" si="1"/>
        <v>46535</v>
      </c>
      <c r="D70" s="100">
        <f>INDEX('NKC2-%'!$M$109:$CP$109,1,ROW(A69))*100</f>
        <v>142.17114809415563</v>
      </c>
      <c r="E70" s="100">
        <f>INDEX('NKC2-%'!$M$114:$CP$114,1,ROW(A69))*100</f>
        <v>0</v>
      </c>
    </row>
    <row r="71" spans="1:5" x14ac:dyDescent="0.45">
      <c r="A71" s="98">
        <v>46082</v>
      </c>
      <c r="B71" s="98">
        <v>46630</v>
      </c>
      <c r="C71" s="98">
        <f>C70+7</f>
        <v>46542</v>
      </c>
      <c r="D71" s="100">
        <f>INDEX('NKC2-%'!$M$109:$CP$109,1,ROW(A70))*100</f>
        <v>144.8014439056569</v>
      </c>
      <c r="E71" s="100">
        <f>INDEX('NKC2-%'!$M$114:$CP$114,1,ROW(A70))*100</f>
        <v>0</v>
      </c>
    </row>
    <row r="72" spans="1:5" x14ac:dyDescent="0.45">
      <c r="A72" s="98">
        <v>46082</v>
      </c>
      <c r="B72" s="98">
        <v>46630</v>
      </c>
      <c r="C72" s="98">
        <f t="shared" ref="C72:C80" si="2">C71+7</f>
        <v>46549</v>
      </c>
      <c r="D72" s="100">
        <f>INDEX('NKC2-%'!$M$109:$CP$109,1,ROW(A71))*100</f>
        <v>146.67086340689178</v>
      </c>
      <c r="E72" s="100">
        <f>INDEX('NKC2-%'!$M$114:$CP$114,1,ROW(A71))*100</f>
        <v>0</v>
      </c>
    </row>
    <row r="73" spans="1:5" x14ac:dyDescent="0.45">
      <c r="A73" s="98">
        <v>46082</v>
      </c>
      <c r="B73" s="98">
        <v>46630</v>
      </c>
      <c r="C73" s="98">
        <f t="shared" si="2"/>
        <v>46556</v>
      </c>
      <c r="D73" s="100">
        <f>INDEX('NKC2-%'!$M$109:$CP$109,1,ROW(A72))*100</f>
        <v>148.04531592074784</v>
      </c>
      <c r="E73" s="100">
        <f>INDEX('NKC2-%'!$M$114:$CP$114,1,ROW(A72))*100</f>
        <v>0</v>
      </c>
    </row>
    <row r="74" spans="1:5" x14ac:dyDescent="0.45">
      <c r="A74" s="98">
        <v>46082</v>
      </c>
      <c r="B74" s="98">
        <v>46630</v>
      </c>
      <c r="C74" s="98">
        <f t="shared" si="2"/>
        <v>46563</v>
      </c>
      <c r="D74" s="100">
        <f>INDEX('NKC2-%'!$M$109:$CP$109,1,ROW(A73))*100</f>
        <v>149.41976843460387</v>
      </c>
      <c r="E74" s="100">
        <f>INDEX('NKC2-%'!$M$114:$CP$114,1,ROW(A73))*100</f>
        <v>0</v>
      </c>
    </row>
    <row r="75" spans="1:5" x14ac:dyDescent="0.45">
      <c r="A75" s="98">
        <v>46082</v>
      </c>
      <c r="B75" s="98">
        <v>46630</v>
      </c>
      <c r="C75" s="98">
        <f t="shared" si="2"/>
        <v>46570</v>
      </c>
      <c r="D75" s="100">
        <f>INDEX('NKC2-%'!$M$109:$CP$109,1,ROW(A74))*100</f>
        <v>149.41976843460387</v>
      </c>
      <c r="E75" s="100">
        <f>INDEX('NKC2-%'!$M$114:$CP$114,1,ROW(A74))*100</f>
        <v>0</v>
      </c>
    </row>
    <row r="76" spans="1:5" x14ac:dyDescent="0.45">
      <c r="A76" s="98">
        <v>46082</v>
      </c>
      <c r="B76" s="98">
        <v>46630</v>
      </c>
      <c r="C76" s="98">
        <f t="shared" si="2"/>
        <v>46577</v>
      </c>
      <c r="D76" s="100">
        <f>INDEX('NKC2-%'!$M$109:$CP$109,1,ROW(A75))*100</f>
        <v>149.41976843460387</v>
      </c>
      <c r="E76" s="100">
        <f>INDEX('NKC2-%'!$M$114:$CP$114,1,ROW(A75))*100</f>
        <v>0</v>
      </c>
    </row>
    <row r="77" spans="1:5" x14ac:dyDescent="0.45">
      <c r="A77" s="98">
        <v>46082</v>
      </c>
      <c r="B77" s="98">
        <v>46630</v>
      </c>
      <c r="C77" s="98">
        <f t="shared" si="2"/>
        <v>46584</v>
      </c>
      <c r="D77" s="100">
        <f>INDEX('NKC2-%'!$M$109:$CP$109,1,ROW(A76))*100</f>
        <v>149.41976843460387</v>
      </c>
      <c r="E77" s="100">
        <f>INDEX('NKC2-%'!$M$114:$CP$114,1,ROW(A76))*100</f>
        <v>0</v>
      </c>
    </row>
    <row r="78" spans="1:5" x14ac:dyDescent="0.45">
      <c r="A78" s="98">
        <v>46082</v>
      </c>
      <c r="B78" s="98">
        <v>46630</v>
      </c>
      <c r="C78" s="98">
        <f t="shared" si="2"/>
        <v>46591</v>
      </c>
      <c r="D78" s="100">
        <f>INDEX('NKC2-%'!$M$109:$CP$109,1,ROW(A77))*100</f>
        <v>149.41976843460387</v>
      </c>
      <c r="E78" s="100">
        <f>INDEX('NKC2-%'!$M$114:$CP$114,1,ROW(A77))*100</f>
        <v>0</v>
      </c>
    </row>
    <row r="79" spans="1:5" x14ac:dyDescent="0.45">
      <c r="A79" s="98">
        <v>46082</v>
      </c>
      <c r="B79" s="98">
        <v>46630</v>
      </c>
      <c r="C79" s="98">
        <f t="shared" si="2"/>
        <v>46598</v>
      </c>
      <c r="D79" s="100">
        <f>INDEX('NKC2-%'!$M$109:$CP$109,1,ROW(A78))*100</f>
        <v>149.41976843460387</v>
      </c>
      <c r="E79" s="100">
        <f>INDEX('NKC2-%'!$M$114:$CP$114,1,ROW(A78))*100</f>
        <v>0</v>
      </c>
    </row>
    <row r="80" spans="1:5" x14ac:dyDescent="0.45">
      <c r="A80" s="98">
        <v>46082</v>
      </c>
      <c r="B80" s="98">
        <v>46630</v>
      </c>
      <c r="C80" s="98">
        <f t="shared" si="2"/>
        <v>46605</v>
      </c>
      <c r="D80" s="100">
        <f>INDEX('NKC2-%'!$M$109:$CP$109,1,ROW(A79))*100</f>
        <v>149.41976843460387</v>
      </c>
      <c r="E80" s="100">
        <f>INDEX('NKC2-%'!$M$114:$CP$114,1,ROW(A79))*100</f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I97"/>
  <sheetViews>
    <sheetView topLeftCell="A78" workbookViewId="0">
      <selection activeCell="D101" sqref="D101"/>
    </sheetView>
  </sheetViews>
  <sheetFormatPr defaultRowHeight="21" x14ac:dyDescent="0.45"/>
  <cols>
    <col min="1" max="1" width="9.33203125" style="266"/>
    <col min="2" max="2" width="40" bestFit="1" customWidth="1"/>
    <col min="3" max="3" width="15.1640625" bestFit="1" customWidth="1"/>
    <col min="4" max="4" width="12.1640625" style="87" customWidth="1"/>
    <col min="5" max="5" width="9.5" bestFit="1" customWidth="1"/>
    <col min="6" max="87" width="9.83203125" bestFit="1" customWidth="1"/>
  </cols>
  <sheetData>
    <row r="1" spans="1:87" ht="30" customHeight="1" x14ac:dyDescent="0.45">
      <c r="A1" s="87" t="s">
        <v>93</v>
      </c>
      <c r="B1" s="87" t="s">
        <v>94</v>
      </c>
      <c r="C1" s="87" t="s">
        <v>95</v>
      </c>
      <c r="D1" s="87" t="s">
        <v>96</v>
      </c>
      <c r="E1" s="87" t="s">
        <v>97</v>
      </c>
      <c r="F1" s="267">
        <f>'NKC2-%'!M11</f>
        <v>46059</v>
      </c>
      <c r="G1" s="267">
        <f>'NKC2-%'!N11</f>
        <v>46066</v>
      </c>
      <c r="H1" s="267">
        <f>'NKC2-%'!O11</f>
        <v>46073</v>
      </c>
      <c r="I1" s="267">
        <f>'NKC2-%'!P11</f>
        <v>46080</v>
      </c>
      <c r="J1" s="267">
        <f>'NKC2-%'!Q11</f>
        <v>46087</v>
      </c>
      <c r="K1" s="267">
        <f>'NKC2-%'!R11</f>
        <v>46094</v>
      </c>
      <c r="L1" s="267">
        <f>'NKC2-%'!S11</f>
        <v>46101</v>
      </c>
      <c r="M1" s="267">
        <f>'NKC2-%'!T11</f>
        <v>46108</v>
      </c>
      <c r="N1" s="267">
        <f>'NKC2-%'!U11</f>
        <v>46115</v>
      </c>
      <c r="O1" s="267">
        <f>'NKC2-%'!V11</f>
        <v>46122</v>
      </c>
      <c r="P1" s="267">
        <f>'NKC2-%'!W11</f>
        <v>46129</v>
      </c>
      <c r="Q1" s="267">
        <f>'NKC2-%'!X11</f>
        <v>46136</v>
      </c>
      <c r="R1" s="267">
        <f>'NKC2-%'!Y11</f>
        <v>46143</v>
      </c>
      <c r="S1" s="267">
        <f>'NKC2-%'!Z11</f>
        <v>46150</v>
      </c>
      <c r="T1" s="267">
        <f>'NKC2-%'!AA11</f>
        <v>46157</v>
      </c>
      <c r="U1" s="267">
        <f>'NKC2-%'!AB11</f>
        <v>46164</v>
      </c>
      <c r="V1" s="267">
        <f>'NKC2-%'!AC11</f>
        <v>46171</v>
      </c>
      <c r="W1" s="267">
        <f>'NKC2-%'!AD11</f>
        <v>46178</v>
      </c>
      <c r="X1" s="267">
        <f>'NKC2-%'!AE11</f>
        <v>46185</v>
      </c>
      <c r="Y1" s="267">
        <f>'NKC2-%'!AF11</f>
        <v>46192</v>
      </c>
      <c r="Z1" s="267">
        <f>'NKC2-%'!AG11</f>
        <v>46199</v>
      </c>
      <c r="AA1" s="267">
        <f>'NKC2-%'!AH11</f>
        <v>46206</v>
      </c>
      <c r="AB1" s="267">
        <f>'NKC2-%'!AI11</f>
        <v>46213</v>
      </c>
      <c r="AC1" s="267">
        <f>'NKC2-%'!AJ11</f>
        <v>46220</v>
      </c>
      <c r="AD1" s="267">
        <f>'NKC2-%'!AK11</f>
        <v>46227</v>
      </c>
      <c r="AE1" s="267">
        <f>'NKC2-%'!AL11</f>
        <v>46234</v>
      </c>
      <c r="AF1" s="267">
        <f>'NKC2-%'!AM11</f>
        <v>46241</v>
      </c>
      <c r="AG1" s="267">
        <f>'NKC2-%'!AN11</f>
        <v>46248</v>
      </c>
      <c r="AH1" s="267">
        <f>'NKC2-%'!AO11</f>
        <v>46255</v>
      </c>
      <c r="AI1" s="267">
        <f>'NKC2-%'!AP11</f>
        <v>46262</v>
      </c>
      <c r="AJ1" s="267">
        <f>'NKC2-%'!AQ11</f>
        <v>46269</v>
      </c>
      <c r="AK1" s="267">
        <f>'NKC2-%'!AR11</f>
        <v>46276</v>
      </c>
      <c r="AL1" s="267">
        <f>'NKC2-%'!AS11</f>
        <v>46283</v>
      </c>
      <c r="AM1" s="267">
        <f>'NKC2-%'!AT11</f>
        <v>46290</v>
      </c>
      <c r="AN1" s="267">
        <f>'NKC2-%'!AU11</f>
        <v>46297</v>
      </c>
      <c r="AO1" s="267">
        <f>'NKC2-%'!AV11</f>
        <v>46304</v>
      </c>
      <c r="AP1" s="267">
        <f>'NKC2-%'!AW11</f>
        <v>46311</v>
      </c>
      <c r="AQ1" s="267">
        <f>'NKC2-%'!AX11</f>
        <v>46318</v>
      </c>
      <c r="AR1" s="267">
        <f>'NKC2-%'!AY11</f>
        <v>46325</v>
      </c>
      <c r="AS1" s="267">
        <f>'NKC2-%'!AZ11</f>
        <v>46332</v>
      </c>
      <c r="AT1" s="267">
        <f>'NKC2-%'!BA11</f>
        <v>46339</v>
      </c>
      <c r="AU1" s="267">
        <f>'NKC2-%'!BB11</f>
        <v>46346</v>
      </c>
      <c r="AV1" s="267">
        <f>'NKC2-%'!BC11</f>
        <v>46353</v>
      </c>
      <c r="AW1" s="267">
        <f>'NKC2-%'!BD11</f>
        <v>46360</v>
      </c>
      <c r="AX1" s="267">
        <f>'NKC2-%'!BE11</f>
        <v>46367</v>
      </c>
      <c r="AY1" s="267">
        <f>'NKC2-%'!BF11</f>
        <v>46374</v>
      </c>
      <c r="AZ1" s="267">
        <f>'NKC2-%'!BG11</f>
        <v>46381</v>
      </c>
      <c r="BA1" s="267">
        <f>'NKC2-%'!BH11</f>
        <v>46388</v>
      </c>
      <c r="BB1" s="267">
        <f>'NKC2-%'!BI11</f>
        <v>46395</v>
      </c>
      <c r="BC1" s="267">
        <f>'NKC2-%'!BJ11</f>
        <v>46402</v>
      </c>
      <c r="BD1" s="267">
        <f>'NKC2-%'!BK11</f>
        <v>46409</v>
      </c>
      <c r="BE1" s="267">
        <f>'NKC2-%'!BL11</f>
        <v>46416</v>
      </c>
      <c r="BF1" s="267">
        <f>'NKC2-%'!BM11</f>
        <v>46423</v>
      </c>
      <c r="BG1" s="267">
        <f>'NKC2-%'!BN11</f>
        <v>46430</v>
      </c>
      <c r="BH1" s="267">
        <f>'NKC2-%'!BO11</f>
        <v>46437</v>
      </c>
      <c r="BI1" s="267">
        <f>'NKC2-%'!BP11</f>
        <v>46444</v>
      </c>
      <c r="BJ1" s="267">
        <f>'NKC2-%'!BQ11</f>
        <v>46451</v>
      </c>
      <c r="BK1" s="267">
        <f>'NKC2-%'!BR11</f>
        <v>46458</v>
      </c>
      <c r="BL1" s="267">
        <f>'NKC2-%'!BS11</f>
        <v>46465</v>
      </c>
      <c r="BM1" s="267">
        <f>'NKC2-%'!BT11</f>
        <v>46472</v>
      </c>
      <c r="BN1" s="267">
        <f>'NKC2-%'!BU11</f>
        <v>46479</v>
      </c>
      <c r="BO1" s="267">
        <f>'NKC2-%'!BV11</f>
        <v>46486</v>
      </c>
      <c r="BP1" s="267">
        <f>'NKC2-%'!BW11</f>
        <v>46493</v>
      </c>
      <c r="BQ1" s="267">
        <f>'NKC2-%'!BX11</f>
        <v>46500</v>
      </c>
      <c r="BR1" s="267">
        <f>'NKC2-%'!BY11</f>
        <v>46507</v>
      </c>
      <c r="BS1" s="267">
        <f>'NKC2-%'!BZ11</f>
        <v>46514</v>
      </c>
      <c r="BT1" s="267">
        <f>'NKC2-%'!CA11</f>
        <v>46521</v>
      </c>
      <c r="BU1" s="267">
        <f>'NKC2-%'!CB11</f>
        <v>46528</v>
      </c>
      <c r="BV1" s="267">
        <f>'NKC2-%'!CC11</f>
        <v>46535</v>
      </c>
      <c r="BW1" s="267">
        <f>'NKC2-%'!CD11</f>
        <v>46542</v>
      </c>
      <c r="BX1" s="267">
        <f>'NKC2-%'!CE11</f>
        <v>46549</v>
      </c>
      <c r="BY1" s="267">
        <f>'NKC2-%'!CF11</f>
        <v>46556</v>
      </c>
      <c r="BZ1" s="267">
        <f>'NKC2-%'!CG11</f>
        <v>46563</v>
      </c>
      <c r="CA1" s="267">
        <f>'NKC2-%'!CH11</f>
        <v>46570</v>
      </c>
      <c r="CB1" s="267">
        <f>'NKC2-%'!CI11</f>
        <v>46577</v>
      </c>
      <c r="CC1" s="267">
        <f>'NKC2-%'!CJ11</f>
        <v>46584</v>
      </c>
      <c r="CD1" s="267">
        <f>'NKC2-%'!CK11</f>
        <v>46591</v>
      </c>
      <c r="CE1" s="267">
        <f>'NKC2-%'!CL11</f>
        <v>46598</v>
      </c>
      <c r="CF1" s="267">
        <f>'NKC2-%'!CM11</f>
        <v>46605</v>
      </c>
      <c r="CG1" s="267">
        <f>'NKC2-%'!CN11</f>
        <v>46612</v>
      </c>
      <c r="CH1" s="267">
        <f>'NKC2-%'!CO11</f>
        <v>46619</v>
      </c>
      <c r="CI1" s="267">
        <f>'NKC2-%'!CP11</f>
        <v>46626</v>
      </c>
    </row>
    <row r="2" spans="1:87" x14ac:dyDescent="0.45">
      <c r="A2" s="266">
        <f>'NKC2-%'!B12</f>
        <v>1</v>
      </c>
      <c r="B2" t="str">
        <f>'NKC2-%'!D12</f>
        <v>Okd Co-Working Space</v>
      </c>
      <c r="C2" s="104">
        <f>'NKC2-%'!F12</f>
        <v>141282693.27633795</v>
      </c>
      <c r="D2" s="87" t="str">
        <f>'NKC2-%'!G12</f>
        <v>P</v>
      </c>
      <c r="E2" s="109">
        <f>'NKC2-%'!K12*100</f>
        <v>100.00000000000003</v>
      </c>
      <c r="F2" s="109">
        <f>'NKC2-%'!M12*100</f>
        <v>0</v>
      </c>
      <c r="G2" s="109">
        <f>'NKC2-%'!N12*100</f>
        <v>0</v>
      </c>
      <c r="H2" s="109">
        <f>'NKC2-%'!O12*100</f>
        <v>0</v>
      </c>
      <c r="I2" s="109">
        <f>'NKC2-%'!P12*100</f>
        <v>0</v>
      </c>
      <c r="J2" s="109">
        <f>'NKC2-%'!Q12*100</f>
        <v>0</v>
      </c>
      <c r="K2" s="109">
        <f>'NKC2-%'!R12*100</f>
        <v>0</v>
      </c>
      <c r="L2" s="109">
        <f>'NKC2-%'!S12*100</f>
        <v>0</v>
      </c>
      <c r="M2" s="109">
        <f>'NKC2-%'!T12*100</f>
        <v>0</v>
      </c>
      <c r="N2" s="109">
        <f>'NKC2-%'!U12*100</f>
        <v>0</v>
      </c>
      <c r="O2" s="109">
        <f>'NKC2-%'!V12*100</f>
        <v>0</v>
      </c>
      <c r="P2" s="109">
        <f>'NKC2-%'!W12*100</f>
        <v>1.2678716525798311E-2</v>
      </c>
      <c r="Q2" s="109">
        <f>'NKC2-%'!X12*100</f>
        <v>1.2678716525798311E-2</v>
      </c>
      <c r="R2" s="109">
        <f>'NKC2-%'!Y12*100</f>
        <v>1.2678716525798311E-2</v>
      </c>
      <c r="S2" s="109">
        <f>'NKC2-%'!Z12*100</f>
        <v>1.2678716525798311E-2</v>
      </c>
      <c r="T2" s="109">
        <f>'NKC2-%'!AA12*100</f>
        <v>1.2678716525798311E-2</v>
      </c>
      <c r="U2" s="109">
        <f>'NKC2-%'!AB12*100</f>
        <v>1.2678716525798311E-2</v>
      </c>
      <c r="V2" s="109">
        <f>'NKC2-%'!AC12*100</f>
        <v>3.8036149577394929E-2</v>
      </c>
      <c r="W2" s="109">
        <f>'NKC2-%'!AD12*100</f>
        <v>2.5357433051596621E-2</v>
      </c>
      <c r="X2" s="109">
        <f>'NKC2-%'!AE12*100</f>
        <v>2.5357433051596621E-2</v>
      </c>
      <c r="Y2" s="109">
        <f>'NKC2-%'!AF12*100</f>
        <v>1.2678716525798311E-2</v>
      </c>
      <c r="Z2" s="109">
        <f>'NKC2-%'!AG12*100</f>
        <v>4.3871552872570357E-2</v>
      </c>
      <c r="AA2" s="109">
        <f>'NKC2-%'!AH12*100</f>
        <v>4.3871552872570357E-2</v>
      </c>
      <c r="AB2" s="109">
        <f>'NKC2-%'!AI12*100</f>
        <v>4.3871552872570357E-2</v>
      </c>
      <c r="AC2" s="109">
        <f>'NKC2-%'!AJ12*100</f>
        <v>7.5064389219342387E-2</v>
      </c>
      <c r="AD2" s="109">
        <f>'NKC2-%'!AK12*100</f>
        <v>0.34345247403829604</v>
      </c>
      <c r="AE2" s="109">
        <f>'NKC2-%'!AL12*100</f>
        <v>0.40583814673184015</v>
      </c>
      <c r="AF2" s="109">
        <f>'NKC2-%'!AM12*100</f>
        <v>0.54982583490295067</v>
      </c>
      <c r="AG2" s="109">
        <f>'NKC2-%'!AN12*100</f>
        <v>0.70385884432070611</v>
      </c>
      <c r="AH2" s="109">
        <f>'NKC2-%'!AO12*100</f>
        <v>1.0748516399834496</v>
      </c>
      <c r="AI2" s="109">
        <f>'NKC2-%'!AP12*100</f>
        <v>1.1267270491332799</v>
      </c>
      <c r="AJ2" s="109">
        <f>'NKC2-%'!AQ12*100</f>
        <v>1.0843397768229517</v>
      </c>
      <c r="AK2" s="109">
        <f>'NKC2-%'!AR12*100</f>
        <v>1.0992122085360856</v>
      </c>
      <c r="AL2" s="109">
        <f>'NKC2-%'!AS12*100</f>
        <v>1.2232208037824261</v>
      </c>
      <c r="AM2" s="109">
        <f>'NKC2-%'!AT12*100</f>
        <v>1.08795373861276</v>
      </c>
      <c r="AN2" s="109">
        <f>'NKC2-%'!AU12*100</f>
        <v>1.19193892449809</v>
      </c>
      <c r="AO2" s="109">
        <f>'NKC2-%'!AV12*100</f>
        <v>2.2290499612005767</v>
      </c>
      <c r="AP2" s="109">
        <f>'NKC2-%'!AW12*100</f>
        <v>1.7739558751559956</v>
      </c>
      <c r="AQ2" s="109">
        <f>'NKC2-%'!AX12*100</f>
        <v>1.7501362054967848</v>
      </c>
      <c r="AR2" s="109">
        <f>'NKC2-%'!AY12*100</f>
        <v>1.4296687290112657</v>
      </c>
      <c r="AS2" s="109">
        <f>'NKC2-%'!AZ12*100</f>
        <v>1.3860846698453479</v>
      </c>
      <c r="AT2" s="109">
        <f>'NKC2-%'!BA12*100</f>
        <v>1.3580228855331276</v>
      </c>
      <c r="AU2" s="109">
        <f>'NKC2-%'!BB12*100</f>
        <v>1.5491985009263631</v>
      </c>
      <c r="AV2" s="109">
        <f>'NKC2-%'!BC12*100</f>
        <v>1.4174296420037127</v>
      </c>
      <c r="AW2" s="109">
        <f>'NKC2-%'!BD12*100</f>
        <v>1.7224777555729924</v>
      </c>
      <c r="AX2" s="109">
        <f>'NKC2-%'!BE12*100</f>
        <v>1.9365391369229379</v>
      </c>
      <c r="AY2" s="109">
        <f>'NKC2-%'!BF12*100</f>
        <v>2.6384261324133118</v>
      </c>
      <c r="AZ2" s="109">
        <f>'NKC2-%'!BG12*100</f>
        <v>2.7086742192960056</v>
      </c>
      <c r="BA2" s="109">
        <f>'NKC2-%'!BH12*100</f>
        <v>2.7041586913850955</v>
      </c>
      <c r="BB2" s="109">
        <f>'NKC2-%'!BI12*100</f>
        <v>3.5184705291745901</v>
      </c>
      <c r="BC2" s="109">
        <f>'NKC2-%'!BJ12*100</f>
        <v>3.6695629236564158</v>
      </c>
      <c r="BD2" s="109">
        <f>'NKC2-%'!BK12*100</f>
        <v>4.2709142591461307</v>
      </c>
      <c r="BE2" s="109">
        <f>'NKC2-%'!BL12*100</f>
        <v>3.682841598529075</v>
      </c>
      <c r="BF2" s="109">
        <f>'NKC2-%'!BM12*100</f>
        <v>3.622248758473575</v>
      </c>
      <c r="BG2" s="109">
        <f>'NKC2-%'!BN12*100</f>
        <v>4.0087657605309763</v>
      </c>
      <c r="BH2" s="109">
        <f>'NKC2-%'!BO12*100</f>
        <v>3.4948939950448628</v>
      </c>
      <c r="BI2" s="109">
        <f>'NKC2-%'!BP12*100</f>
        <v>2.7568420524007462</v>
      </c>
      <c r="BJ2" s="109">
        <f>'NKC2-%'!BQ12*100</f>
        <v>2.7304950877393286</v>
      </c>
      <c r="BK2" s="109">
        <f>'NKC2-%'!BR12*100</f>
        <v>2.2909828497812699</v>
      </c>
      <c r="BL2" s="109">
        <f>'NKC2-%'!BS12*100</f>
        <v>1.684646178010885</v>
      </c>
      <c r="BM2" s="109">
        <f>'NKC2-%'!BT12*100</f>
        <v>1.681987123574757</v>
      </c>
      <c r="BN2" s="109">
        <f>'NKC2-%'!BU12*100</f>
        <v>2.0735475098430896</v>
      </c>
      <c r="BO2" s="109">
        <f>'NKC2-%'!BV12*100</f>
        <v>1.333593065218954</v>
      </c>
      <c r="BP2" s="109">
        <f>'NKC2-%'!BW12*100</f>
        <v>1.3320088003206338</v>
      </c>
      <c r="BQ2" s="109">
        <f>'NKC2-%'!BX12*100</f>
        <v>1.6080437873110156</v>
      </c>
      <c r="BR2" s="109">
        <f>'NKC2-%'!BY12*100</f>
        <v>1.700264453970441</v>
      </c>
      <c r="BS2" s="109">
        <f>'NKC2-%'!BZ12*100</f>
        <v>3.3259757206457041</v>
      </c>
      <c r="BT2" s="109">
        <f>'NKC2-%'!CA12*100</f>
        <v>3.0571487412399825</v>
      </c>
      <c r="BU2" s="109">
        <f>'NKC2-%'!CB12*100</f>
        <v>3.014461769807379</v>
      </c>
      <c r="BV2" s="109">
        <f>'NKC2-%'!CC12*100</f>
        <v>3.014461769807379</v>
      </c>
      <c r="BW2" s="109">
        <f>'NKC2-%'!CD12*100</f>
        <v>2.6302958115012638</v>
      </c>
      <c r="BX2" s="109">
        <f>'NKC2-%'!CE12*100</f>
        <v>1.8694195012348875</v>
      </c>
      <c r="BY2" s="109">
        <f>'NKC2-%'!CF12*100</f>
        <v>1.3744525138560468</v>
      </c>
      <c r="BZ2" s="109">
        <f>'NKC2-%'!CG12*100</f>
        <v>1.3744525138560468</v>
      </c>
      <c r="CA2" s="109">
        <f>'NKC2-%'!CH12*100</f>
        <v>0</v>
      </c>
      <c r="CB2" s="109">
        <f>'NKC2-%'!CI12*100</f>
        <v>0</v>
      </c>
      <c r="CC2" s="109">
        <f>'NKC2-%'!CJ12*100</f>
        <v>0</v>
      </c>
      <c r="CD2" s="109">
        <f>'NKC2-%'!CK12*100</f>
        <v>0</v>
      </c>
      <c r="CE2" s="109">
        <f>'NKC2-%'!CL12*100</f>
        <v>0</v>
      </c>
      <c r="CF2" s="109">
        <f>'NKC2-%'!CM12*100</f>
        <v>0</v>
      </c>
      <c r="CG2" s="109">
        <f>'NKC2-%'!CN12*100</f>
        <v>0</v>
      </c>
      <c r="CH2" s="109">
        <f>'NKC2-%'!CO12*100</f>
        <v>0</v>
      </c>
      <c r="CI2" s="109">
        <f>'NKC2-%'!CP12*100</f>
        <v>0</v>
      </c>
    </row>
    <row r="3" spans="1:87" x14ac:dyDescent="0.45">
      <c r="A3" s="266">
        <f>'NKC2-%'!B13</f>
        <v>1</v>
      </c>
      <c r="B3" t="str">
        <f>'NKC2-%'!D13</f>
        <v>Okd Co-Working Space</v>
      </c>
      <c r="C3" s="104">
        <f>'NKC2-%'!F13</f>
        <v>141282693.27633795</v>
      </c>
      <c r="D3" s="87" t="str">
        <f>'NKC2-%'!G13</f>
        <v>A</v>
      </c>
      <c r="E3" s="109">
        <f>'NKC2-%'!K13*100</f>
        <v>6.5892714091067592</v>
      </c>
      <c r="F3" s="109">
        <f>'NKC2-%'!M13*100</f>
        <v>0</v>
      </c>
      <c r="G3" s="109">
        <f>'NKC2-%'!N13*100</f>
        <v>0</v>
      </c>
      <c r="H3" s="109">
        <f>'NKC2-%'!O13*100</f>
        <v>0</v>
      </c>
      <c r="I3" s="109">
        <f>'NKC2-%'!P13*100</f>
        <v>0</v>
      </c>
      <c r="J3" s="109">
        <f>'NKC2-%'!Q13*100</f>
        <v>0</v>
      </c>
      <c r="K3" s="109">
        <f>'NKC2-%'!R13*100</f>
        <v>0</v>
      </c>
      <c r="L3" s="109">
        <f>'NKC2-%'!S13*100</f>
        <v>0</v>
      </c>
      <c r="M3" s="109">
        <f>'NKC2-%'!T13*100</f>
        <v>0</v>
      </c>
      <c r="N3" s="109">
        <f>'NKC2-%'!U13*100</f>
        <v>5.0714866103193246E-3</v>
      </c>
      <c r="O3" s="109">
        <f>'NKC2-%'!V13*100</f>
        <v>1.2678716525798311E-2</v>
      </c>
      <c r="P3" s="109">
        <f>'NKC2-%'!W13*100</f>
        <v>1.2678716525798311E-2</v>
      </c>
      <c r="Q3" s="109">
        <f>'NKC2-%'!X13*100</f>
        <v>2.0285946441277299E-2</v>
      </c>
      <c r="R3" s="109">
        <f>'NKC2-%'!Y13*100</f>
        <v>2.0285946441277299E-2</v>
      </c>
      <c r="S3" s="109">
        <f>'NKC2-%'!Z13*100</f>
        <v>1.2678716525798311E-2</v>
      </c>
      <c r="T3" s="109">
        <f>'NKC2-%'!AA13*100</f>
        <v>1.2678716525798311E-2</v>
      </c>
      <c r="U3" s="109">
        <f>'NKC2-%'!AB13*100</f>
        <v>1.2678716525798311E-2</v>
      </c>
      <c r="V3" s="109">
        <f>'NKC2-%'!AC13*100</f>
        <v>1.2678716525798311E-2</v>
      </c>
      <c r="W3" s="109">
        <f>'NKC2-%'!AD13*100</f>
        <v>2.0285946441277299E-2</v>
      </c>
      <c r="X3" s="109">
        <f>'NKC2-%'!AE13*100</f>
        <v>2.0285946441277299E-2</v>
      </c>
      <c r="Y3" s="109">
        <f>'NKC2-%'!AF13*100</f>
        <v>2.0285946441277299E-2</v>
      </c>
      <c r="Z3" s="109">
        <f>'NKC2-%'!AG13*100</f>
        <v>4.1335809567410696E-2</v>
      </c>
      <c r="AA3" s="109">
        <f>'NKC2-%'!AH13*100</f>
        <v>7.5265971206431873E-2</v>
      </c>
      <c r="AB3" s="109">
        <f>'NKC2-%'!AI13*100</f>
        <v>8.5207362439981046E-2</v>
      </c>
      <c r="AC3" s="109">
        <f>'NKC2-%'!AJ13*100</f>
        <v>0.10625722556611443</v>
      </c>
      <c r="AD3" s="109">
        <f>'NKC2-%'!AK13*100</f>
        <v>0.24468566726275573</v>
      </c>
      <c r="AE3" s="109">
        <f>'NKC2-%'!AL13*100</f>
        <v>0.27587850360952776</v>
      </c>
      <c r="AF3" s="109">
        <f>'NKC2-%'!AM13*100</f>
        <v>0.34325089205120651</v>
      </c>
      <c r="AG3" s="109">
        <f>'NKC2-%'!AN13*100</f>
        <v>0.41777375885702611</v>
      </c>
      <c r="AH3" s="109">
        <f>'NKC2-%'!AO13*100</f>
        <v>0.50649524438592164</v>
      </c>
      <c r="AI3" s="109">
        <f>'NKC2-%'!AP13*100</f>
        <v>0.59557950215189326</v>
      </c>
      <c r="AJ3" s="109">
        <f>'NKC2-%'!AQ13*100</f>
        <v>0.56273709973021524</v>
      </c>
      <c r="AK3" s="109">
        <f>'NKC2-%'!AR13*100</f>
        <v>0.57786042605880417</v>
      </c>
      <c r="AL3" s="109">
        <f>'NKC2-%'!AS13*100</f>
        <v>1.3241485435452747</v>
      </c>
      <c r="AM3" s="109">
        <f>'NKC2-%'!AT13*100</f>
        <v>1.2502218847026998</v>
      </c>
      <c r="AN3" s="109">
        <f>'NKC2-%'!AU13*100</f>
        <v>0</v>
      </c>
      <c r="AO3" s="109">
        <f>'NKC2-%'!AV13*100</f>
        <v>0</v>
      </c>
      <c r="AP3" s="109">
        <f>'NKC2-%'!AW13*100</f>
        <v>0</v>
      </c>
      <c r="AQ3" s="109">
        <f>'NKC2-%'!AX13*100</f>
        <v>0</v>
      </c>
      <c r="AR3" s="109">
        <f>'NKC2-%'!AY13*100</f>
        <v>0</v>
      </c>
      <c r="AS3" s="109">
        <f>'NKC2-%'!AZ13*100</f>
        <v>0</v>
      </c>
      <c r="AT3" s="109">
        <f>'NKC2-%'!BA13*100</f>
        <v>0</v>
      </c>
      <c r="AU3" s="109">
        <f>'NKC2-%'!BB13*100</f>
        <v>0</v>
      </c>
      <c r="AV3" s="109">
        <f>'NKC2-%'!BC13*100</f>
        <v>0</v>
      </c>
      <c r="AW3" s="109">
        <f>'NKC2-%'!BD13*100</f>
        <v>0</v>
      </c>
      <c r="AX3" s="109">
        <f>'NKC2-%'!BE13*100</f>
        <v>0</v>
      </c>
      <c r="AY3" s="109">
        <f>'NKC2-%'!BF13*100</f>
        <v>0</v>
      </c>
      <c r="AZ3" s="109">
        <f>'NKC2-%'!BG13*100</f>
        <v>0</v>
      </c>
      <c r="BA3" s="109">
        <f>'NKC2-%'!BH13*100</f>
        <v>0</v>
      </c>
      <c r="BB3" s="109">
        <f>'NKC2-%'!BI13*100</f>
        <v>0</v>
      </c>
      <c r="BC3" s="109">
        <f>'NKC2-%'!BJ13*100</f>
        <v>0</v>
      </c>
      <c r="BD3" s="109">
        <f>'NKC2-%'!BK13*100</f>
        <v>0</v>
      </c>
      <c r="BE3" s="109">
        <f>'NKC2-%'!BL13*100</f>
        <v>0</v>
      </c>
      <c r="BF3" s="109">
        <f>'NKC2-%'!BM13*100</f>
        <v>0</v>
      </c>
      <c r="BG3" s="109">
        <f>'NKC2-%'!BN13*100</f>
        <v>0</v>
      </c>
      <c r="BH3" s="109">
        <f>'NKC2-%'!BO13*100</f>
        <v>0</v>
      </c>
      <c r="BI3" s="109">
        <f>'NKC2-%'!BP13*100</f>
        <v>0</v>
      </c>
      <c r="BJ3" s="109">
        <f>'NKC2-%'!BQ13*100</f>
        <v>0</v>
      </c>
      <c r="BK3" s="109">
        <f>'NKC2-%'!BR13*100</f>
        <v>0</v>
      </c>
      <c r="BL3" s="109">
        <f>'NKC2-%'!BS13*100</f>
        <v>0</v>
      </c>
      <c r="BM3" s="109">
        <f>'NKC2-%'!BT13*100</f>
        <v>0</v>
      </c>
      <c r="BN3" s="109">
        <f>'NKC2-%'!BU13*100</f>
        <v>0</v>
      </c>
      <c r="BO3" s="109">
        <f>'NKC2-%'!BV13*100</f>
        <v>0</v>
      </c>
      <c r="BP3" s="109">
        <f>'NKC2-%'!BW13*100</f>
        <v>0</v>
      </c>
      <c r="BQ3" s="109">
        <f>'NKC2-%'!BX13*100</f>
        <v>0</v>
      </c>
      <c r="BR3" s="109">
        <f>'NKC2-%'!BY13*100</f>
        <v>0</v>
      </c>
      <c r="BS3" s="109">
        <f>'NKC2-%'!BZ13*100</f>
        <v>0</v>
      </c>
      <c r="BT3" s="109">
        <f>'NKC2-%'!CA13*100</f>
        <v>0</v>
      </c>
      <c r="BU3" s="109">
        <f>'NKC2-%'!CB13*100</f>
        <v>0</v>
      </c>
      <c r="BV3" s="109">
        <f>'NKC2-%'!CC13*100</f>
        <v>0</v>
      </c>
      <c r="BW3" s="109">
        <f>'NKC2-%'!CD13*100</f>
        <v>0</v>
      </c>
      <c r="BX3" s="109">
        <f>'NKC2-%'!CE13*100</f>
        <v>0</v>
      </c>
      <c r="BY3" s="109">
        <f>'NKC2-%'!CF13*100</f>
        <v>0</v>
      </c>
      <c r="BZ3" s="109">
        <f>'NKC2-%'!CG13*100</f>
        <v>0</v>
      </c>
      <c r="CA3" s="109">
        <f>'NKC2-%'!CH13*100</f>
        <v>0</v>
      </c>
      <c r="CB3" s="109">
        <f>'NKC2-%'!CI13*100</f>
        <v>0</v>
      </c>
      <c r="CC3" s="109">
        <f>'NKC2-%'!CJ13*100</f>
        <v>0</v>
      </c>
      <c r="CD3" s="109">
        <f>'NKC2-%'!CK13*100</f>
        <v>0</v>
      </c>
      <c r="CE3" s="109">
        <f>'NKC2-%'!CL13*100</f>
        <v>0</v>
      </c>
      <c r="CF3" s="109">
        <f>'NKC2-%'!CM13*100</f>
        <v>0</v>
      </c>
      <c r="CG3" s="109">
        <f>'NKC2-%'!CN13*100</f>
        <v>0</v>
      </c>
      <c r="CH3" s="109">
        <f>'NKC2-%'!CO13*100</f>
        <v>0</v>
      </c>
      <c r="CI3" s="109">
        <f>'NKC2-%'!CP13*100</f>
        <v>0</v>
      </c>
    </row>
    <row r="4" spans="1:87" x14ac:dyDescent="0.45">
      <c r="A4" s="266">
        <f>'NKC2-%'!B14</f>
        <v>1.1000000000000001</v>
      </c>
      <c r="B4" t="str">
        <f>'NKC2-%'!D14</f>
        <v>Existing Demolation</v>
      </c>
      <c r="C4" s="104">
        <f>'NKC2-%'!F14</f>
        <v>358256.64361039997</v>
      </c>
      <c r="D4" s="87" t="str">
        <f>'NKC2-%'!G14</f>
        <v>P</v>
      </c>
      <c r="E4" s="109">
        <f>'NKC2-%'!K14*100</f>
        <v>100.00000000000003</v>
      </c>
      <c r="F4" s="109">
        <f>'NKC2-%'!M14*100</f>
        <v>0</v>
      </c>
      <c r="G4" s="109">
        <f>'NKC2-%'!N14*100</f>
        <v>0</v>
      </c>
      <c r="H4" s="109">
        <f>'NKC2-%'!O14*100</f>
        <v>0</v>
      </c>
      <c r="I4" s="109">
        <f>'NKC2-%'!P14*100</f>
        <v>0</v>
      </c>
      <c r="J4" s="109">
        <f>'NKC2-%'!Q14*100</f>
        <v>0</v>
      </c>
      <c r="K4" s="109">
        <f>'NKC2-%'!R14*100</f>
        <v>0</v>
      </c>
      <c r="L4" s="109">
        <f>'NKC2-%'!S14*100</f>
        <v>0</v>
      </c>
      <c r="M4" s="109">
        <f>'NKC2-%'!T14*100</f>
        <v>0</v>
      </c>
      <c r="N4" s="109">
        <f>'NKC2-%'!U14*100</f>
        <v>0</v>
      </c>
      <c r="O4" s="109">
        <f>'NKC2-%'!V14*100</f>
        <v>0</v>
      </c>
      <c r="P4" s="109">
        <f>'NKC2-%'!W14*100</f>
        <v>5</v>
      </c>
      <c r="Q4" s="109">
        <f>'NKC2-%'!X14*100</f>
        <v>5</v>
      </c>
      <c r="R4" s="109">
        <f>'NKC2-%'!Y14*100</f>
        <v>5</v>
      </c>
      <c r="S4" s="109">
        <f>'NKC2-%'!Z14*100</f>
        <v>5</v>
      </c>
      <c r="T4" s="109">
        <f>'NKC2-%'!AA14*100</f>
        <v>5</v>
      </c>
      <c r="U4" s="109">
        <f>'NKC2-%'!AB14*100</f>
        <v>5</v>
      </c>
      <c r="V4" s="109">
        <f>'NKC2-%'!AC14*100</f>
        <v>15</v>
      </c>
      <c r="W4" s="109">
        <f>'NKC2-%'!AD14*100</f>
        <v>10</v>
      </c>
      <c r="X4" s="109">
        <f>'NKC2-%'!AE14*100</f>
        <v>10</v>
      </c>
      <c r="Y4" s="109">
        <f>'NKC2-%'!AF14*100</f>
        <v>5</v>
      </c>
      <c r="Z4" s="109">
        <f>'NKC2-%'!AG14*100</f>
        <v>5</v>
      </c>
      <c r="AA4" s="109">
        <f>'NKC2-%'!AH14*100</f>
        <v>5</v>
      </c>
      <c r="AB4" s="109">
        <f>'NKC2-%'!AI14*100</f>
        <v>5</v>
      </c>
      <c r="AC4" s="109">
        <f>'NKC2-%'!AJ14*100</f>
        <v>5</v>
      </c>
      <c r="AD4" s="109">
        <f>'NKC2-%'!AK14*100</f>
        <v>5</v>
      </c>
      <c r="AE4" s="109">
        <f>'NKC2-%'!AL14*100</f>
        <v>5</v>
      </c>
      <c r="AF4" s="109">
        <f>'NKC2-%'!AM14*100</f>
        <v>0</v>
      </c>
      <c r="AG4" s="109">
        <f>'NKC2-%'!AN14*100</f>
        <v>0</v>
      </c>
      <c r="AH4" s="109">
        <f>'NKC2-%'!AO14*100</f>
        <v>0</v>
      </c>
      <c r="AI4" s="109">
        <f>'NKC2-%'!AP14*100</f>
        <v>0</v>
      </c>
      <c r="AJ4" s="109">
        <f>'NKC2-%'!AQ14*100</f>
        <v>0</v>
      </c>
      <c r="AK4" s="109">
        <f>'NKC2-%'!AR14*100</f>
        <v>0</v>
      </c>
      <c r="AL4" s="109">
        <f>'NKC2-%'!AS14*100</f>
        <v>0</v>
      </c>
      <c r="AM4" s="109">
        <f>'NKC2-%'!AT14*100</f>
        <v>0</v>
      </c>
      <c r="AN4" s="109">
        <f>'NKC2-%'!AU14*100</f>
        <v>0</v>
      </c>
      <c r="AO4" s="109">
        <f>'NKC2-%'!AV14*100</f>
        <v>0</v>
      </c>
      <c r="AP4" s="109">
        <f>'NKC2-%'!AW14*100</f>
        <v>0</v>
      </c>
      <c r="AQ4" s="109">
        <f>'NKC2-%'!AX14*100</f>
        <v>0</v>
      </c>
      <c r="AR4" s="109">
        <f>'NKC2-%'!AY14*100</f>
        <v>0</v>
      </c>
      <c r="AS4" s="109">
        <f>'NKC2-%'!AZ14*100</f>
        <v>0</v>
      </c>
      <c r="AT4" s="109">
        <f>'NKC2-%'!BA14*100</f>
        <v>0</v>
      </c>
      <c r="AU4" s="109">
        <f>'NKC2-%'!BB14*100</f>
        <v>0</v>
      </c>
      <c r="AV4" s="109">
        <f>'NKC2-%'!BC14*100</f>
        <v>0</v>
      </c>
      <c r="AW4" s="109">
        <f>'NKC2-%'!BD14*100</f>
        <v>0</v>
      </c>
      <c r="AX4" s="109">
        <f>'NKC2-%'!BE14*100</f>
        <v>0</v>
      </c>
      <c r="AY4" s="109">
        <f>'NKC2-%'!BF14*100</f>
        <v>0</v>
      </c>
      <c r="AZ4" s="109">
        <f>'NKC2-%'!BG14*100</f>
        <v>0</v>
      </c>
      <c r="BA4" s="109">
        <f>'NKC2-%'!BH14*100</f>
        <v>0</v>
      </c>
      <c r="BB4" s="109">
        <f>'NKC2-%'!BI14*100</f>
        <v>0</v>
      </c>
      <c r="BC4" s="109">
        <f>'NKC2-%'!BJ14*100</f>
        <v>0</v>
      </c>
      <c r="BD4" s="109">
        <f>'NKC2-%'!BK14*100</f>
        <v>0</v>
      </c>
      <c r="BE4" s="109">
        <f>'NKC2-%'!BL14*100</f>
        <v>0</v>
      </c>
      <c r="BF4" s="109">
        <f>'NKC2-%'!BM14*100</f>
        <v>0</v>
      </c>
      <c r="BG4" s="109">
        <f>'NKC2-%'!BN14*100</f>
        <v>0</v>
      </c>
      <c r="BH4" s="109">
        <f>'NKC2-%'!BO14*100</f>
        <v>0</v>
      </c>
      <c r="BI4" s="109">
        <f>'NKC2-%'!BP14*100</f>
        <v>0</v>
      </c>
      <c r="BJ4" s="109">
        <f>'NKC2-%'!BQ14*100</f>
        <v>0</v>
      </c>
      <c r="BK4" s="109">
        <f>'NKC2-%'!BR14*100</f>
        <v>0</v>
      </c>
      <c r="BL4" s="109">
        <f>'NKC2-%'!BS14*100</f>
        <v>0</v>
      </c>
      <c r="BM4" s="109">
        <f>'NKC2-%'!BT14*100</f>
        <v>0</v>
      </c>
      <c r="BN4" s="109">
        <f>'NKC2-%'!BU14*100</f>
        <v>0</v>
      </c>
      <c r="BO4" s="109">
        <f>'NKC2-%'!BV14*100</f>
        <v>0</v>
      </c>
      <c r="BP4" s="109">
        <f>'NKC2-%'!BW14*100</f>
        <v>0</v>
      </c>
      <c r="BQ4" s="109">
        <f>'NKC2-%'!BX14*100</f>
        <v>0</v>
      </c>
      <c r="BR4" s="109">
        <f>'NKC2-%'!BY14*100</f>
        <v>0</v>
      </c>
      <c r="BS4" s="109">
        <f>'NKC2-%'!BZ14*100</f>
        <v>0</v>
      </c>
      <c r="BT4" s="109">
        <f>'NKC2-%'!CA14*100</f>
        <v>0</v>
      </c>
      <c r="BU4" s="109">
        <f>'NKC2-%'!CB14*100</f>
        <v>0</v>
      </c>
      <c r="BV4" s="109">
        <f>'NKC2-%'!CC14*100</f>
        <v>0</v>
      </c>
      <c r="BW4" s="109">
        <f>'NKC2-%'!CD14*100</f>
        <v>0</v>
      </c>
      <c r="BX4" s="109">
        <f>'NKC2-%'!CE14*100</f>
        <v>0</v>
      </c>
      <c r="BY4" s="109">
        <f>'NKC2-%'!CF14*100</f>
        <v>0</v>
      </c>
      <c r="BZ4" s="109">
        <f>'NKC2-%'!CG14*100</f>
        <v>0</v>
      </c>
      <c r="CA4" s="109">
        <f>'NKC2-%'!CH14*100</f>
        <v>0</v>
      </c>
      <c r="CB4" s="109">
        <f>'NKC2-%'!CI14*100</f>
        <v>0</v>
      </c>
      <c r="CC4" s="109">
        <f>'NKC2-%'!CJ14*100</f>
        <v>0</v>
      </c>
      <c r="CD4" s="109">
        <f>'NKC2-%'!CK14*100</f>
        <v>0</v>
      </c>
      <c r="CE4" s="109">
        <f>'NKC2-%'!CL14*100</f>
        <v>0</v>
      </c>
      <c r="CF4" s="109">
        <f>'NKC2-%'!CM14*100</f>
        <v>0</v>
      </c>
      <c r="CG4" s="109">
        <f>'NKC2-%'!CN14*100</f>
        <v>0</v>
      </c>
      <c r="CH4" s="109">
        <f>'NKC2-%'!CO14*100</f>
        <v>0</v>
      </c>
      <c r="CI4" s="109">
        <f>'NKC2-%'!CP14*100</f>
        <v>0</v>
      </c>
    </row>
    <row r="5" spans="1:87" x14ac:dyDescent="0.45">
      <c r="A5" s="266">
        <f>'NKC2-%'!B15</f>
        <v>1.1000000000000001</v>
      </c>
      <c r="B5" t="str">
        <f>'NKC2-%'!D15</f>
        <v>Existing Demolation</v>
      </c>
      <c r="C5" s="104">
        <f>'NKC2-%'!F15</f>
        <v>358256.64361039997</v>
      </c>
      <c r="D5" s="87" t="str">
        <f>'NKC2-%'!G15</f>
        <v>A</v>
      </c>
      <c r="E5" s="109">
        <f>'NKC2-%'!K15*100</f>
        <v>99.999999999999986</v>
      </c>
      <c r="F5" s="109">
        <f>'NKC2-%'!M15*100</f>
        <v>0</v>
      </c>
      <c r="G5" s="109">
        <f>'NKC2-%'!N15*100</f>
        <v>0</v>
      </c>
      <c r="H5" s="109">
        <f>'NKC2-%'!O15*100</f>
        <v>0</v>
      </c>
      <c r="I5" s="109">
        <f>'NKC2-%'!P15*100</f>
        <v>0</v>
      </c>
      <c r="J5" s="109">
        <f>'NKC2-%'!Q15*100</f>
        <v>0</v>
      </c>
      <c r="K5" s="109">
        <f>'NKC2-%'!R15*100</f>
        <v>0</v>
      </c>
      <c r="L5" s="109">
        <f>'NKC2-%'!S15*100</f>
        <v>0</v>
      </c>
      <c r="M5" s="109">
        <f>'NKC2-%'!T15*100</f>
        <v>0</v>
      </c>
      <c r="N5" s="109">
        <f>'NKC2-%'!U15*100</f>
        <v>2</v>
      </c>
      <c r="O5" s="109">
        <f>'NKC2-%'!V15*100</f>
        <v>5</v>
      </c>
      <c r="P5" s="109">
        <f>'NKC2-%'!W15*100</f>
        <v>5</v>
      </c>
      <c r="Q5" s="109">
        <f>'NKC2-%'!X15*100</f>
        <v>8</v>
      </c>
      <c r="R5" s="109">
        <f>'NKC2-%'!Y15*100</f>
        <v>8</v>
      </c>
      <c r="S5" s="109">
        <f>'NKC2-%'!Z15*100</f>
        <v>5</v>
      </c>
      <c r="T5" s="109">
        <f>'NKC2-%'!AA15*100</f>
        <v>5</v>
      </c>
      <c r="U5" s="109">
        <f>'NKC2-%'!AB15*100</f>
        <v>5</v>
      </c>
      <c r="V5" s="109">
        <f>'NKC2-%'!AC15*100</f>
        <v>5</v>
      </c>
      <c r="W5" s="109">
        <f>'NKC2-%'!AD15*100</f>
        <v>8</v>
      </c>
      <c r="X5" s="109">
        <f>'NKC2-%'!AE15*100</f>
        <v>8</v>
      </c>
      <c r="Y5" s="109">
        <f>'NKC2-%'!AF15*100</f>
        <v>8</v>
      </c>
      <c r="Z5" s="109">
        <f>'NKC2-%'!AG15*100</f>
        <v>4</v>
      </c>
      <c r="AA5" s="109">
        <f>'NKC2-%'!AH15*100</f>
        <v>10</v>
      </c>
      <c r="AB5" s="109">
        <f>'NKC2-%'!AI15*100</f>
        <v>9</v>
      </c>
      <c r="AC5" s="109">
        <f>'NKC2-%'!AJ15*100</f>
        <v>5</v>
      </c>
      <c r="AD5" s="109">
        <f>'NKC2-%'!AK15*100</f>
        <v>0</v>
      </c>
      <c r="AE5" s="109">
        <f>'NKC2-%'!AL15*100</f>
        <v>0</v>
      </c>
      <c r="AF5" s="109">
        <f>'NKC2-%'!AM15*100</f>
        <v>0</v>
      </c>
      <c r="AG5" s="109">
        <f>'NKC2-%'!AN15*100</f>
        <v>0</v>
      </c>
      <c r="AH5" s="109">
        <f>'NKC2-%'!AO15*100</f>
        <v>0</v>
      </c>
      <c r="AI5" s="109">
        <f>'NKC2-%'!AP15*100</f>
        <v>0</v>
      </c>
      <c r="AJ5" s="109">
        <f>'NKC2-%'!AQ15*100</f>
        <v>0</v>
      </c>
      <c r="AK5" s="109">
        <f>'NKC2-%'!AR15*100</f>
        <v>0</v>
      </c>
      <c r="AL5" s="109">
        <f>'NKC2-%'!AS15*100</f>
        <v>0</v>
      </c>
      <c r="AM5" s="109">
        <f>'NKC2-%'!AT15*100</f>
        <v>0</v>
      </c>
      <c r="AN5" s="109">
        <f>'NKC2-%'!AU15*100</f>
        <v>0</v>
      </c>
      <c r="AO5" s="109">
        <f>'NKC2-%'!AV15*100</f>
        <v>0</v>
      </c>
      <c r="AP5" s="109">
        <f>'NKC2-%'!AW15*100</f>
        <v>0</v>
      </c>
      <c r="AQ5" s="109">
        <f>'NKC2-%'!AX15*100</f>
        <v>0</v>
      </c>
      <c r="AR5" s="109">
        <f>'NKC2-%'!AY15*100</f>
        <v>0</v>
      </c>
      <c r="AS5" s="109">
        <f>'NKC2-%'!AZ15*100</f>
        <v>0</v>
      </c>
      <c r="AT5" s="109">
        <f>'NKC2-%'!BA15*100</f>
        <v>0</v>
      </c>
      <c r="AU5" s="109">
        <f>'NKC2-%'!BB15*100</f>
        <v>0</v>
      </c>
      <c r="AV5" s="109">
        <f>'NKC2-%'!BC15*100</f>
        <v>0</v>
      </c>
      <c r="AW5" s="109">
        <f>'NKC2-%'!BD15*100</f>
        <v>0</v>
      </c>
      <c r="AX5" s="109">
        <f>'NKC2-%'!BE15*100</f>
        <v>0</v>
      </c>
      <c r="AY5" s="109">
        <f>'NKC2-%'!BF15*100</f>
        <v>0</v>
      </c>
      <c r="AZ5" s="109">
        <f>'NKC2-%'!BG15*100</f>
        <v>0</v>
      </c>
      <c r="BA5" s="109">
        <f>'NKC2-%'!BH15*100</f>
        <v>0</v>
      </c>
      <c r="BB5" s="109">
        <f>'NKC2-%'!BI15*100</f>
        <v>0</v>
      </c>
      <c r="BC5" s="109">
        <f>'NKC2-%'!BJ15*100</f>
        <v>0</v>
      </c>
      <c r="BD5" s="109">
        <f>'NKC2-%'!BK15*100</f>
        <v>0</v>
      </c>
      <c r="BE5" s="109">
        <f>'NKC2-%'!BL15*100</f>
        <v>0</v>
      </c>
      <c r="BF5" s="109">
        <f>'NKC2-%'!BM15*100</f>
        <v>0</v>
      </c>
      <c r="BG5" s="109">
        <f>'NKC2-%'!BN15*100</f>
        <v>0</v>
      </c>
      <c r="BH5" s="109">
        <f>'NKC2-%'!BO15*100</f>
        <v>0</v>
      </c>
      <c r="BI5" s="109">
        <f>'NKC2-%'!BP15*100</f>
        <v>0</v>
      </c>
      <c r="BJ5" s="109">
        <f>'NKC2-%'!BQ15*100</f>
        <v>0</v>
      </c>
      <c r="BK5" s="109">
        <f>'NKC2-%'!BR15*100</f>
        <v>0</v>
      </c>
      <c r="BL5" s="109">
        <f>'NKC2-%'!BS15*100</f>
        <v>0</v>
      </c>
      <c r="BM5" s="109">
        <f>'NKC2-%'!BT15*100</f>
        <v>0</v>
      </c>
      <c r="BN5" s="109">
        <f>'NKC2-%'!BU15*100</f>
        <v>0</v>
      </c>
      <c r="BO5" s="109">
        <f>'NKC2-%'!BV15*100</f>
        <v>0</v>
      </c>
      <c r="BP5" s="109">
        <f>'NKC2-%'!BW15*100</f>
        <v>0</v>
      </c>
      <c r="BQ5" s="109">
        <f>'NKC2-%'!BX15*100</f>
        <v>0</v>
      </c>
      <c r="BR5" s="109">
        <f>'NKC2-%'!BY15*100</f>
        <v>0</v>
      </c>
      <c r="BS5" s="109">
        <f>'NKC2-%'!BZ15*100</f>
        <v>0</v>
      </c>
      <c r="BT5" s="109">
        <f>'NKC2-%'!CA15*100</f>
        <v>0</v>
      </c>
      <c r="BU5" s="109">
        <f>'NKC2-%'!CB15*100</f>
        <v>0</v>
      </c>
      <c r="BV5" s="109">
        <f>'NKC2-%'!CC15*100</f>
        <v>0</v>
      </c>
      <c r="BW5" s="109">
        <f>'NKC2-%'!CD15*100</f>
        <v>0</v>
      </c>
      <c r="BX5" s="109">
        <f>'NKC2-%'!CE15*100</f>
        <v>0</v>
      </c>
      <c r="BY5" s="109">
        <f>'NKC2-%'!CF15*100</f>
        <v>0</v>
      </c>
      <c r="BZ5" s="109">
        <f>'NKC2-%'!CG15*100</f>
        <v>0</v>
      </c>
      <c r="CA5" s="109">
        <f>'NKC2-%'!CH15*100</f>
        <v>0</v>
      </c>
      <c r="CB5" s="109">
        <f>'NKC2-%'!CI15*100</f>
        <v>0</v>
      </c>
      <c r="CC5" s="109">
        <f>'NKC2-%'!CJ15*100</f>
        <v>0</v>
      </c>
      <c r="CD5" s="109">
        <f>'NKC2-%'!CK15*100</f>
        <v>0</v>
      </c>
      <c r="CE5" s="109">
        <f>'NKC2-%'!CL15*100</f>
        <v>0</v>
      </c>
      <c r="CF5" s="109">
        <f>'NKC2-%'!CM15*100</f>
        <v>0</v>
      </c>
      <c r="CG5" s="109">
        <f>'NKC2-%'!CN15*100</f>
        <v>0</v>
      </c>
      <c r="CH5" s="109">
        <f>'NKC2-%'!CO15*100</f>
        <v>0</v>
      </c>
      <c r="CI5" s="109">
        <f>'NKC2-%'!CP15*100</f>
        <v>0</v>
      </c>
    </row>
    <row r="6" spans="1:87" x14ac:dyDescent="0.45">
      <c r="A6" s="266">
        <f>'NKC2-%'!B16</f>
        <v>1.2</v>
      </c>
      <c r="B6" t="str">
        <f>'NKC2-%'!D16</f>
        <v>Strucural Work</v>
      </c>
      <c r="C6" s="104">
        <f>'NKC2-%'!F16</f>
        <v>15467541.048800001</v>
      </c>
      <c r="D6" s="87" t="str">
        <f>'NKC2-%'!G16</f>
        <v>P</v>
      </c>
      <c r="E6" s="109">
        <f>'NKC2-%'!K16*100</f>
        <v>100</v>
      </c>
      <c r="F6" s="109">
        <f>'NKC2-%'!M16*100</f>
        <v>0</v>
      </c>
      <c r="G6" s="109">
        <f>'NKC2-%'!N16*100</f>
        <v>0</v>
      </c>
      <c r="H6" s="109">
        <f>'NKC2-%'!O16*100</f>
        <v>0</v>
      </c>
      <c r="I6" s="109">
        <f>'NKC2-%'!P16*100</f>
        <v>0</v>
      </c>
      <c r="J6" s="109">
        <f>'NKC2-%'!Q16*100</f>
        <v>0</v>
      </c>
      <c r="K6" s="109">
        <f>'NKC2-%'!R16*100</f>
        <v>0</v>
      </c>
      <c r="L6" s="109">
        <f>'NKC2-%'!S16*100</f>
        <v>0</v>
      </c>
      <c r="M6" s="109">
        <f>'NKC2-%'!T16*100</f>
        <v>0</v>
      </c>
      <c r="N6" s="109">
        <f>'NKC2-%'!U16*100</f>
        <v>0</v>
      </c>
      <c r="O6" s="109">
        <f>'NKC2-%'!V16*100</f>
        <v>0</v>
      </c>
      <c r="P6" s="109">
        <f>'NKC2-%'!W16*100</f>
        <v>0</v>
      </c>
      <c r="Q6" s="109">
        <f>'NKC2-%'!X16*100</f>
        <v>0</v>
      </c>
      <c r="R6" s="109">
        <f>'NKC2-%'!Y16*100</f>
        <v>0</v>
      </c>
      <c r="S6" s="109">
        <f>'NKC2-%'!Z16*100</f>
        <v>0</v>
      </c>
      <c r="T6" s="109">
        <f>'NKC2-%'!AA16*100</f>
        <v>0</v>
      </c>
      <c r="U6" s="109">
        <f>'NKC2-%'!AB16*100</f>
        <v>0</v>
      </c>
      <c r="V6" s="109">
        <f>'NKC2-%'!AC16*100</f>
        <v>0</v>
      </c>
      <c r="W6" s="109">
        <f>'NKC2-%'!AD16*100</f>
        <v>0</v>
      </c>
      <c r="X6" s="109">
        <f>'NKC2-%'!AE16*100</f>
        <v>0</v>
      </c>
      <c r="Y6" s="109">
        <f>'NKC2-%'!AF16*100</f>
        <v>0</v>
      </c>
      <c r="Z6" s="109">
        <f>'NKC2-%'!AG16*100</f>
        <v>0.2849197500815363</v>
      </c>
      <c r="AA6" s="109">
        <f>'NKC2-%'!AH16*100</f>
        <v>0.2849197500815363</v>
      </c>
      <c r="AB6" s="109">
        <f>'NKC2-%'!AI16*100</f>
        <v>0.2849197500815363</v>
      </c>
      <c r="AC6" s="109">
        <f>'NKC2-%'!AJ16*100</f>
        <v>0.56983950016307261</v>
      </c>
      <c r="AD6" s="109">
        <f>'NKC2-%'!AK16*100</f>
        <v>3.0213339779774238</v>
      </c>
      <c r="AE6" s="109">
        <f>'NKC2-%'!AL16*100</f>
        <v>3.591173478140496</v>
      </c>
      <c r="AF6" s="109">
        <f>'NKC2-%'!AM16*100</f>
        <v>5.0221864317616678</v>
      </c>
      <c r="AG6" s="109">
        <f>'NKC2-%'!AN16*100</f>
        <v>6.4291455828859743</v>
      </c>
      <c r="AH6" s="109">
        <f>'NKC2-%'!AO16*100</f>
        <v>7.5511849839287413</v>
      </c>
      <c r="AI6" s="109">
        <f>'NKC2-%'!AP16*100</f>
        <v>8.0250222600915642</v>
      </c>
      <c r="AJ6" s="109">
        <f>'NKC2-%'!AQ16*100</f>
        <v>7.6054183339068295</v>
      </c>
      <c r="AK6" s="109">
        <f>'NKC2-%'!AR16*100</f>
        <v>7.7412652148926746</v>
      </c>
      <c r="AL6" s="109">
        <f>'NKC2-%'!AS16*100</f>
        <v>8.7923231910059041</v>
      </c>
      <c r="AM6" s="109">
        <f>'NKC2-%'!AT16*100</f>
        <v>7.5438017614023121</v>
      </c>
      <c r="AN6" s="109">
        <f>'NKC2-%'!AU16*100</f>
        <v>7.4684780047156982</v>
      </c>
      <c r="AO6" s="109">
        <f>'NKC2-%'!AV16*100</f>
        <v>8.3111066381797851</v>
      </c>
      <c r="AP6" s="109">
        <f>'NKC2-%'!AW16*100</f>
        <v>3.97701258292587</v>
      </c>
      <c r="AQ6" s="109">
        <f>'NKC2-%'!AX16*100</f>
        <v>3.7410598695187738</v>
      </c>
      <c r="AR6" s="109">
        <f>'NKC2-%'!AY16*100</f>
        <v>2.538828921669265</v>
      </c>
      <c r="AS6" s="109">
        <f>'NKC2-%'!AZ16*100</f>
        <v>2.0502305070307392</v>
      </c>
      <c r="AT6" s="109">
        <f>'NKC2-%'!BA16*100</f>
        <v>1.8622349563594456</v>
      </c>
      <c r="AU6" s="109">
        <f>'NKC2-%'!BB16*100</f>
        <v>1.9239784723447542</v>
      </c>
      <c r="AV6" s="109">
        <f>'NKC2-%'!BC16*100</f>
        <v>1.2323757552709937</v>
      </c>
      <c r="AW6" s="109">
        <f>'NKC2-%'!BD16*100</f>
        <v>0.14724032558340538</v>
      </c>
      <c r="AX6" s="109">
        <f>'NKC2-%'!BE16*100</f>
        <v>0</v>
      </c>
      <c r="AY6" s="109">
        <f>'NKC2-%'!BF16*100</f>
        <v>0</v>
      </c>
      <c r="AZ6" s="109">
        <f>'NKC2-%'!BG16*100</f>
        <v>0</v>
      </c>
      <c r="BA6" s="109">
        <f>'NKC2-%'!BH16*100</f>
        <v>0</v>
      </c>
      <c r="BB6" s="109">
        <f>'NKC2-%'!BI16*100</f>
        <v>0</v>
      </c>
      <c r="BC6" s="109">
        <f>'NKC2-%'!BJ16*100</f>
        <v>0</v>
      </c>
      <c r="BD6" s="109">
        <f>'NKC2-%'!BK16*100</f>
        <v>0</v>
      </c>
      <c r="BE6" s="109">
        <f>'NKC2-%'!BL16*100</f>
        <v>0</v>
      </c>
      <c r="BF6" s="109">
        <f>'NKC2-%'!BM16*100</f>
        <v>0</v>
      </c>
      <c r="BG6" s="109">
        <f>'NKC2-%'!BN16*100</f>
        <v>0</v>
      </c>
      <c r="BH6" s="109">
        <f>'NKC2-%'!BO16*100</f>
        <v>0</v>
      </c>
      <c r="BI6" s="109">
        <f>'NKC2-%'!BP16*100</f>
        <v>0</v>
      </c>
      <c r="BJ6" s="109">
        <f>'NKC2-%'!BQ16*100</f>
        <v>0</v>
      </c>
      <c r="BK6" s="109">
        <f>'NKC2-%'!BR16*100</f>
        <v>0</v>
      </c>
      <c r="BL6" s="109">
        <f>'NKC2-%'!BS16*100</f>
        <v>0</v>
      </c>
      <c r="BM6" s="109">
        <f>'NKC2-%'!BT16*100</f>
        <v>0</v>
      </c>
      <c r="BN6" s="109">
        <f>'NKC2-%'!BU16*100</f>
        <v>0</v>
      </c>
      <c r="BO6" s="109">
        <f>'NKC2-%'!BV16*100</f>
        <v>0</v>
      </c>
      <c r="BP6" s="109">
        <f>'NKC2-%'!BW16*100</f>
        <v>0</v>
      </c>
      <c r="BQ6" s="109">
        <f>'NKC2-%'!BX16*100</f>
        <v>0</v>
      </c>
      <c r="BR6" s="109">
        <f>'NKC2-%'!BY16*100</f>
        <v>0</v>
      </c>
      <c r="BS6" s="109">
        <f>'NKC2-%'!BZ16*100</f>
        <v>0</v>
      </c>
      <c r="BT6" s="109">
        <f>'NKC2-%'!CA16*100</f>
        <v>0</v>
      </c>
      <c r="BU6" s="109">
        <f>'NKC2-%'!CB16*100</f>
        <v>0</v>
      </c>
      <c r="BV6" s="109">
        <f>'NKC2-%'!CC16*100</f>
        <v>0</v>
      </c>
      <c r="BW6" s="109">
        <f>'NKC2-%'!CD16*100</f>
        <v>0</v>
      </c>
      <c r="BX6" s="109">
        <f>'NKC2-%'!CE16*100</f>
        <v>0</v>
      </c>
      <c r="BY6" s="109">
        <f>'NKC2-%'!CF16*100</f>
        <v>0</v>
      </c>
      <c r="BZ6" s="109">
        <f>'NKC2-%'!CG16*100</f>
        <v>0</v>
      </c>
      <c r="CA6" s="109">
        <f>'NKC2-%'!CH16*100</f>
        <v>0</v>
      </c>
      <c r="CB6" s="109">
        <f>'NKC2-%'!CI16*100</f>
        <v>0</v>
      </c>
      <c r="CC6" s="109">
        <f>'NKC2-%'!CJ16*100</f>
        <v>0</v>
      </c>
      <c r="CD6" s="109">
        <f>'NKC2-%'!CK16*100</f>
        <v>0</v>
      </c>
      <c r="CE6" s="109">
        <f>'NKC2-%'!CL16*100</f>
        <v>0</v>
      </c>
      <c r="CF6" s="109">
        <f>'NKC2-%'!CM16*100</f>
        <v>0</v>
      </c>
      <c r="CG6" s="109">
        <f>'NKC2-%'!CN16*100</f>
        <v>0</v>
      </c>
      <c r="CH6" s="109">
        <f>'NKC2-%'!CO16*100</f>
        <v>0</v>
      </c>
      <c r="CI6" s="109">
        <f>'NKC2-%'!CP16*100</f>
        <v>0</v>
      </c>
    </row>
    <row r="7" spans="1:87" x14ac:dyDescent="0.45">
      <c r="A7" s="266">
        <f>'NKC2-%'!B17</f>
        <v>1.2</v>
      </c>
      <c r="B7" t="str">
        <f>'NKC2-%'!D17</f>
        <v>Strucural Work</v>
      </c>
      <c r="C7" s="104">
        <f>'NKC2-%'!F17</f>
        <v>15467541.048800001</v>
      </c>
      <c r="D7" s="87" t="str">
        <f>'NKC2-%'!G17</f>
        <v>A</v>
      </c>
      <c r="E7" s="109">
        <f>'NKC2-%'!K17*100</f>
        <v>48.765584501204131</v>
      </c>
      <c r="F7" s="109">
        <f>'NKC2-%'!M17*100</f>
        <v>0</v>
      </c>
      <c r="G7" s="109">
        <f>'NKC2-%'!N17*100</f>
        <v>0</v>
      </c>
      <c r="H7" s="109">
        <f>'NKC2-%'!O17*100</f>
        <v>0</v>
      </c>
      <c r="I7" s="109">
        <f>'NKC2-%'!P17*100</f>
        <v>0</v>
      </c>
      <c r="J7" s="109">
        <f>'NKC2-%'!Q17*100</f>
        <v>0</v>
      </c>
      <c r="K7" s="109">
        <f>'NKC2-%'!R17*100</f>
        <v>0</v>
      </c>
      <c r="L7" s="109">
        <f>'NKC2-%'!S17*100</f>
        <v>0</v>
      </c>
      <c r="M7" s="109">
        <f>'NKC2-%'!T17*100</f>
        <v>0</v>
      </c>
      <c r="N7" s="109">
        <f>'NKC2-%'!U17*100</f>
        <v>0</v>
      </c>
      <c r="O7" s="109">
        <f>'NKC2-%'!V17*100</f>
        <v>0</v>
      </c>
      <c r="P7" s="109">
        <f>'NKC2-%'!W17*100</f>
        <v>0</v>
      </c>
      <c r="Q7" s="109">
        <f>'NKC2-%'!X17*100</f>
        <v>0</v>
      </c>
      <c r="R7" s="109">
        <f>'NKC2-%'!Y17*100</f>
        <v>0</v>
      </c>
      <c r="S7" s="109">
        <f>'NKC2-%'!Z17*100</f>
        <v>0</v>
      </c>
      <c r="T7" s="109">
        <f>'NKC2-%'!AA17*100</f>
        <v>0</v>
      </c>
      <c r="U7" s="109">
        <f>'NKC2-%'!AB17*100</f>
        <v>0</v>
      </c>
      <c r="V7" s="109">
        <f>'NKC2-%'!AC17*100</f>
        <v>0</v>
      </c>
      <c r="W7" s="109">
        <f>'NKC2-%'!AD17*100</f>
        <v>0</v>
      </c>
      <c r="X7" s="109">
        <f>'NKC2-%'!AE17*100</f>
        <v>0</v>
      </c>
      <c r="Y7" s="109">
        <f>'NKC2-%'!AF17*100</f>
        <v>0</v>
      </c>
      <c r="Z7" s="109">
        <f>'NKC2-%'!AG17*100</f>
        <v>0.2849197500815363</v>
      </c>
      <c r="AA7" s="109">
        <f>'NKC2-%'!AH17*100</f>
        <v>0.45587160013045808</v>
      </c>
      <c r="AB7" s="109">
        <f>'NKC2-%'!AI17*100</f>
        <v>0.56983950016307261</v>
      </c>
      <c r="AC7" s="109">
        <f>'NKC2-%'!AJ17*100</f>
        <v>0.85475925024460897</v>
      </c>
      <c r="AD7" s="109">
        <f>'NKC2-%'!AK17*100</f>
        <v>2.2349932654409859</v>
      </c>
      <c r="AE7" s="109">
        <f>'NKC2-%'!AL17*100</f>
        <v>2.5199130155225218</v>
      </c>
      <c r="AF7" s="109">
        <f>'NKC2-%'!AM17*100</f>
        <v>3.1353018780100381</v>
      </c>
      <c r="AG7" s="109">
        <f>'NKC2-%'!AN17*100</f>
        <v>3.8160042145858211</v>
      </c>
      <c r="AH7" s="109">
        <f>'NKC2-%'!AO17*100</f>
        <v>4.626398729619126</v>
      </c>
      <c r="AI7" s="109">
        <f>'NKC2-%'!AP17*100</f>
        <v>5.4401068572388311</v>
      </c>
      <c r="AJ7" s="109">
        <f>'NKC2-%'!AQ17*100</f>
        <v>5.1401197388493847</v>
      </c>
      <c r="AK7" s="109">
        <f>'NKC2-%'!AR17*100</f>
        <v>5.278258326505874</v>
      </c>
      <c r="AL7" s="109">
        <f>'NKC2-%'!AS17*100</f>
        <v>7.5421774320392458</v>
      </c>
      <c r="AM7" s="109">
        <f>'NKC2-%'!AT17*100</f>
        <v>6.8669209427726283</v>
      </c>
      <c r="AN7" s="109">
        <f>'NKC2-%'!AU17*100</f>
        <v>0</v>
      </c>
      <c r="AO7" s="109">
        <f>'NKC2-%'!AV17*100</f>
        <v>0</v>
      </c>
      <c r="AP7" s="109">
        <f>'NKC2-%'!AW17*100</f>
        <v>0</v>
      </c>
      <c r="AQ7" s="109">
        <f>'NKC2-%'!AX17*100</f>
        <v>0</v>
      </c>
      <c r="AR7" s="109">
        <f>'NKC2-%'!AY17*100</f>
        <v>0</v>
      </c>
      <c r="AS7" s="109">
        <f>'NKC2-%'!AZ17*100</f>
        <v>0</v>
      </c>
      <c r="AT7" s="109">
        <f>'NKC2-%'!BA17*100</f>
        <v>0</v>
      </c>
      <c r="AU7" s="109">
        <f>'NKC2-%'!BB17*100</f>
        <v>0</v>
      </c>
      <c r="AV7" s="109">
        <f>'NKC2-%'!BC17*100</f>
        <v>0</v>
      </c>
      <c r="AW7" s="109">
        <f>'NKC2-%'!BD17*100</f>
        <v>0</v>
      </c>
      <c r="AX7" s="109">
        <f>'NKC2-%'!BE17*100</f>
        <v>0</v>
      </c>
      <c r="AY7" s="109">
        <f>'NKC2-%'!BF17*100</f>
        <v>0</v>
      </c>
      <c r="AZ7" s="109">
        <f>'NKC2-%'!BG17*100</f>
        <v>0</v>
      </c>
      <c r="BA7" s="109">
        <f>'NKC2-%'!BH17*100</f>
        <v>0</v>
      </c>
      <c r="BB7" s="109">
        <f>'NKC2-%'!BI17*100</f>
        <v>0</v>
      </c>
      <c r="BC7" s="109">
        <f>'NKC2-%'!BJ17*100</f>
        <v>0</v>
      </c>
      <c r="BD7" s="109">
        <f>'NKC2-%'!BK17*100</f>
        <v>0</v>
      </c>
      <c r="BE7" s="109">
        <f>'NKC2-%'!BL17*100</f>
        <v>0</v>
      </c>
      <c r="BF7" s="109">
        <f>'NKC2-%'!BM17*100</f>
        <v>0</v>
      </c>
      <c r="BG7" s="109">
        <f>'NKC2-%'!BN17*100</f>
        <v>0</v>
      </c>
      <c r="BH7" s="109">
        <f>'NKC2-%'!BO17*100</f>
        <v>0</v>
      </c>
      <c r="BI7" s="109">
        <f>'NKC2-%'!BP17*100</f>
        <v>0</v>
      </c>
      <c r="BJ7" s="109">
        <f>'NKC2-%'!BQ17*100</f>
        <v>0</v>
      </c>
      <c r="BK7" s="109">
        <f>'NKC2-%'!BR17*100</f>
        <v>0</v>
      </c>
      <c r="BL7" s="109">
        <f>'NKC2-%'!BS17*100</f>
        <v>0</v>
      </c>
      <c r="BM7" s="109">
        <f>'NKC2-%'!BT17*100</f>
        <v>0</v>
      </c>
      <c r="BN7" s="109">
        <f>'NKC2-%'!BU17*100</f>
        <v>0</v>
      </c>
      <c r="BO7" s="109">
        <f>'NKC2-%'!BV17*100</f>
        <v>0</v>
      </c>
      <c r="BP7" s="109">
        <f>'NKC2-%'!BW17*100</f>
        <v>0</v>
      </c>
      <c r="BQ7" s="109">
        <f>'NKC2-%'!BX17*100</f>
        <v>0</v>
      </c>
      <c r="BR7" s="109">
        <f>'NKC2-%'!BY17*100</f>
        <v>0</v>
      </c>
      <c r="BS7" s="109">
        <f>'NKC2-%'!BZ17*100</f>
        <v>0</v>
      </c>
      <c r="BT7" s="109">
        <f>'NKC2-%'!CA17*100</f>
        <v>0</v>
      </c>
      <c r="BU7" s="109">
        <f>'NKC2-%'!CB17*100</f>
        <v>0</v>
      </c>
      <c r="BV7" s="109">
        <f>'NKC2-%'!CC17*100</f>
        <v>0</v>
      </c>
      <c r="BW7" s="109">
        <f>'NKC2-%'!CD17*100</f>
        <v>0</v>
      </c>
      <c r="BX7" s="109">
        <f>'NKC2-%'!CE17*100</f>
        <v>0</v>
      </c>
      <c r="BY7" s="109">
        <f>'NKC2-%'!CF17*100</f>
        <v>0</v>
      </c>
      <c r="BZ7" s="109">
        <f>'NKC2-%'!CG17*100</f>
        <v>0</v>
      </c>
      <c r="CA7" s="109">
        <f>'NKC2-%'!CH17*100</f>
        <v>0</v>
      </c>
      <c r="CB7" s="109">
        <f>'NKC2-%'!CI17*100</f>
        <v>0</v>
      </c>
      <c r="CC7" s="109">
        <f>'NKC2-%'!CJ17*100</f>
        <v>0</v>
      </c>
      <c r="CD7" s="109">
        <f>'NKC2-%'!CK17*100</f>
        <v>0</v>
      </c>
      <c r="CE7" s="109">
        <f>'NKC2-%'!CL17*100</f>
        <v>0</v>
      </c>
      <c r="CF7" s="109">
        <f>'NKC2-%'!CM17*100</f>
        <v>0</v>
      </c>
      <c r="CG7" s="109">
        <f>'NKC2-%'!CN17*100</f>
        <v>0</v>
      </c>
      <c r="CH7" s="109">
        <f>'NKC2-%'!CO17*100</f>
        <v>0</v>
      </c>
      <c r="CI7" s="109">
        <f>'NKC2-%'!CP17*100</f>
        <v>0</v>
      </c>
    </row>
    <row r="8" spans="1:87" x14ac:dyDescent="0.45">
      <c r="A8" s="266" t="str">
        <f>'NKC2-%'!B18</f>
        <v>1.2.1</v>
      </c>
      <c r="B8" t="str">
        <f>'NKC2-%'!D18</f>
        <v>Lift</v>
      </c>
      <c r="C8" s="104">
        <f>'NKC2-%'!F18</f>
        <v>1038486.6489</v>
      </c>
      <c r="D8" s="87" t="str">
        <f>'NKC2-%'!G18</f>
        <v>P</v>
      </c>
      <c r="E8" s="109">
        <f>'NKC2-%'!K18*100</f>
        <v>99.999999999999986</v>
      </c>
      <c r="F8" s="109">
        <f>'NKC2-%'!M18*100</f>
        <v>0</v>
      </c>
      <c r="G8" s="109">
        <f>'NKC2-%'!N18*100</f>
        <v>0</v>
      </c>
      <c r="H8" s="109">
        <f>'NKC2-%'!O18*100</f>
        <v>0</v>
      </c>
      <c r="I8" s="109">
        <f>'NKC2-%'!P18*100</f>
        <v>0</v>
      </c>
      <c r="J8" s="109">
        <f>'NKC2-%'!Q18*100</f>
        <v>0</v>
      </c>
      <c r="K8" s="109">
        <f>'NKC2-%'!R18*100</f>
        <v>0</v>
      </c>
      <c r="L8" s="109">
        <f>'NKC2-%'!S18*100</f>
        <v>0</v>
      </c>
      <c r="M8" s="109">
        <f>'NKC2-%'!T18*100</f>
        <v>0</v>
      </c>
      <c r="N8" s="109">
        <f>'NKC2-%'!U18*100</f>
        <v>0</v>
      </c>
      <c r="O8" s="109">
        <f>'NKC2-%'!V18*100</f>
        <v>0</v>
      </c>
      <c r="P8" s="109">
        <f>'NKC2-%'!W18*100</f>
        <v>0</v>
      </c>
      <c r="Q8" s="109">
        <f>'NKC2-%'!X18*100</f>
        <v>0</v>
      </c>
      <c r="R8" s="109">
        <f>'NKC2-%'!Y18*100</f>
        <v>0</v>
      </c>
      <c r="S8" s="109">
        <f>'NKC2-%'!Z18*100</f>
        <v>0</v>
      </c>
      <c r="T8" s="109">
        <f>'NKC2-%'!AA18*100</f>
        <v>0</v>
      </c>
      <c r="U8" s="109">
        <f>'NKC2-%'!AB18*100</f>
        <v>0</v>
      </c>
      <c r="V8" s="109">
        <f>'NKC2-%'!AC18*100</f>
        <v>0</v>
      </c>
      <c r="W8" s="109">
        <f>'NKC2-%'!AD18*100</f>
        <v>0</v>
      </c>
      <c r="X8" s="109">
        <f>'NKC2-%'!AE18*100</f>
        <v>0</v>
      </c>
      <c r="Y8" s="109">
        <f>'NKC2-%'!AF18*100</f>
        <v>0</v>
      </c>
      <c r="Z8" s="109">
        <f>'NKC2-%'!AG18*100</f>
        <v>0</v>
      </c>
      <c r="AA8" s="109">
        <f>'NKC2-%'!AH18*100</f>
        <v>0</v>
      </c>
      <c r="AB8" s="109">
        <f>'NKC2-%'!AI18*100</f>
        <v>0</v>
      </c>
      <c r="AC8" s="109">
        <f>'NKC2-%'!AJ18*100</f>
        <v>0</v>
      </c>
      <c r="AD8" s="109">
        <f>'NKC2-%'!AK18*100</f>
        <v>0</v>
      </c>
      <c r="AE8" s="109">
        <f>'NKC2-%'!AL18*100</f>
        <v>0</v>
      </c>
      <c r="AF8" s="109">
        <f>'NKC2-%'!AM18*100</f>
        <v>5</v>
      </c>
      <c r="AG8" s="109">
        <f>'NKC2-%'!AN18*100</f>
        <v>10</v>
      </c>
      <c r="AH8" s="109">
        <f>'NKC2-%'!AO18*100</f>
        <v>15</v>
      </c>
      <c r="AI8" s="109">
        <f>'NKC2-%'!AP18*100</f>
        <v>20</v>
      </c>
      <c r="AJ8" s="109">
        <f>'NKC2-%'!AQ18*100</f>
        <v>20</v>
      </c>
      <c r="AK8" s="109">
        <f>'NKC2-%'!AR18*100</f>
        <v>10</v>
      </c>
      <c r="AL8" s="109">
        <f>'NKC2-%'!AS18*100</f>
        <v>10</v>
      </c>
      <c r="AM8" s="109">
        <f>'NKC2-%'!AT18*100</f>
        <v>10</v>
      </c>
      <c r="AN8" s="109">
        <f>'NKC2-%'!AU18*100</f>
        <v>0</v>
      </c>
      <c r="AO8" s="109">
        <f>'NKC2-%'!AV18*100</f>
        <v>0</v>
      </c>
      <c r="AP8" s="109">
        <f>'NKC2-%'!AW18*100</f>
        <v>0</v>
      </c>
      <c r="AQ8" s="109">
        <f>'NKC2-%'!AX18*100</f>
        <v>0</v>
      </c>
      <c r="AR8" s="109">
        <f>'NKC2-%'!AY18*100</f>
        <v>0</v>
      </c>
      <c r="AS8" s="109">
        <f>'NKC2-%'!AZ18*100</f>
        <v>0</v>
      </c>
      <c r="AT8" s="109">
        <f>'NKC2-%'!BA18*100</f>
        <v>0</v>
      </c>
      <c r="AU8" s="109">
        <f>'NKC2-%'!BB18*100</f>
        <v>0</v>
      </c>
      <c r="AV8" s="109">
        <f>'NKC2-%'!BC18*100</f>
        <v>0</v>
      </c>
      <c r="AW8" s="109">
        <f>'NKC2-%'!BD18*100</f>
        <v>0</v>
      </c>
      <c r="AX8" s="109">
        <f>'NKC2-%'!BE18*100</f>
        <v>0</v>
      </c>
      <c r="AY8" s="109">
        <f>'NKC2-%'!BF18*100</f>
        <v>0</v>
      </c>
      <c r="AZ8" s="109">
        <f>'NKC2-%'!BG18*100</f>
        <v>0</v>
      </c>
      <c r="BA8" s="109">
        <f>'NKC2-%'!BH18*100</f>
        <v>0</v>
      </c>
      <c r="BB8" s="109">
        <f>'NKC2-%'!BI18*100</f>
        <v>0</v>
      </c>
      <c r="BC8" s="109">
        <f>'NKC2-%'!BJ18*100</f>
        <v>0</v>
      </c>
      <c r="BD8" s="109">
        <f>'NKC2-%'!BK18*100</f>
        <v>0</v>
      </c>
      <c r="BE8" s="109">
        <f>'NKC2-%'!BL18*100</f>
        <v>0</v>
      </c>
      <c r="BF8" s="109">
        <f>'NKC2-%'!BM18*100</f>
        <v>0</v>
      </c>
      <c r="BG8" s="109">
        <f>'NKC2-%'!BN18*100</f>
        <v>0</v>
      </c>
      <c r="BH8" s="109">
        <f>'NKC2-%'!BO18*100</f>
        <v>0</v>
      </c>
      <c r="BI8" s="109">
        <f>'NKC2-%'!BP18*100</f>
        <v>0</v>
      </c>
      <c r="BJ8" s="109">
        <f>'NKC2-%'!BQ18*100</f>
        <v>0</v>
      </c>
      <c r="BK8" s="109">
        <f>'NKC2-%'!BR18*100</f>
        <v>0</v>
      </c>
      <c r="BL8" s="109">
        <f>'NKC2-%'!BS18*100</f>
        <v>0</v>
      </c>
      <c r="BM8" s="109">
        <f>'NKC2-%'!BT18*100</f>
        <v>0</v>
      </c>
      <c r="BN8" s="109">
        <f>'NKC2-%'!BU18*100</f>
        <v>0</v>
      </c>
      <c r="BO8" s="109">
        <f>'NKC2-%'!BV18*100</f>
        <v>0</v>
      </c>
      <c r="BP8" s="109">
        <f>'NKC2-%'!BW18*100</f>
        <v>0</v>
      </c>
      <c r="BQ8" s="109">
        <f>'NKC2-%'!BX18*100</f>
        <v>0</v>
      </c>
      <c r="BR8" s="109">
        <f>'NKC2-%'!BY18*100</f>
        <v>0</v>
      </c>
      <c r="BS8" s="109">
        <f>'NKC2-%'!BZ18*100</f>
        <v>0</v>
      </c>
      <c r="BT8" s="109">
        <f>'NKC2-%'!CA18*100</f>
        <v>0</v>
      </c>
      <c r="BU8" s="109">
        <f>'NKC2-%'!CB18*100</f>
        <v>0</v>
      </c>
      <c r="BV8" s="109">
        <f>'NKC2-%'!CC18*100</f>
        <v>0</v>
      </c>
      <c r="BW8" s="109">
        <f>'NKC2-%'!CD18*100</f>
        <v>0</v>
      </c>
      <c r="BX8" s="109">
        <f>'NKC2-%'!CE18*100</f>
        <v>0</v>
      </c>
      <c r="BY8" s="109">
        <f>'NKC2-%'!CF18*100</f>
        <v>0</v>
      </c>
      <c r="BZ8" s="109">
        <f>'NKC2-%'!CG18*100</f>
        <v>0</v>
      </c>
      <c r="CA8" s="109">
        <f>'NKC2-%'!CH18*100</f>
        <v>0</v>
      </c>
      <c r="CB8" s="109">
        <f>'NKC2-%'!CI18*100</f>
        <v>0</v>
      </c>
      <c r="CC8" s="109">
        <f>'NKC2-%'!CJ18*100</f>
        <v>0</v>
      </c>
      <c r="CD8" s="109">
        <f>'NKC2-%'!CK18*100</f>
        <v>0</v>
      </c>
      <c r="CE8" s="109">
        <f>'NKC2-%'!CL18*100</f>
        <v>0</v>
      </c>
      <c r="CF8" s="109">
        <f>'NKC2-%'!CM18*100</f>
        <v>0</v>
      </c>
      <c r="CG8" s="109">
        <f>'NKC2-%'!CN18*100</f>
        <v>0</v>
      </c>
      <c r="CH8" s="109">
        <f>'NKC2-%'!CO18*100</f>
        <v>0</v>
      </c>
      <c r="CI8" s="109">
        <f>'NKC2-%'!CP18*100</f>
        <v>0</v>
      </c>
    </row>
    <row r="9" spans="1:87" x14ac:dyDescent="0.45">
      <c r="A9" s="266" t="str">
        <f>'NKC2-%'!B19</f>
        <v>1.2.1</v>
      </c>
      <c r="B9" t="str">
        <f>'NKC2-%'!D19</f>
        <v>Lift</v>
      </c>
      <c r="C9" s="104">
        <f>'NKC2-%'!F19</f>
        <v>1038486.6489</v>
      </c>
      <c r="D9" s="87" t="str">
        <f>'NKC2-%'!G19</f>
        <v>A</v>
      </c>
      <c r="E9" s="109">
        <f>'NKC2-%'!K19*100</f>
        <v>48.000000000000007</v>
      </c>
      <c r="F9" s="109">
        <f>'NKC2-%'!M19*100</f>
        <v>0</v>
      </c>
      <c r="G9" s="109">
        <f>'NKC2-%'!N19*100</f>
        <v>0</v>
      </c>
      <c r="H9" s="109">
        <f>'NKC2-%'!O19*100</f>
        <v>0</v>
      </c>
      <c r="I9" s="109">
        <f>'NKC2-%'!P19*100</f>
        <v>0</v>
      </c>
      <c r="J9" s="109">
        <f>'NKC2-%'!Q19*100</f>
        <v>0</v>
      </c>
      <c r="K9" s="109">
        <f>'NKC2-%'!R19*100</f>
        <v>0</v>
      </c>
      <c r="L9" s="109">
        <f>'NKC2-%'!S19*100</f>
        <v>0</v>
      </c>
      <c r="M9" s="109">
        <f>'NKC2-%'!T19*100</f>
        <v>0</v>
      </c>
      <c r="N9" s="109">
        <f>'NKC2-%'!U19*100</f>
        <v>0</v>
      </c>
      <c r="O9" s="109">
        <f>'NKC2-%'!V19*100</f>
        <v>0</v>
      </c>
      <c r="P9" s="109">
        <f>'NKC2-%'!W19*100</f>
        <v>0</v>
      </c>
      <c r="Q9" s="109">
        <f>'NKC2-%'!X19*100</f>
        <v>0</v>
      </c>
      <c r="R9" s="109">
        <f>'NKC2-%'!Y19*100</f>
        <v>0</v>
      </c>
      <c r="S9" s="109">
        <f>'NKC2-%'!Z19*100</f>
        <v>0</v>
      </c>
      <c r="T9" s="109">
        <f>'NKC2-%'!AA19*100</f>
        <v>0</v>
      </c>
      <c r="U9" s="109">
        <f>'NKC2-%'!AB19*100</f>
        <v>0</v>
      </c>
      <c r="V9" s="109">
        <f>'NKC2-%'!AC19*100</f>
        <v>0</v>
      </c>
      <c r="W9" s="109">
        <f>'NKC2-%'!AD19*100</f>
        <v>0</v>
      </c>
      <c r="X9" s="109">
        <f>'NKC2-%'!AE19*100</f>
        <v>0</v>
      </c>
      <c r="Y9" s="109">
        <f>'NKC2-%'!AF19*100</f>
        <v>0</v>
      </c>
      <c r="Z9" s="109">
        <f>'NKC2-%'!AG19*100</f>
        <v>0</v>
      </c>
      <c r="AA9" s="109">
        <f>'NKC2-%'!AH19*100</f>
        <v>0</v>
      </c>
      <c r="AB9" s="109">
        <f>'NKC2-%'!AI19*100</f>
        <v>0</v>
      </c>
      <c r="AC9" s="109">
        <f>'NKC2-%'!AJ19*100</f>
        <v>0</v>
      </c>
      <c r="AD9" s="109">
        <f>'NKC2-%'!AK19*100</f>
        <v>0</v>
      </c>
      <c r="AE9" s="109">
        <f>'NKC2-%'!AL19*100</f>
        <v>0</v>
      </c>
      <c r="AF9" s="109">
        <f>'NKC2-%'!AM19*100</f>
        <v>0</v>
      </c>
      <c r="AG9" s="109">
        <f>'NKC2-%'!AN19*100</f>
        <v>8</v>
      </c>
      <c r="AH9" s="109">
        <f>'NKC2-%'!AO19*100</f>
        <v>8</v>
      </c>
      <c r="AI9" s="109">
        <f>'NKC2-%'!AP19*100</f>
        <v>8</v>
      </c>
      <c r="AJ9" s="109">
        <f>'NKC2-%'!AQ19*100</f>
        <v>8</v>
      </c>
      <c r="AK9" s="109">
        <f>'NKC2-%'!AR19*100</f>
        <v>8</v>
      </c>
      <c r="AL9" s="109">
        <f>'NKC2-%'!AS19*100</f>
        <v>8</v>
      </c>
      <c r="AM9" s="109">
        <f>'NKC2-%'!AT19*100</f>
        <v>0</v>
      </c>
      <c r="AN9" s="109">
        <f>'NKC2-%'!AU19*100</f>
        <v>0</v>
      </c>
      <c r="AO9" s="109">
        <f>'NKC2-%'!AV19*100</f>
        <v>0</v>
      </c>
      <c r="AP9" s="109">
        <f>'NKC2-%'!AW19*100</f>
        <v>0</v>
      </c>
      <c r="AQ9" s="109">
        <f>'NKC2-%'!AX19*100</f>
        <v>0</v>
      </c>
      <c r="AR9" s="109">
        <f>'NKC2-%'!AY19*100</f>
        <v>0</v>
      </c>
      <c r="AS9" s="109">
        <f>'NKC2-%'!AZ19*100</f>
        <v>0</v>
      </c>
      <c r="AT9" s="109">
        <f>'NKC2-%'!BA19*100</f>
        <v>0</v>
      </c>
      <c r="AU9" s="109">
        <f>'NKC2-%'!BB19*100</f>
        <v>0</v>
      </c>
      <c r="AV9" s="109">
        <f>'NKC2-%'!BC19*100</f>
        <v>0</v>
      </c>
      <c r="AW9" s="109">
        <f>'NKC2-%'!BD19*100</f>
        <v>0</v>
      </c>
      <c r="AX9" s="109">
        <f>'NKC2-%'!BE19*100</f>
        <v>0</v>
      </c>
      <c r="AY9" s="109">
        <f>'NKC2-%'!BF19*100</f>
        <v>0</v>
      </c>
      <c r="AZ9" s="109">
        <f>'NKC2-%'!BG19*100</f>
        <v>0</v>
      </c>
      <c r="BA9" s="109">
        <f>'NKC2-%'!BH19*100</f>
        <v>0</v>
      </c>
      <c r="BB9" s="109">
        <f>'NKC2-%'!BI19*100</f>
        <v>0</v>
      </c>
      <c r="BC9" s="109">
        <f>'NKC2-%'!BJ19*100</f>
        <v>0</v>
      </c>
      <c r="BD9" s="109">
        <f>'NKC2-%'!BK19*100</f>
        <v>0</v>
      </c>
      <c r="BE9" s="109">
        <f>'NKC2-%'!BL19*100</f>
        <v>0</v>
      </c>
      <c r="BF9" s="109">
        <f>'NKC2-%'!BM19*100</f>
        <v>0</v>
      </c>
      <c r="BG9" s="109">
        <f>'NKC2-%'!BN19*100</f>
        <v>0</v>
      </c>
      <c r="BH9" s="109">
        <f>'NKC2-%'!BO19*100</f>
        <v>0</v>
      </c>
      <c r="BI9" s="109">
        <f>'NKC2-%'!BP19*100</f>
        <v>0</v>
      </c>
      <c r="BJ9" s="109">
        <f>'NKC2-%'!BQ19*100</f>
        <v>0</v>
      </c>
      <c r="BK9" s="109">
        <f>'NKC2-%'!BR19*100</f>
        <v>0</v>
      </c>
      <c r="BL9" s="109">
        <f>'NKC2-%'!BS19*100</f>
        <v>0</v>
      </c>
      <c r="BM9" s="109">
        <f>'NKC2-%'!BT19*100</f>
        <v>0</v>
      </c>
      <c r="BN9" s="109">
        <f>'NKC2-%'!BU19*100</f>
        <v>0</v>
      </c>
      <c r="BO9" s="109">
        <f>'NKC2-%'!BV19*100</f>
        <v>0</v>
      </c>
      <c r="BP9" s="109">
        <f>'NKC2-%'!BW19*100</f>
        <v>0</v>
      </c>
      <c r="BQ9" s="109">
        <f>'NKC2-%'!BX19*100</f>
        <v>0</v>
      </c>
      <c r="BR9" s="109">
        <f>'NKC2-%'!BY19*100</f>
        <v>0</v>
      </c>
      <c r="BS9" s="109">
        <f>'NKC2-%'!BZ19*100</f>
        <v>0</v>
      </c>
      <c r="BT9" s="109">
        <f>'NKC2-%'!CA19*100</f>
        <v>0</v>
      </c>
      <c r="BU9" s="109">
        <f>'NKC2-%'!CB19*100</f>
        <v>0</v>
      </c>
      <c r="BV9" s="109">
        <f>'NKC2-%'!CC19*100</f>
        <v>0</v>
      </c>
      <c r="BW9" s="109">
        <f>'NKC2-%'!CD19*100</f>
        <v>0</v>
      </c>
      <c r="BX9" s="109">
        <f>'NKC2-%'!CE19*100</f>
        <v>0</v>
      </c>
      <c r="BY9" s="109">
        <f>'NKC2-%'!CF19*100</f>
        <v>0</v>
      </c>
      <c r="BZ9" s="109">
        <f>'NKC2-%'!CG19*100</f>
        <v>0</v>
      </c>
      <c r="CA9" s="109">
        <f>'NKC2-%'!CH19*100</f>
        <v>0</v>
      </c>
      <c r="CB9" s="109">
        <f>'NKC2-%'!CI19*100</f>
        <v>0</v>
      </c>
      <c r="CC9" s="109">
        <f>'NKC2-%'!CJ19*100</f>
        <v>0</v>
      </c>
      <c r="CD9" s="109">
        <f>'NKC2-%'!CK19*100</f>
        <v>0</v>
      </c>
      <c r="CE9" s="109">
        <f>'NKC2-%'!CL19*100</f>
        <v>0</v>
      </c>
      <c r="CF9" s="109">
        <f>'NKC2-%'!CM19*100</f>
        <v>0</v>
      </c>
      <c r="CG9" s="109">
        <f>'NKC2-%'!CN19*100</f>
        <v>0</v>
      </c>
      <c r="CH9" s="109">
        <f>'NKC2-%'!CO19*100</f>
        <v>0</v>
      </c>
      <c r="CI9" s="109">
        <f>'NKC2-%'!CP19*100</f>
        <v>0</v>
      </c>
    </row>
    <row r="10" spans="1:87" x14ac:dyDescent="0.45">
      <c r="A10" s="266" t="str">
        <f>'NKC2-%'!B20</f>
        <v>1.2.2</v>
      </c>
      <c r="B10" t="str">
        <f>'NKC2-%'!D20</f>
        <v>Roof</v>
      </c>
      <c r="C10" s="104">
        <f>'NKC2-%'!F20</f>
        <v>4195354.6218999997</v>
      </c>
      <c r="D10" s="87" t="str">
        <f>'NKC2-%'!G20</f>
        <v>P</v>
      </c>
      <c r="E10" s="109">
        <f>'NKC2-%'!K20*100</f>
        <v>100</v>
      </c>
      <c r="F10" s="109">
        <f>'NKC2-%'!M20*100</f>
        <v>0</v>
      </c>
      <c r="G10" s="109">
        <f>'NKC2-%'!N20*100</f>
        <v>0</v>
      </c>
      <c r="H10" s="109">
        <f>'NKC2-%'!O20*100</f>
        <v>0</v>
      </c>
      <c r="I10" s="109">
        <f>'NKC2-%'!P20*100</f>
        <v>0</v>
      </c>
      <c r="J10" s="109">
        <f>'NKC2-%'!Q20*100</f>
        <v>0</v>
      </c>
      <c r="K10" s="109">
        <f>'NKC2-%'!R20*100</f>
        <v>0</v>
      </c>
      <c r="L10" s="109">
        <f>'NKC2-%'!S20*100</f>
        <v>0</v>
      </c>
      <c r="M10" s="109">
        <f>'NKC2-%'!T20*100</f>
        <v>0</v>
      </c>
      <c r="N10" s="109">
        <f>'NKC2-%'!U20*100</f>
        <v>0</v>
      </c>
      <c r="O10" s="109">
        <f>'NKC2-%'!V20*100</f>
        <v>0</v>
      </c>
      <c r="P10" s="109">
        <f>'NKC2-%'!W20*100</f>
        <v>0</v>
      </c>
      <c r="Q10" s="109">
        <f>'NKC2-%'!X20*100</f>
        <v>0</v>
      </c>
      <c r="R10" s="109">
        <f>'NKC2-%'!Y20*100</f>
        <v>0</v>
      </c>
      <c r="S10" s="109">
        <f>'NKC2-%'!Z20*100</f>
        <v>0</v>
      </c>
      <c r="T10" s="109">
        <f>'NKC2-%'!AA20*100</f>
        <v>0</v>
      </c>
      <c r="U10" s="109">
        <f>'NKC2-%'!AB20*100</f>
        <v>0</v>
      </c>
      <c r="V10" s="109">
        <f>'NKC2-%'!AC20*100</f>
        <v>0</v>
      </c>
      <c r="W10" s="109">
        <f>'NKC2-%'!AD20*100</f>
        <v>0</v>
      </c>
      <c r="X10" s="109">
        <f>'NKC2-%'!AE20*100</f>
        <v>0</v>
      </c>
      <c r="Y10" s="109">
        <f>'NKC2-%'!AF20*100</f>
        <v>0</v>
      </c>
      <c r="Z10" s="109">
        <f>'NKC2-%'!AG20*100</f>
        <v>0</v>
      </c>
      <c r="AA10" s="109">
        <f>'NKC2-%'!AH20*100</f>
        <v>0</v>
      </c>
      <c r="AB10" s="109">
        <f>'NKC2-%'!AI20*100</f>
        <v>0</v>
      </c>
      <c r="AC10" s="109">
        <f>'NKC2-%'!AJ20*100</f>
        <v>0</v>
      </c>
      <c r="AD10" s="109">
        <f>'NKC2-%'!AK20*100</f>
        <v>5</v>
      </c>
      <c r="AE10" s="109">
        <f>'NKC2-%'!AL20*100</f>
        <v>5</v>
      </c>
      <c r="AF10" s="109">
        <f>'NKC2-%'!AM20*100</f>
        <v>5</v>
      </c>
      <c r="AG10" s="109">
        <f>'NKC2-%'!AN20*100</f>
        <v>10</v>
      </c>
      <c r="AH10" s="109">
        <f>'NKC2-%'!AO20*100</f>
        <v>15</v>
      </c>
      <c r="AI10" s="109">
        <f>'NKC2-%'!AP20*100</f>
        <v>15</v>
      </c>
      <c r="AJ10" s="109">
        <f>'NKC2-%'!AQ20*100</f>
        <v>10</v>
      </c>
      <c r="AK10" s="109">
        <f>'NKC2-%'!AR20*100</f>
        <v>10</v>
      </c>
      <c r="AL10" s="109">
        <f>'NKC2-%'!AS20*100</f>
        <v>10</v>
      </c>
      <c r="AM10" s="109">
        <f>'NKC2-%'!AT20*100</f>
        <v>5</v>
      </c>
      <c r="AN10" s="109">
        <f>'NKC2-%'!AU20*100</f>
        <v>5</v>
      </c>
      <c r="AO10" s="109">
        <f>'NKC2-%'!AV20*100</f>
        <v>5</v>
      </c>
      <c r="AP10" s="109">
        <f>'NKC2-%'!AW20*100</f>
        <v>0</v>
      </c>
      <c r="AQ10" s="109">
        <f>'NKC2-%'!AX20*100</f>
        <v>0</v>
      </c>
      <c r="AR10" s="109">
        <f>'NKC2-%'!AY20*100</f>
        <v>0</v>
      </c>
      <c r="AS10" s="109">
        <f>'NKC2-%'!AZ20*100</f>
        <v>0</v>
      </c>
      <c r="AT10" s="109">
        <f>'NKC2-%'!BA20*100</f>
        <v>0</v>
      </c>
      <c r="AU10" s="109">
        <f>'NKC2-%'!BB20*100</f>
        <v>0</v>
      </c>
      <c r="AV10" s="109">
        <f>'NKC2-%'!BC20*100</f>
        <v>0</v>
      </c>
      <c r="AW10" s="109">
        <f>'NKC2-%'!BD20*100</f>
        <v>0</v>
      </c>
      <c r="AX10" s="109">
        <f>'NKC2-%'!BE20*100</f>
        <v>0</v>
      </c>
      <c r="AY10" s="109">
        <f>'NKC2-%'!BF20*100</f>
        <v>0</v>
      </c>
      <c r="AZ10" s="109">
        <f>'NKC2-%'!BG20*100</f>
        <v>0</v>
      </c>
      <c r="BA10" s="109">
        <f>'NKC2-%'!BH20*100</f>
        <v>0</v>
      </c>
      <c r="BB10" s="109">
        <f>'NKC2-%'!BI20*100</f>
        <v>0</v>
      </c>
      <c r="BC10" s="109">
        <f>'NKC2-%'!BJ20*100</f>
        <v>0</v>
      </c>
      <c r="BD10" s="109">
        <f>'NKC2-%'!BK20*100</f>
        <v>0</v>
      </c>
      <c r="BE10" s="109">
        <f>'NKC2-%'!BL20*100</f>
        <v>0</v>
      </c>
      <c r="BF10" s="109">
        <f>'NKC2-%'!BM20*100</f>
        <v>0</v>
      </c>
      <c r="BG10" s="109">
        <f>'NKC2-%'!BN20*100</f>
        <v>0</v>
      </c>
      <c r="BH10" s="109">
        <f>'NKC2-%'!BO20*100</f>
        <v>0</v>
      </c>
      <c r="BI10" s="109">
        <f>'NKC2-%'!BP20*100</f>
        <v>0</v>
      </c>
      <c r="BJ10" s="109">
        <f>'NKC2-%'!BQ20*100</f>
        <v>0</v>
      </c>
      <c r="BK10" s="109">
        <f>'NKC2-%'!BR20*100</f>
        <v>0</v>
      </c>
      <c r="BL10" s="109">
        <f>'NKC2-%'!BS20*100</f>
        <v>0</v>
      </c>
      <c r="BM10" s="109">
        <f>'NKC2-%'!BT20*100</f>
        <v>0</v>
      </c>
      <c r="BN10" s="109">
        <f>'NKC2-%'!BU20*100</f>
        <v>0</v>
      </c>
      <c r="BO10" s="109">
        <f>'NKC2-%'!BV20*100</f>
        <v>0</v>
      </c>
      <c r="BP10" s="109">
        <f>'NKC2-%'!BW20*100</f>
        <v>0</v>
      </c>
      <c r="BQ10" s="109">
        <f>'NKC2-%'!BX20*100</f>
        <v>0</v>
      </c>
      <c r="BR10" s="109">
        <f>'NKC2-%'!BY20*100</f>
        <v>0</v>
      </c>
      <c r="BS10" s="109">
        <f>'NKC2-%'!BZ20*100</f>
        <v>0</v>
      </c>
      <c r="BT10" s="109">
        <f>'NKC2-%'!CA20*100</f>
        <v>0</v>
      </c>
      <c r="BU10" s="109">
        <f>'NKC2-%'!CB20*100</f>
        <v>0</v>
      </c>
      <c r="BV10" s="109">
        <f>'NKC2-%'!CC20*100</f>
        <v>0</v>
      </c>
      <c r="BW10" s="109">
        <f>'NKC2-%'!CD20*100</f>
        <v>0</v>
      </c>
      <c r="BX10" s="109">
        <f>'NKC2-%'!CE20*100</f>
        <v>0</v>
      </c>
      <c r="BY10" s="109">
        <f>'NKC2-%'!CF20*100</f>
        <v>0</v>
      </c>
      <c r="BZ10" s="109">
        <f>'NKC2-%'!CG20*100</f>
        <v>0</v>
      </c>
      <c r="CA10" s="109">
        <f>'NKC2-%'!CH20*100</f>
        <v>0</v>
      </c>
      <c r="CB10" s="109">
        <f>'NKC2-%'!CI20*100</f>
        <v>0</v>
      </c>
      <c r="CC10" s="109">
        <f>'NKC2-%'!CJ20*100</f>
        <v>0</v>
      </c>
      <c r="CD10" s="109">
        <f>'NKC2-%'!CK20*100</f>
        <v>0</v>
      </c>
      <c r="CE10" s="109">
        <f>'NKC2-%'!CL20*100</f>
        <v>0</v>
      </c>
      <c r="CF10" s="109">
        <f>'NKC2-%'!CM20*100</f>
        <v>0</v>
      </c>
      <c r="CG10" s="109">
        <f>'NKC2-%'!CN20*100</f>
        <v>0</v>
      </c>
      <c r="CH10" s="109">
        <f>'NKC2-%'!CO20*100</f>
        <v>0</v>
      </c>
      <c r="CI10" s="109">
        <f>'NKC2-%'!CP20*100</f>
        <v>0</v>
      </c>
    </row>
    <row r="11" spans="1:87" x14ac:dyDescent="0.45">
      <c r="A11" s="266" t="str">
        <f>'NKC2-%'!B21</f>
        <v>1.2.2</v>
      </c>
      <c r="B11" t="str">
        <f>'NKC2-%'!D21</f>
        <v>Roof</v>
      </c>
      <c r="C11" s="104">
        <f>'NKC2-%'!F21</f>
        <v>4195354.6218999997</v>
      </c>
      <c r="D11" s="87" t="str">
        <f>'NKC2-%'!G21</f>
        <v>A</v>
      </c>
      <c r="E11" s="109">
        <f>'NKC2-%'!K21*100</f>
        <v>69</v>
      </c>
      <c r="F11" s="109">
        <f>'NKC2-%'!M21*100</f>
        <v>0</v>
      </c>
      <c r="G11" s="109">
        <f>'NKC2-%'!N21*100</f>
        <v>0</v>
      </c>
      <c r="H11" s="109">
        <f>'NKC2-%'!O21*100</f>
        <v>0</v>
      </c>
      <c r="I11" s="109">
        <f>'NKC2-%'!P21*100</f>
        <v>0</v>
      </c>
      <c r="J11" s="109">
        <f>'NKC2-%'!Q21*100</f>
        <v>0</v>
      </c>
      <c r="K11" s="109">
        <f>'NKC2-%'!R21*100</f>
        <v>0</v>
      </c>
      <c r="L11" s="109">
        <f>'NKC2-%'!S21*100</f>
        <v>0</v>
      </c>
      <c r="M11" s="109">
        <f>'NKC2-%'!T21*100</f>
        <v>0</v>
      </c>
      <c r="N11" s="109">
        <f>'NKC2-%'!U21*100</f>
        <v>0</v>
      </c>
      <c r="O11" s="109">
        <f>'NKC2-%'!V21*100</f>
        <v>0</v>
      </c>
      <c r="P11" s="109">
        <f>'NKC2-%'!W21*100</f>
        <v>0</v>
      </c>
      <c r="Q11" s="109">
        <f>'NKC2-%'!X21*100</f>
        <v>0</v>
      </c>
      <c r="R11" s="109">
        <f>'NKC2-%'!Y21*100</f>
        <v>0</v>
      </c>
      <c r="S11" s="109">
        <f>'NKC2-%'!Z21*100</f>
        <v>0</v>
      </c>
      <c r="T11" s="109">
        <f>'NKC2-%'!AA21*100</f>
        <v>0</v>
      </c>
      <c r="U11" s="109">
        <f>'NKC2-%'!AB21*100</f>
        <v>0</v>
      </c>
      <c r="V11" s="109">
        <f>'NKC2-%'!AC21*100</f>
        <v>0</v>
      </c>
      <c r="W11" s="109">
        <f>'NKC2-%'!AD21*100</f>
        <v>0</v>
      </c>
      <c r="X11" s="109">
        <f>'NKC2-%'!AE21*100</f>
        <v>0</v>
      </c>
      <c r="Y11" s="109">
        <f>'NKC2-%'!AF21*100</f>
        <v>0</v>
      </c>
      <c r="Z11" s="109">
        <f>'NKC2-%'!AG21*100</f>
        <v>0</v>
      </c>
      <c r="AA11" s="109">
        <f>'NKC2-%'!AH21*100</f>
        <v>0</v>
      </c>
      <c r="AB11" s="109">
        <f>'NKC2-%'!AI21*100</f>
        <v>0</v>
      </c>
      <c r="AC11" s="109">
        <f>'NKC2-%'!AJ21*100</f>
        <v>0</v>
      </c>
      <c r="AD11" s="109">
        <f>'NKC2-%'!AK21*100</f>
        <v>0</v>
      </c>
      <c r="AE11" s="109">
        <f>'NKC2-%'!AL21*100</f>
        <v>0</v>
      </c>
      <c r="AF11" s="109">
        <f>'NKC2-%'!AM21*100</f>
        <v>5</v>
      </c>
      <c r="AG11" s="109">
        <f>'NKC2-%'!AN21*100</f>
        <v>7.0000000000000009</v>
      </c>
      <c r="AH11" s="109">
        <f>'NKC2-%'!AO21*100</f>
        <v>7.0000000000000009</v>
      </c>
      <c r="AI11" s="109">
        <f>'NKC2-%'!AP21*100</f>
        <v>10</v>
      </c>
      <c r="AJ11" s="109">
        <f>'NKC2-%'!AQ21*100</f>
        <v>10</v>
      </c>
      <c r="AK11" s="109">
        <f>'NKC2-%'!AR21*100</f>
        <v>10</v>
      </c>
      <c r="AL11" s="109">
        <f>'NKC2-%'!AS21*100</f>
        <v>10</v>
      </c>
      <c r="AM11" s="109">
        <f>'NKC2-%'!AT21*100</f>
        <v>10</v>
      </c>
      <c r="AN11" s="109">
        <f>'NKC2-%'!AU21*100</f>
        <v>0</v>
      </c>
      <c r="AO11" s="109">
        <f>'NKC2-%'!AV21*100</f>
        <v>0</v>
      </c>
      <c r="AP11" s="109">
        <f>'NKC2-%'!AW21*100</f>
        <v>0</v>
      </c>
      <c r="AQ11" s="109">
        <f>'NKC2-%'!AX21*100</f>
        <v>0</v>
      </c>
      <c r="AR11" s="109">
        <f>'NKC2-%'!AY21*100</f>
        <v>0</v>
      </c>
      <c r="AS11" s="109">
        <f>'NKC2-%'!AZ21*100</f>
        <v>0</v>
      </c>
      <c r="AT11" s="109">
        <f>'NKC2-%'!BA21*100</f>
        <v>0</v>
      </c>
      <c r="AU11" s="109">
        <f>'NKC2-%'!BB21*100</f>
        <v>0</v>
      </c>
      <c r="AV11" s="109">
        <f>'NKC2-%'!BC21*100</f>
        <v>0</v>
      </c>
      <c r="AW11" s="109">
        <f>'NKC2-%'!BD21*100</f>
        <v>0</v>
      </c>
      <c r="AX11" s="109">
        <f>'NKC2-%'!BE21*100</f>
        <v>0</v>
      </c>
      <c r="AY11" s="109">
        <f>'NKC2-%'!BF21*100</f>
        <v>0</v>
      </c>
      <c r="AZ11" s="109">
        <f>'NKC2-%'!BG21*100</f>
        <v>0</v>
      </c>
      <c r="BA11" s="109">
        <f>'NKC2-%'!BH21*100</f>
        <v>0</v>
      </c>
      <c r="BB11" s="109">
        <f>'NKC2-%'!BI21*100</f>
        <v>0</v>
      </c>
      <c r="BC11" s="109">
        <f>'NKC2-%'!BJ21*100</f>
        <v>0</v>
      </c>
      <c r="BD11" s="109">
        <f>'NKC2-%'!BK21*100</f>
        <v>0</v>
      </c>
      <c r="BE11" s="109">
        <f>'NKC2-%'!BL21*100</f>
        <v>0</v>
      </c>
      <c r="BF11" s="109">
        <f>'NKC2-%'!BM21*100</f>
        <v>0</v>
      </c>
      <c r="BG11" s="109">
        <f>'NKC2-%'!BN21*100</f>
        <v>0</v>
      </c>
      <c r="BH11" s="109">
        <f>'NKC2-%'!BO21*100</f>
        <v>0</v>
      </c>
      <c r="BI11" s="109">
        <f>'NKC2-%'!BP21*100</f>
        <v>0</v>
      </c>
      <c r="BJ11" s="109">
        <f>'NKC2-%'!BQ21*100</f>
        <v>0</v>
      </c>
      <c r="BK11" s="109">
        <f>'NKC2-%'!BR21*100</f>
        <v>0</v>
      </c>
      <c r="BL11" s="109">
        <f>'NKC2-%'!BS21*100</f>
        <v>0</v>
      </c>
      <c r="BM11" s="109">
        <f>'NKC2-%'!BT21*100</f>
        <v>0</v>
      </c>
      <c r="BN11" s="109">
        <f>'NKC2-%'!BU21*100</f>
        <v>0</v>
      </c>
      <c r="BO11" s="109">
        <f>'NKC2-%'!BV21*100</f>
        <v>0</v>
      </c>
      <c r="BP11" s="109">
        <f>'NKC2-%'!BW21*100</f>
        <v>0</v>
      </c>
      <c r="BQ11" s="109">
        <f>'NKC2-%'!BX21*100</f>
        <v>0</v>
      </c>
      <c r="BR11" s="109">
        <f>'NKC2-%'!BY21*100</f>
        <v>0</v>
      </c>
      <c r="BS11" s="109">
        <f>'NKC2-%'!BZ21*100</f>
        <v>0</v>
      </c>
      <c r="BT11" s="109">
        <f>'NKC2-%'!CA21*100</f>
        <v>0</v>
      </c>
      <c r="BU11" s="109">
        <f>'NKC2-%'!CB21*100</f>
        <v>0</v>
      </c>
      <c r="BV11" s="109">
        <f>'NKC2-%'!CC21*100</f>
        <v>0</v>
      </c>
      <c r="BW11" s="109">
        <f>'NKC2-%'!CD21*100</f>
        <v>0</v>
      </c>
      <c r="BX11" s="109">
        <f>'NKC2-%'!CE21*100</f>
        <v>0</v>
      </c>
      <c r="BY11" s="109">
        <f>'NKC2-%'!CF21*100</f>
        <v>0</v>
      </c>
      <c r="BZ11" s="109">
        <f>'NKC2-%'!CG21*100</f>
        <v>0</v>
      </c>
      <c r="CA11" s="109">
        <f>'NKC2-%'!CH21*100</f>
        <v>0</v>
      </c>
      <c r="CB11" s="109">
        <f>'NKC2-%'!CI21*100</f>
        <v>0</v>
      </c>
      <c r="CC11" s="109">
        <f>'NKC2-%'!CJ21*100</f>
        <v>0</v>
      </c>
      <c r="CD11" s="109">
        <f>'NKC2-%'!CK21*100</f>
        <v>0</v>
      </c>
      <c r="CE11" s="109">
        <f>'NKC2-%'!CL21*100</f>
        <v>0</v>
      </c>
      <c r="CF11" s="109">
        <f>'NKC2-%'!CM21*100</f>
        <v>0</v>
      </c>
      <c r="CG11" s="109">
        <f>'NKC2-%'!CN21*100</f>
        <v>0</v>
      </c>
      <c r="CH11" s="109">
        <f>'NKC2-%'!CO21*100</f>
        <v>0</v>
      </c>
      <c r="CI11" s="109">
        <f>'NKC2-%'!CP21*100</f>
        <v>0</v>
      </c>
    </row>
    <row r="12" spans="1:87" x14ac:dyDescent="0.45">
      <c r="A12" s="266" t="str">
        <f>'NKC2-%'!B22</f>
        <v>1.2.3</v>
      </c>
      <c r="B12" t="str">
        <f>'NKC2-%'!D22</f>
        <v>Roof Level2</v>
      </c>
      <c r="C12" s="104">
        <f>'NKC2-%'!F22</f>
        <v>1034941.9422</v>
      </c>
      <c r="D12" s="87" t="str">
        <f>'NKC2-%'!G22</f>
        <v>P</v>
      </c>
      <c r="E12" s="109">
        <f>'NKC2-%'!K22*100</f>
        <v>100</v>
      </c>
      <c r="F12" s="109">
        <f>'NKC2-%'!M22*100</f>
        <v>0</v>
      </c>
      <c r="G12" s="109">
        <f>'NKC2-%'!N22*100</f>
        <v>0</v>
      </c>
      <c r="H12" s="109">
        <f>'NKC2-%'!O22*100</f>
        <v>0</v>
      </c>
      <c r="I12" s="109">
        <f>'NKC2-%'!P22*100</f>
        <v>0</v>
      </c>
      <c r="J12" s="109">
        <f>'NKC2-%'!Q22*100</f>
        <v>0</v>
      </c>
      <c r="K12" s="109">
        <f>'NKC2-%'!R22*100</f>
        <v>0</v>
      </c>
      <c r="L12" s="109">
        <f>'NKC2-%'!S22*100</f>
        <v>0</v>
      </c>
      <c r="M12" s="109">
        <f>'NKC2-%'!T22*100</f>
        <v>0</v>
      </c>
      <c r="N12" s="109">
        <f>'NKC2-%'!U22*100</f>
        <v>0</v>
      </c>
      <c r="O12" s="109">
        <f>'NKC2-%'!V22*100</f>
        <v>0</v>
      </c>
      <c r="P12" s="109">
        <f>'NKC2-%'!W22*100</f>
        <v>0</v>
      </c>
      <c r="Q12" s="109">
        <f>'NKC2-%'!X22*100</f>
        <v>0</v>
      </c>
      <c r="R12" s="109">
        <f>'NKC2-%'!Y22*100</f>
        <v>0</v>
      </c>
      <c r="S12" s="109">
        <f>'NKC2-%'!Z22*100</f>
        <v>0</v>
      </c>
      <c r="T12" s="109">
        <f>'NKC2-%'!AA22*100</f>
        <v>0</v>
      </c>
      <c r="U12" s="109">
        <f>'NKC2-%'!AB22*100</f>
        <v>0</v>
      </c>
      <c r="V12" s="109">
        <f>'NKC2-%'!AC22*100</f>
        <v>0</v>
      </c>
      <c r="W12" s="109">
        <f>'NKC2-%'!AD22*100</f>
        <v>0</v>
      </c>
      <c r="X12" s="109">
        <f>'NKC2-%'!AE22*100</f>
        <v>0</v>
      </c>
      <c r="Y12" s="109">
        <f>'NKC2-%'!AF22*100</f>
        <v>0</v>
      </c>
      <c r="Z12" s="109">
        <f>'NKC2-%'!AG22*100</f>
        <v>0</v>
      </c>
      <c r="AA12" s="109">
        <f>'NKC2-%'!AH22*100</f>
        <v>0</v>
      </c>
      <c r="AB12" s="109">
        <f>'NKC2-%'!AI22*100</f>
        <v>0</v>
      </c>
      <c r="AC12" s="109">
        <f>'NKC2-%'!AJ22*100</f>
        <v>0</v>
      </c>
      <c r="AD12" s="109">
        <f>'NKC2-%'!AK22*100</f>
        <v>0</v>
      </c>
      <c r="AE12" s="109">
        <f>'NKC2-%'!AL22*100</f>
        <v>0</v>
      </c>
      <c r="AF12" s="109">
        <f>'NKC2-%'!AM22*100</f>
        <v>0</v>
      </c>
      <c r="AG12" s="109">
        <f>'NKC2-%'!AN22*100</f>
        <v>0</v>
      </c>
      <c r="AH12" s="109">
        <f>'NKC2-%'!AO22*100</f>
        <v>0</v>
      </c>
      <c r="AI12" s="109">
        <f>'NKC2-%'!AP22*100</f>
        <v>0</v>
      </c>
      <c r="AJ12" s="109">
        <f>'NKC2-%'!AQ22*100</f>
        <v>0</v>
      </c>
      <c r="AK12" s="109">
        <f>'NKC2-%'!AR22*100</f>
        <v>10</v>
      </c>
      <c r="AL12" s="109">
        <f>'NKC2-%'!AS22*100</f>
        <v>21</v>
      </c>
      <c r="AM12" s="109">
        <f>'NKC2-%'!AT22*100</f>
        <v>25</v>
      </c>
      <c r="AN12" s="109">
        <f>'NKC2-%'!AU22*100</f>
        <v>15</v>
      </c>
      <c r="AO12" s="109">
        <f>'NKC2-%'!AV22*100</f>
        <v>10</v>
      </c>
      <c r="AP12" s="109">
        <f>'NKC2-%'!AW22*100</f>
        <v>10</v>
      </c>
      <c r="AQ12" s="109">
        <f>'NKC2-%'!AX22*100</f>
        <v>9</v>
      </c>
      <c r="AR12" s="109">
        <f>'NKC2-%'!AY22*100</f>
        <v>0</v>
      </c>
      <c r="AS12" s="109">
        <f>'NKC2-%'!AZ22*100</f>
        <v>0</v>
      </c>
      <c r="AT12" s="109">
        <f>'NKC2-%'!BA22*100</f>
        <v>0</v>
      </c>
      <c r="AU12" s="109">
        <f>'NKC2-%'!BB22*100</f>
        <v>0</v>
      </c>
      <c r="AV12" s="109">
        <f>'NKC2-%'!BC22*100</f>
        <v>0</v>
      </c>
      <c r="AW12" s="109">
        <f>'NKC2-%'!BD22*100</f>
        <v>0</v>
      </c>
      <c r="AX12" s="109">
        <f>'NKC2-%'!BE22*100</f>
        <v>0</v>
      </c>
      <c r="AY12" s="109">
        <f>'NKC2-%'!BF22*100</f>
        <v>0</v>
      </c>
      <c r="AZ12" s="109">
        <f>'NKC2-%'!BG22*100</f>
        <v>0</v>
      </c>
      <c r="BA12" s="109">
        <f>'NKC2-%'!BH22*100</f>
        <v>0</v>
      </c>
      <c r="BB12" s="109">
        <f>'NKC2-%'!BI22*100</f>
        <v>0</v>
      </c>
      <c r="BC12" s="109">
        <f>'NKC2-%'!BJ22*100</f>
        <v>0</v>
      </c>
      <c r="BD12" s="109">
        <f>'NKC2-%'!BK22*100</f>
        <v>0</v>
      </c>
      <c r="BE12" s="109">
        <f>'NKC2-%'!BL22*100</f>
        <v>0</v>
      </c>
      <c r="BF12" s="109">
        <f>'NKC2-%'!BM22*100</f>
        <v>0</v>
      </c>
      <c r="BG12" s="109">
        <f>'NKC2-%'!BN22*100</f>
        <v>0</v>
      </c>
      <c r="BH12" s="109">
        <f>'NKC2-%'!BO22*100</f>
        <v>0</v>
      </c>
      <c r="BI12" s="109">
        <f>'NKC2-%'!BP22*100</f>
        <v>0</v>
      </c>
      <c r="BJ12" s="109">
        <f>'NKC2-%'!BQ22*100</f>
        <v>0</v>
      </c>
      <c r="BK12" s="109">
        <f>'NKC2-%'!BR22*100</f>
        <v>0</v>
      </c>
      <c r="BL12" s="109">
        <f>'NKC2-%'!BS22*100</f>
        <v>0</v>
      </c>
      <c r="BM12" s="109">
        <f>'NKC2-%'!BT22*100</f>
        <v>0</v>
      </c>
      <c r="BN12" s="109">
        <f>'NKC2-%'!BU22*100</f>
        <v>0</v>
      </c>
      <c r="BO12" s="109">
        <f>'NKC2-%'!BV22*100</f>
        <v>0</v>
      </c>
      <c r="BP12" s="109">
        <f>'NKC2-%'!BW22*100</f>
        <v>0</v>
      </c>
      <c r="BQ12" s="109">
        <f>'NKC2-%'!BX22*100</f>
        <v>0</v>
      </c>
      <c r="BR12" s="109">
        <f>'NKC2-%'!BY22*100</f>
        <v>0</v>
      </c>
      <c r="BS12" s="109">
        <f>'NKC2-%'!BZ22*100</f>
        <v>0</v>
      </c>
      <c r="BT12" s="109">
        <f>'NKC2-%'!CA22*100</f>
        <v>0</v>
      </c>
      <c r="BU12" s="109">
        <f>'NKC2-%'!CB22*100</f>
        <v>0</v>
      </c>
      <c r="BV12" s="109">
        <f>'NKC2-%'!CC22*100</f>
        <v>0</v>
      </c>
      <c r="BW12" s="109">
        <f>'NKC2-%'!CD22*100</f>
        <v>0</v>
      </c>
      <c r="BX12" s="109">
        <f>'NKC2-%'!CE22*100</f>
        <v>0</v>
      </c>
      <c r="BY12" s="109">
        <f>'NKC2-%'!CF22*100</f>
        <v>0</v>
      </c>
      <c r="BZ12" s="109">
        <f>'NKC2-%'!CG22*100</f>
        <v>0</v>
      </c>
      <c r="CA12" s="109">
        <f>'NKC2-%'!CH22*100</f>
        <v>0</v>
      </c>
      <c r="CB12" s="109">
        <f>'NKC2-%'!CI22*100</f>
        <v>0</v>
      </c>
      <c r="CC12" s="109">
        <f>'NKC2-%'!CJ22*100</f>
        <v>0</v>
      </c>
      <c r="CD12" s="109">
        <f>'NKC2-%'!CK22*100</f>
        <v>0</v>
      </c>
      <c r="CE12" s="109">
        <f>'NKC2-%'!CL22*100</f>
        <v>0</v>
      </c>
      <c r="CF12" s="109">
        <f>'NKC2-%'!CM22*100</f>
        <v>0</v>
      </c>
      <c r="CG12" s="109">
        <f>'NKC2-%'!CN22*100</f>
        <v>0</v>
      </c>
      <c r="CH12" s="109">
        <f>'NKC2-%'!CO22*100</f>
        <v>0</v>
      </c>
      <c r="CI12" s="109">
        <f>'NKC2-%'!CP22*100</f>
        <v>0</v>
      </c>
    </row>
    <row r="13" spans="1:87" x14ac:dyDescent="0.45">
      <c r="A13" s="266" t="str">
        <f>'NKC2-%'!B23</f>
        <v>1.2.3</v>
      </c>
      <c r="B13" t="str">
        <f>'NKC2-%'!D23</f>
        <v>Roof Level2</v>
      </c>
      <c r="C13" s="104">
        <f>'NKC2-%'!F23</f>
        <v>1034941.9422</v>
      </c>
      <c r="D13" s="87" t="str">
        <f>'NKC2-%'!G23</f>
        <v>A</v>
      </c>
      <c r="E13" s="109">
        <f>'NKC2-%'!K23*100</f>
        <v>30</v>
      </c>
      <c r="F13" s="109">
        <f>'NKC2-%'!M23*100</f>
        <v>0</v>
      </c>
      <c r="G13" s="109">
        <f>'NKC2-%'!N23*100</f>
        <v>0</v>
      </c>
      <c r="H13" s="109">
        <f>'NKC2-%'!O23*100</f>
        <v>0</v>
      </c>
      <c r="I13" s="109">
        <f>'NKC2-%'!P23*100</f>
        <v>0</v>
      </c>
      <c r="J13" s="109">
        <f>'NKC2-%'!Q23*100</f>
        <v>0</v>
      </c>
      <c r="K13" s="109">
        <f>'NKC2-%'!R23*100</f>
        <v>0</v>
      </c>
      <c r="L13" s="109">
        <f>'NKC2-%'!S23*100</f>
        <v>0</v>
      </c>
      <c r="M13" s="109">
        <f>'NKC2-%'!T23*100</f>
        <v>0</v>
      </c>
      <c r="N13" s="109">
        <f>'NKC2-%'!U23*100</f>
        <v>0</v>
      </c>
      <c r="O13" s="109">
        <f>'NKC2-%'!V23*100</f>
        <v>0</v>
      </c>
      <c r="P13" s="109">
        <f>'NKC2-%'!W23*100</f>
        <v>0</v>
      </c>
      <c r="Q13" s="109">
        <f>'NKC2-%'!X23*100</f>
        <v>0</v>
      </c>
      <c r="R13" s="109">
        <f>'NKC2-%'!Y23*100</f>
        <v>0</v>
      </c>
      <c r="S13" s="109">
        <f>'NKC2-%'!Z23*100</f>
        <v>0</v>
      </c>
      <c r="T13" s="109">
        <f>'NKC2-%'!AA23*100</f>
        <v>0</v>
      </c>
      <c r="U13" s="109">
        <f>'NKC2-%'!AB23*100</f>
        <v>0</v>
      </c>
      <c r="V13" s="109">
        <f>'NKC2-%'!AC23*100</f>
        <v>0</v>
      </c>
      <c r="W13" s="109">
        <f>'NKC2-%'!AD23*100</f>
        <v>0</v>
      </c>
      <c r="X13" s="109">
        <f>'NKC2-%'!AE23*100</f>
        <v>0</v>
      </c>
      <c r="Y13" s="109">
        <f>'NKC2-%'!AF23*100</f>
        <v>0</v>
      </c>
      <c r="Z13" s="109">
        <f>'NKC2-%'!AG23*100</f>
        <v>0</v>
      </c>
      <c r="AA13" s="109">
        <f>'NKC2-%'!AH23*100</f>
        <v>0</v>
      </c>
      <c r="AB13" s="109">
        <f>'NKC2-%'!AI23*100</f>
        <v>0</v>
      </c>
      <c r="AC13" s="109">
        <f>'NKC2-%'!AJ23*100</f>
        <v>0</v>
      </c>
      <c r="AD13" s="109">
        <f>'NKC2-%'!AK23*100</f>
        <v>0</v>
      </c>
      <c r="AE13" s="109">
        <f>'NKC2-%'!AL23*100</f>
        <v>0</v>
      </c>
      <c r="AF13" s="109">
        <f>'NKC2-%'!AM23*100</f>
        <v>0</v>
      </c>
      <c r="AG13" s="109">
        <f>'NKC2-%'!AN23*100</f>
        <v>0</v>
      </c>
      <c r="AH13" s="109">
        <f>'NKC2-%'!AO23*100</f>
        <v>0</v>
      </c>
      <c r="AI13" s="109">
        <f>'NKC2-%'!AP23*100</f>
        <v>0</v>
      </c>
      <c r="AJ13" s="109">
        <f>'NKC2-%'!AQ23*100</f>
        <v>0</v>
      </c>
      <c r="AK13" s="109">
        <f>'NKC2-%'!AR23*100</f>
        <v>0</v>
      </c>
      <c r="AL13" s="109">
        <f>'NKC2-%'!AS23*100</f>
        <v>15</v>
      </c>
      <c r="AM13" s="109">
        <f>'NKC2-%'!AT23*100</f>
        <v>15</v>
      </c>
      <c r="AN13" s="109">
        <f>'NKC2-%'!AU23*100</f>
        <v>0</v>
      </c>
      <c r="AO13" s="109">
        <f>'NKC2-%'!AV23*100</f>
        <v>0</v>
      </c>
      <c r="AP13" s="109">
        <f>'NKC2-%'!AW23*100</f>
        <v>0</v>
      </c>
      <c r="AQ13" s="109">
        <f>'NKC2-%'!AX23*100</f>
        <v>0</v>
      </c>
      <c r="AR13" s="109">
        <f>'NKC2-%'!AY23*100</f>
        <v>0</v>
      </c>
      <c r="AS13" s="109">
        <f>'NKC2-%'!AZ23*100</f>
        <v>0</v>
      </c>
      <c r="AT13" s="109">
        <f>'NKC2-%'!BA23*100</f>
        <v>0</v>
      </c>
      <c r="AU13" s="109">
        <f>'NKC2-%'!BB23*100</f>
        <v>0</v>
      </c>
      <c r="AV13" s="109">
        <f>'NKC2-%'!BC23*100</f>
        <v>0</v>
      </c>
      <c r="AW13" s="109">
        <f>'NKC2-%'!BD23*100</f>
        <v>0</v>
      </c>
      <c r="AX13" s="109">
        <f>'NKC2-%'!BE23*100</f>
        <v>0</v>
      </c>
      <c r="AY13" s="109">
        <f>'NKC2-%'!BF23*100</f>
        <v>0</v>
      </c>
      <c r="AZ13" s="109">
        <f>'NKC2-%'!BG23*100</f>
        <v>0</v>
      </c>
      <c r="BA13" s="109">
        <f>'NKC2-%'!BH23*100</f>
        <v>0</v>
      </c>
      <c r="BB13" s="109">
        <f>'NKC2-%'!BI23*100</f>
        <v>0</v>
      </c>
      <c r="BC13" s="109">
        <f>'NKC2-%'!BJ23*100</f>
        <v>0</v>
      </c>
      <c r="BD13" s="109">
        <f>'NKC2-%'!BK23*100</f>
        <v>0</v>
      </c>
      <c r="BE13" s="109">
        <f>'NKC2-%'!BL23*100</f>
        <v>0</v>
      </c>
      <c r="BF13" s="109">
        <f>'NKC2-%'!BM23*100</f>
        <v>0</v>
      </c>
      <c r="BG13" s="109">
        <f>'NKC2-%'!BN23*100</f>
        <v>0</v>
      </c>
      <c r="BH13" s="109">
        <f>'NKC2-%'!BO23*100</f>
        <v>0</v>
      </c>
      <c r="BI13" s="109">
        <f>'NKC2-%'!BP23*100</f>
        <v>0</v>
      </c>
      <c r="BJ13" s="109">
        <f>'NKC2-%'!BQ23*100</f>
        <v>0</v>
      </c>
      <c r="BK13" s="109">
        <f>'NKC2-%'!BR23*100</f>
        <v>0</v>
      </c>
      <c r="BL13" s="109">
        <f>'NKC2-%'!BS23*100</f>
        <v>0</v>
      </c>
      <c r="BM13" s="109">
        <f>'NKC2-%'!BT23*100</f>
        <v>0</v>
      </c>
      <c r="BN13" s="109">
        <f>'NKC2-%'!BU23*100</f>
        <v>0</v>
      </c>
      <c r="BO13" s="109">
        <f>'NKC2-%'!BV23*100</f>
        <v>0</v>
      </c>
      <c r="BP13" s="109">
        <f>'NKC2-%'!BW23*100</f>
        <v>0</v>
      </c>
      <c r="BQ13" s="109">
        <f>'NKC2-%'!BX23*100</f>
        <v>0</v>
      </c>
      <c r="BR13" s="109">
        <f>'NKC2-%'!BY23*100</f>
        <v>0</v>
      </c>
      <c r="BS13" s="109">
        <f>'NKC2-%'!BZ23*100</f>
        <v>0</v>
      </c>
      <c r="BT13" s="109">
        <f>'NKC2-%'!CA23*100</f>
        <v>0</v>
      </c>
      <c r="BU13" s="109">
        <f>'NKC2-%'!CB23*100</f>
        <v>0</v>
      </c>
      <c r="BV13" s="109">
        <f>'NKC2-%'!CC23*100</f>
        <v>0</v>
      </c>
      <c r="BW13" s="109">
        <f>'NKC2-%'!CD23*100</f>
        <v>0</v>
      </c>
      <c r="BX13" s="109">
        <f>'NKC2-%'!CE23*100</f>
        <v>0</v>
      </c>
      <c r="BY13" s="109">
        <f>'NKC2-%'!CF23*100</f>
        <v>0</v>
      </c>
      <c r="BZ13" s="109">
        <f>'NKC2-%'!CG23*100</f>
        <v>0</v>
      </c>
      <c r="CA13" s="109">
        <f>'NKC2-%'!CH23*100</f>
        <v>0</v>
      </c>
      <c r="CB13" s="109">
        <f>'NKC2-%'!CI23*100</f>
        <v>0</v>
      </c>
      <c r="CC13" s="109">
        <f>'NKC2-%'!CJ23*100</f>
        <v>0</v>
      </c>
      <c r="CD13" s="109">
        <f>'NKC2-%'!CK23*100</f>
        <v>0</v>
      </c>
      <c r="CE13" s="109">
        <f>'NKC2-%'!CL23*100</f>
        <v>0</v>
      </c>
      <c r="CF13" s="109">
        <f>'NKC2-%'!CM23*100</f>
        <v>0</v>
      </c>
      <c r="CG13" s="109">
        <f>'NKC2-%'!CN23*100</f>
        <v>0</v>
      </c>
      <c r="CH13" s="109">
        <f>'NKC2-%'!CO23*100</f>
        <v>0</v>
      </c>
      <c r="CI13" s="109">
        <f>'NKC2-%'!CP23*100</f>
        <v>0</v>
      </c>
    </row>
    <row r="14" spans="1:87" x14ac:dyDescent="0.45">
      <c r="A14" s="266" t="str">
        <f>'NKC2-%'!B24</f>
        <v>1.2.4</v>
      </c>
      <c r="B14" t="str">
        <f>'NKC2-%'!D24</f>
        <v>Existing Building Repair</v>
      </c>
      <c r="C14" s="104">
        <f>'NKC2-%'!F24</f>
        <v>881401.58600000001</v>
      </c>
      <c r="D14" s="87" t="str">
        <f>'NKC2-%'!G24</f>
        <v>P</v>
      </c>
      <c r="E14" s="109">
        <f>'NKC2-%'!K24*100</f>
        <v>100</v>
      </c>
      <c r="F14" s="109">
        <f>'NKC2-%'!M24*100</f>
        <v>0</v>
      </c>
      <c r="G14" s="109">
        <f>'NKC2-%'!N24*100</f>
        <v>0</v>
      </c>
      <c r="H14" s="109">
        <f>'NKC2-%'!O24*100</f>
        <v>0</v>
      </c>
      <c r="I14" s="109">
        <f>'NKC2-%'!P24*100</f>
        <v>0</v>
      </c>
      <c r="J14" s="109">
        <f>'NKC2-%'!Q24*100</f>
        <v>0</v>
      </c>
      <c r="K14" s="109">
        <f>'NKC2-%'!R24*100</f>
        <v>0</v>
      </c>
      <c r="L14" s="109">
        <f>'NKC2-%'!S24*100</f>
        <v>0</v>
      </c>
      <c r="M14" s="109">
        <f>'NKC2-%'!T24*100</f>
        <v>0</v>
      </c>
      <c r="N14" s="109">
        <f>'NKC2-%'!U24*100</f>
        <v>0</v>
      </c>
      <c r="O14" s="109">
        <f>'NKC2-%'!V24*100</f>
        <v>0</v>
      </c>
      <c r="P14" s="109">
        <f>'NKC2-%'!W24*100</f>
        <v>0</v>
      </c>
      <c r="Q14" s="109">
        <f>'NKC2-%'!X24*100</f>
        <v>0</v>
      </c>
      <c r="R14" s="109">
        <f>'NKC2-%'!Y24*100</f>
        <v>0</v>
      </c>
      <c r="S14" s="109">
        <f>'NKC2-%'!Z24*100</f>
        <v>0</v>
      </c>
      <c r="T14" s="109">
        <f>'NKC2-%'!AA24*100</f>
        <v>0</v>
      </c>
      <c r="U14" s="109">
        <f>'NKC2-%'!AB24*100</f>
        <v>0</v>
      </c>
      <c r="V14" s="109">
        <f>'NKC2-%'!AC24*100</f>
        <v>0</v>
      </c>
      <c r="W14" s="109">
        <f>'NKC2-%'!AD24*100</f>
        <v>0</v>
      </c>
      <c r="X14" s="109">
        <f>'NKC2-%'!AE24*100</f>
        <v>0</v>
      </c>
      <c r="Y14" s="109">
        <f>'NKC2-%'!AF24*100</f>
        <v>0</v>
      </c>
      <c r="Z14" s="109">
        <f>'NKC2-%'!AG24*100</f>
        <v>5</v>
      </c>
      <c r="AA14" s="109">
        <f>'NKC2-%'!AH24*100</f>
        <v>5</v>
      </c>
      <c r="AB14" s="109">
        <f>'NKC2-%'!AI24*100</f>
        <v>5</v>
      </c>
      <c r="AC14" s="109">
        <f>'NKC2-%'!AJ24*100</f>
        <v>10</v>
      </c>
      <c r="AD14" s="109">
        <f>'NKC2-%'!AK24*100</f>
        <v>10</v>
      </c>
      <c r="AE14" s="109">
        <f>'NKC2-%'!AL24*100</f>
        <v>20</v>
      </c>
      <c r="AF14" s="109">
        <f>'NKC2-%'!AM24*100</f>
        <v>20</v>
      </c>
      <c r="AG14" s="109">
        <f>'NKC2-%'!AN24*100</f>
        <v>15</v>
      </c>
      <c r="AH14" s="109">
        <f>'NKC2-%'!AO24*100</f>
        <v>5</v>
      </c>
      <c r="AI14" s="109">
        <f>'NKC2-%'!AP24*100</f>
        <v>5</v>
      </c>
      <c r="AJ14" s="109">
        <f>'NKC2-%'!AQ24*100</f>
        <v>0</v>
      </c>
      <c r="AK14" s="109">
        <f>'NKC2-%'!AR24*100</f>
        <v>0</v>
      </c>
      <c r="AL14" s="109">
        <f>'NKC2-%'!AS24*100</f>
        <v>0</v>
      </c>
      <c r="AM14" s="109">
        <f>'NKC2-%'!AT24*100</f>
        <v>0</v>
      </c>
      <c r="AN14" s="109">
        <f>'NKC2-%'!AU24*100</f>
        <v>0</v>
      </c>
      <c r="AO14" s="109">
        <f>'NKC2-%'!AV24*100</f>
        <v>0</v>
      </c>
      <c r="AP14" s="109">
        <f>'NKC2-%'!AW24*100</f>
        <v>0</v>
      </c>
      <c r="AQ14" s="109">
        <f>'NKC2-%'!AX24*100</f>
        <v>0</v>
      </c>
      <c r="AR14" s="109">
        <f>'NKC2-%'!AY24*100</f>
        <v>0</v>
      </c>
      <c r="AS14" s="109">
        <f>'NKC2-%'!AZ24*100</f>
        <v>0</v>
      </c>
      <c r="AT14" s="109">
        <f>'NKC2-%'!BA24*100</f>
        <v>0</v>
      </c>
      <c r="AU14" s="109">
        <f>'NKC2-%'!BB24*100</f>
        <v>0</v>
      </c>
      <c r="AV14" s="109">
        <f>'NKC2-%'!BC24*100</f>
        <v>0</v>
      </c>
      <c r="AW14" s="109">
        <f>'NKC2-%'!BD24*100</f>
        <v>0</v>
      </c>
      <c r="AX14" s="109">
        <f>'NKC2-%'!BE24*100</f>
        <v>0</v>
      </c>
      <c r="AY14" s="109">
        <f>'NKC2-%'!BF24*100</f>
        <v>0</v>
      </c>
      <c r="AZ14" s="109">
        <f>'NKC2-%'!BG24*100</f>
        <v>0</v>
      </c>
      <c r="BA14" s="109">
        <f>'NKC2-%'!BH24*100</f>
        <v>0</v>
      </c>
      <c r="BB14" s="109">
        <f>'NKC2-%'!BI24*100</f>
        <v>0</v>
      </c>
      <c r="BC14" s="109">
        <f>'NKC2-%'!BJ24*100</f>
        <v>0</v>
      </c>
      <c r="BD14" s="109">
        <f>'NKC2-%'!BK24*100</f>
        <v>0</v>
      </c>
      <c r="BE14" s="109">
        <f>'NKC2-%'!BL24*100</f>
        <v>0</v>
      </c>
      <c r="BF14" s="109">
        <f>'NKC2-%'!BM24*100</f>
        <v>0</v>
      </c>
      <c r="BG14" s="109">
        <f>'NKC2-%'!BN24*100</f>
        <v>0</v>
      </c>
      <c r="BH14" s="109">
        <f>'NKC2-%'!BO24*100</f>
        <v>0</v>
      </c>
      <c r="BI14" s="109">
        <f>'NKC2-%'!BP24*100</f>
        <v>0</v>
      </c>
      <c r="BJ14" s="109">
        <f>'NKC2-%'!BQ24*100</f>
        <v>0</v>
      </c>
      <c r="BK14" s="109">
        <f>'NKC2-%'!BR24*100</f>
        <v>0</v>
      </c>
      <c r="BL14" s="109">
        <f>'NKC2-%'!BS24*100</f>
        <v>0</v>
      </c>
      <c r="BM14" s="109">
        <f>'NKC2-%'!BT24*100</f>
        <v>0</v>
      </c>
      <c r="BN14" s="109">
        <f>'NKC2-%'!BU24*100</f>
        <v>0</v>
      </c>
      <c r="BO14" s="109">
        <f>'NKC2-%'!BV24*100</f>
        <v>0</v>
      </c>
      <c r="BP14" s="109">
        <f>'NKC2-%'!BW24*100</f>
        <v>0</v>
      </c>
      <c r="BQ14" s="109">
        <f>'NKC2-%'!BX24*100</f>
        <v>0</v>
      </c>
      <c r="BR14" s="109">
        <f>'NKC2-%'!BY24*100</f>
        <v>0</v>
      </c>
      <c r="BS14" s="109">
        <f>'NKC2-%'!BZ24*100</f>
        <v>0</v>
      </c>
      <c r="BT14" s="109">
        <f>'NKC2-%'!CA24*100</f>
        <v>0</v>
      </c>
      <c r="BU14" s="109">
        <f>'NKC2-%'!CB24*100</f>
        <v>0</v>
      </c>
      <c r="BV14" s="109">
        <f>'NKC2-%'!CC24*100</f>
        <v>0</v>
      </c>
      <c r="BW14" s="109">
        <f>'NKC2-%'!CD24*100</f>
        <v>0</v>
      </c>
      <c r="BX14" s="109">
        <f>'NKC2-%'!CE24*100</f>
        <v>0</v>
      </c>
      <c r="BY14" s="109">
        <f>'NKC2-%'!CF24*100</f>
        <v>0</v>
      </c>
      <c r="BZ14" s="109">
        <f>'NKC2-%'!CG24*100</f>
        <v>0</v>
      </c>
      <c r="CA14" s="109">
        <f>'NKC2-%'!CH24*100</f>
        <v>0</v>
      </c>
      <c r="CB14" s="109">
        <f>'NKC2-%'!CI24*100</f>
        <v>0</v>
      </c>
      <c r="CC14" s="109">
        <f>'NKC2-%'!CJ24*100</f>
        <v>0</v>
      </c>
      <c r="CD14" s="109">
        <f>'NKC2-%'!CK24*100</f>
        <v>0</v>
      </c>
      <c r="CE14" s="109">
        <f>'NKC2-%'!CL24*100</f>
        <v>0</v>
      </c>
      <c r="CF14" s="109">
        <f>'NKC2-%'!CM24*100</f>
        <v>0</v>
      </c>
      <c r="CG14" s="109">
        <f>'NKC2-%'!CN24*100</f>
        <v>0</v>
      </c>
      <c r="CH14" s="109">
        <f>'NKC2-%'!CO24*100</f>
        <v>0</v>
      </c>
      <c r="CI14" s="109">
        <f>'NKC2-%'!CP24*100</f>
        <v>0</v>
      </c>
    </row>
    <row r="15" spans="1:87" x14ac:dyDescent="0.45">
      <c r="A15" s="266" t="str">
        <f>'NKC2-%'!B25</f>
        <v>1.2.4</v>
      </c>
      <c r="B15" t="str">
        <f>'NKC2-%'!D25</f>
        <v>Existing Building Repair</v>
      </c>
      <c r="C15" s="104">
        <f>'NKC2-%'!F25</f>
        <v>881401.58600000001</v>
      </c>
      <c r="D15" s="87" t="str">
        <f>'NKC2-%'!G25</f>
        <v>A</v>
      </c>
      <c r="E15" s="109">
        <f>'NKC2-%'!K25*100</f>
        <v>100</v>
      </c>
      <c r="F15" s="109">
        <f>'NKC2-%'!M25*100</f>
        <v>0</v>
      </c>
      <c r="G15" s="109">
        <f>'NKC2-%'!N25*100</f>
        <v>0</v>
      </c>
      <c r="H15" s="109">
        <f>'NKC2-%'!O25*100</f>
        <v>0</v>
      </c>
      <c r="I15" s="109">
        <f>'NKC2-%'!P25*100</f>
        <v>0</v>
      </c>
      <c r="J15" s="109">
        <f>'NKC2-%'!Q25*100</f>
        <v>0</v>
      </c>
      <c r="K15" s="109">
        <f>'NKC2-%'!R25*100</f>
        <v>0</v>
      </c>
      <c r="L15" s="109">
        <f>'NKC2-%'!S25*100</f>
        <v>0</v>
      </c>
      <c r="M15" s="109">
        <f>'NKC2-%'!T25*100</f>
        <v>0</v>
      </c>
      <c r="N15" s="109">
        <f>'NKC2-%'!U25*100</f>
        <v>0</v>
      </c>
      <c r="O15" s="109">
        <f>'NKC2-%'!V25*100</f>
        <v>0</v>
      </c>
      <c r="P15" s="109">
        <f>'NKC2-%'!W25*100</f>
        <v>0</v>
      </c>
      <c r="Q15" s="109">
        <f>'NKC2-%'!X25*100</f>
        <v>0</v>
      </c>
      <c r="R15" s="109">
        <f>'NKC2-%'!Y25*100</f>
        <v>0</v>
      </c>
      <c r="S15" s="109">
        <f>'NKC2-%'!Z25*100</f>
        <v>0</v>
      </c>
      <c r="T15" s="109">
        <f>'NKC2-%'!AA25*100</f>
        <v>0</v>
      </c>
      <c r="U15" s="109">
        <f>'NKC2-%'!AB25*100</f>
        <v>0</v>
      </c>
      <c r="V15" s="109">
        <f>'NKC2-%'!AC25*100</f>
        <v>0</v>
      </c>
      <c r="W15" s="109">
        <f>'NKC2-%'!AD25*100</f>
        <v>0</v>
      </c>
      <c r="X15" s="109">
        <f>'NKC2-%'!AE25*100</f>
        <v>0</v>
      </c>
      <c r="Y15" s="109">
        <f>'NKC2-%'!AF25*100</f>
        <v>0</v>
      </c>
      <c r="Z15" s="109">
        <f>'NKC2-%'!AG25*100</f>
        <v>5</v>
      </c>
      <c r="AA15" s="109">
        <f>'NKC2-%'!AH25*100</f>
        <v>8</v>
      </c>
      <c r="AB15" s="109">
        <f>'NKC2-%'!AI25*100</f>
        <v>10</v>
      </c>
      <c r="AC15" s="109">
        <f>'NKC2-%'!AJ25*100</f>
        <v>15</v>
      </c>
      <c r="AD15" s="109">
        <f>'NKC2-%'!AK25*100</f>
        <v>20</v>
      </c>
      <c r="AE15" s="109">
        <f>'NKC2-%'!AL25*100</f>
        <v>25</v>
      </c>
      <c r="AF15" s="109">
        <f>'NKC2-%'!AM25*100</f>
        <v>12</v>
      </c>
      <c r="AG15" s="109">
        <f>'NKC2-%'!AN25*100</f>
        <v>5</v>
      </c>
      <c r="AH15" s="109">
        <f>'NKC2-%'!AO25*100</f>
        <v>0</v>
      </c>
      <c r="AI15" s="109">
        <f>'NKC2-%'!AP25*100</f>
        <v>0</v>
      </c>
      <c r="AJ15" s="109">
        <f>'NKC2-%'!AQ25*100</f>
        <v>0</v>
      </c>
      <c r="AK15" s="109">
        <f>'NKC2-%'!AR25*100</f>
        <v>0</v>
      </c>
      <c r="AL15" s="109">
        <f>'NKC2-%'!AS25*100</f>
        <v>0</v>
      </c>
      <c r="AM15" s="109">
        <f>'NKC2-%'!AT25*100</f>
        <v>0</v>
      </c>
      <c r="AN15" s="109">
        <f>'NKC2-%'!AU25*100</f>
        <v>0</v>
      </c>
      <c r="AO15" s="109">
        <f>'NKC2-%'!AV25*100</f>
        <v>0</v>
      </c>
      <c r="AP15" s="109">
        <f>'NKC2-%'!AW25*100</f>
        <v>0</v>
      </c>
      <c r="AQ15" s="109">
        <f>'NKC2-%'!AX25*100</f>
        <v>0</v>
      </c>
      <c r="AR15" s="109">
        <f>'NKC2-%'!AY25*100</f>
        <v>0</v>
      </c>
      <c r="AS15" s="109">
        <f>'NKC2-%'!AZ25*100</f>
        <v>0</v>
      </c>
      <c r="AT15" s="109">
        <f>'NKC2-%'!BA25*100</f>
        <v>0</v>
      </c>
      <c r="AU15" s="109">
        <f>'NKC2-%'!BB25*100</f>
        <v>0</v>
      </c>
      <c r="AV15" s="109">
        <f>'NKC2-%'!BC25*100</f>
        <v>0</v>
      </c>
      <c r="AW15" s="109">
        <f>'NKC2-%'!BD25*100</f>
        <v>0</v>
      </c>
      <c r="AX15" s="109">
        <f>'NKC2-%'!BE25*100</f>
        <v>0</v>
      </c>
      <c r="AY15" s="109">
        <f>'NKC2-%'!BF25*100</f>
        <v>0</v>
      </c>
      <c r="AZ15" s="109">
        <f>'NKC2-%'!BG25*100</f>
        <v>0</v>
      </c>
      <c r="BA15" s="109">
        <f>'NKC2-%'!BH25*100</f>
        <v>0</v>
      </c>
      <c r="BB15" s="109">
        <f>'NKC2-%'!BI25*100</f>
        <v>0</v>
      </c>
      <c r="BC15" s="109">
        <f>'NKC2-%'!BJ25*100</f>
        <v>0</v>
      </c>
      <c r="BD15" s="109">
        <f>'NKC2-%'!BK25*100</f>
        <v>0</v>
      </c>
      <c r="BE15" s="109">
        <f>'NKC2-%'!BL25*100</f>
        <v>0</v>
      </c>
      <c r="BF15" s="109">
        <f>'NKC2-%'!BM25*100</f>
        <v>0</v>
      </c>
      <c r="BG15" s="109">
        <f>'NKC2-%'!BN25*100</f>
        <v>0</v>
      </c>
      <c r="BH15" s="109">
        <f>'NKC2-%'!BO25*100</f>
        <v>0</v>
      </c>
      <c r="BI15" s="109">
        <f>'NKC2-%'!BP25*100</f>
        <v>0</v>
      </c>
      <c r="BJ15" s="109">
        <f>'NKC2-%'!BQ25*100</f>
        <v>0</v>
      </c>
      <c r="BK15" s="109">
        <f>'NKC2-%'!BR25*100</f>
        <v>0</v>
      </c>
      <c r="BL15" s="109">
        <f>'NKC2-%'!BS25*100</f>
        <v>0</v>
      </c>
      <c r="BM15" s="109">
        <f>'NKC2-%'!BT25*100</f>
        <v>0</v>
      </c>
      <c r="BN15" s="109">
        <f>'NKC2-%'!BU25*100</f>
        <v>0</v>
      </c>
      <c r="BO15" s="109">
        <f>'NKC2-%'!BV25*100</f>
        <v>0</v>
      </c>
      <c r="BP15" s="109">
        <f>'NKC2-%'!BW25*100</f>
        <v>0</v>
      </c>
      <c r="BQ15" s="109">
        <f>'NKC2-%'!BX25*100</f>
        <v>0</v>
      </c>
      <c r="BR15" s="109">
        <f>'NKC2-%'!BY25*100</f>
        <v>0</v>
      </c>
      <c r="BS15" s="109">
        <f>'NKC2-%'!BZ25*100</f>
        <v>0</v>
      </c>
      <c r="BT15" s="109">
        <f>'NKC2-%'!CA25*100</f>
        <v>0</v>
      </c>
      <c r="BU15" s="109">
        <f>'NKC2-%'!CB25*100</f>
        <v>0</v>
      </c>
      <c r="BV15" s="109">
        <f>'NKC2-%'!CC25*100</f>
        <v>0</v>
      </c>
      <c r="BW15" s="109">
        <f>'NKC2-%'!CD25*100</f>
        <v>0</v>
      </c>
      <c r="BX15" s="109">
        <f>'NKC2-%'!CE25*100</f>
        <v>0</v>
      </c>
      <c r="BY15" s="109">
        <f>'NKC2-%'!CF25*100</f>
        <v>0</v>
      </c>
      <c r="BZ15" s="109">
        <f>'NKC2-%'!CG25*100</f>
        <v>0</v>
      </c>
      <c r="CA15" s="109">
        <f>'NKC2-%'!CH25*100</f>
        <v>0</v>
      </c>
      <c r="CB15" s="109">
        <f>'NKC2-%'!CI25*100</f>
        <v>0</v>
      </c>
      <c r="CC15" s="109">
        <f>'NKC2-%'!CJ25*100</f>
        <v>0</v>
      </c>
      <c r="CD15" s="109">
        <f>'NKC2-%'!CK25*100</f>
        <v>0</v>
      </c>
      <c r="CE15" s="109">
        <f>'NKC2-%'!CL25*100</f>
        <v>0</v>
      </c>
      <c r="CF15" s="109">
        <f>'NKC2-%'!CM25*100</f>
        <v>0</v>
      </c>
      <c r="CG15" s="109">
        <f>'NKC2-%'!CN25*100</f>
        <v>0</v>
      </c>
      <c r="CH15" s="109">
        <f>'NKC2-%'!CO25*100</f>
        <v>0</v>
      </c>
      <c r="CI15" s="109">
        <f>'NKC2-%'!CP25*100</f>
        <v>0</v>
      </c>
    </row>
    <row r="16" spans="1:87" x14ac:dyDescent="0.45">
      <c r="A16" s="266" t="str">
        <f>'NKC2-%'!B26</f>
        <v>1.2.5</v>
      </c>
      <c r="B16" t="str">
        <f>'NKC2-%'!D26</f>
        <v>Toilet</v>
      </c>
      <c r="C16" s="104">
        <f>'NKC2-%'!F26</f>
        <v>3388363.6713999999</v>
      </c>
      <c r="D16" s="87" t="str">
        <f>'NKC2-%'!G26</f>
        <v>P</v>
      </c>
      <c r="E16" s="109">
        <f>'NKC2-%'!K26*100</f>
        <v>100</v>
      </c>
      <c r="F16" s="109">
        <f>'NKC2-%'!M26*100</f>
        <v>0</v>
      </c>
      <c r="G16" s="109">
        <f>'NKC2-%'!N26*100</f>
        <v>0</v>
      </c>
      <c r="H16" s="109">
        <f>'NKC2-%'!O26*100</f>
        <v>0</v>
      </c>
      <c r="I16" s="109">
        <f>'NKC2-%'!P26*100</f>
        <v>0</v>
      </c>
      <c r="J16" s="109">
        <f>'NKC2-%'!Q26*100</f>
        <v>0</v>
      </c>
      <c r="K16" s="109">
        <f>'NKC2-%'!R26*100</f>
        <v>0</v>
      </c>
      <c r="L16" s="109">
        <f>'NKC2-%'!S26*100</f>
        <v>0</v>
      </c>
      <c r="M16" s="109">
        <f>'NKC2-%'!T26*100</f>
        <v>0</v>
      </c>
      <c r="N16" s="109">
        <f>'NKC2-%'!U26*100</f>
        <v>0</v>
      </c>
      <c r="O16" s="109">
        <f>'NKC2-%'!V26*100</f>
        <v>0</v>
      </c>
      <c r="P16" s="109">
        <f>'NKC2-%'!W26*100</f>
        <v>0</v>
      </c>
      <c r="Q16" s="109">
        <f>'NKC2-%'!X26*100</f>
        <v>0</v>
      </c>
      <c r="R16" s="109">
        <f>'NKC2-%'!Y26*100</f>
        <v>0</v>
      </c>
      <c r="S16" s="109">
        <f>'NKC2-%'!Z26*100</f>
        <v>0</v>
      </c>
      <c r="T16" s="109">
        <f>'NKC2-%'!AA26*100</f>
        <v>0</v>
      </c>
      <c r="U16" s="109">
        <f>'NKC2-%'!AB26*100</f>
        <v>0</v>
      </c>
      <c r="V16" s="109">
        <f>'NKC2-%'!AC26*100</f>
        <v>0</v>
      </c>
      <c r="W16" s="109">
        <f>'NKC2-%'!AD26*100</f>
        <v>0</v>
      </c>
      <c r="X16" s="109">
        <f>'NKC2-%'!AE26*100</f>
        <v>0</v>
      </c>
      <c r="Y16" s="109">
        <f>'NKC2-%'!AF26*100</f>
        <v>0</v>
      </c>
      <c r="Z16" s="109">
        <f>'NKC2-%'!AG26*100</f>
        <v>0</v>
      </c>
      <c r="AA16" s="109">
        <f>'NKC2-%'!AH26*100</f>
        <v>0</v>
      </c>
      <c r="AB16" s="109">
        <f>'NKC2-%'!AI26*100</f>
        <v>0</v>
      </c>
      <c r="AC16" s="109">
        <f>'NKC2-%'!AJ26*100</f>
        <v>0</v>
      </c>
      <c r="AD16" s="109">
        <f>'NKC2-%'!AK26*100</f>
        <v>5</v>
      </c>
      <c r="AE16" s="109">
        <f>'NKC2-%'!AL26*100</f>
        <v>5</v>
      </c>
      <c r="AF16" s="109">
        <f>'NKC2-%'!AM26*100</f>
        <v>10</v>
      </c>
      <c r="AG16" s="109">
        <f>'NKC2-%'!AN26*100</f>
        <v>10</v>
      </c>
      <c r="AH16" s="109">
        <f>'NKC2-%'!AO26*100</f>
        <v>10</v>
      </c>
      <c r="AI16" s="109">
        <f>'NKC2-%'!AP26*100</f>
        <v>10</v>
      </c>
      <c r="AJ16" s="109">
        <f>'NKC2-%'!AQ26*100</f>
        <v>10</v>
      </c>
      <c r="AK16" s="109">
        <f>'NKC2-%'!AR26*100</f>
        <v>10</v>
      </c>
      <c r="AL16" s="109">
        <f>'NKC2-%'!AS26*100</f>
        <v>10</v>
      </c>
      <c r="AM16" s="109">
        <f>'NKC2-%'!AT26*100</f>
        <v>10</v>
      </c>
      <c r="AN16" s="109">
        <f>'NKC2-%'!AU26*100</f>
        <v>5</v>
      </c>
      <c r="AO16" s="109">
        <f>'NKC2-%'!AV26*100</f>
        <v>5</v>
      </c>
      <c r="AP16" s="109">
        <f>'NKC2-%'!AW26*100</f>
        <v>0</v>
      </c>
      <c r="AQ16" s="109">
        <f>'NKC2-%'!AX26*100</f>
        <v>0</v>
      </c>
      <c r="AR16" s="109">
        <f>'NKC2-%'!AY26*100</f>
        <v>0</v>
      </c>
      <c r="AS16" s="109">
        <f>'NKC2-%'!AZ26*100</f>
        <v>0</v>
      </c>
      <c r="AT16" s="109">
        <f>'NKC2-%'!BA26*100</f>
        <v>0</v>
      </c>
      <c r="AU16" s="109">
        <f>'NKC2-%'!BB26*100</f>
        <v>0</v>
      </c>
      <c r="AV16" s="109">
        <f>'NKC2-%'!BC26*100</f>
        <v>0</v>
      </c>
      <c r="AW16" s="109">
        <f>'NKC2-%'!BD26*100</f>
        <v>0</v>
      </c>
      <c r="AX16" s="109">
        <f>'NKC2-%'!BE26*100</f>
        <v>0</v>
      </c>
      <c r="AY16" s="109">
        <f>'NKC2-%'!BF26*100</f>
        <v>0</v>
      </c>
      <c r="AZ16" s="109">
        <f>'NKC2-%'!BG26*100</f>
        <v>0</v>
      </c>
      <c r="BA16" s="109">
        <f>'NKC2-%'!BH26*100</f>
        <v>0</v>
      </c>
      <c r="BB16" s="109">
        <f>'NKC2-%'!BI26*100</f>
        <v>0</v>
      </c>
      <c r="BC16" s="109">
        <f>'NKC2-%'!BJ26*100</f>
        <v>0</v>
      </c>
      <c r="BD16" s="109">
        <f>'NKC2-%'!BK26*100</f>
        <v>0</v>
      </c>
      <c r="BE16" s="109">
        <f>'NKC2-%'!BL26*100</f>
        <v>0</v>
      </c>
      <c r="BF16" s="109">
        <f>'NKC2-%'!BM26*100</f>
        <v>0</v>
      </c>
      <c r="BG16" s="109">
        <f>'NKC2-%'!BN26*100</f>
        <v>0</v>
      </c>
      <c r="BH16" s="109">
        <f>'NKC2-%'!BO26*100</f>
        <v>0</v>
      </c>
      <c r="BI16" s="109">
        <f>'NKC2-%'!BP26*100</f>
        <v>0</v>
      </c>
      <c r="BJ16" s="109">
        <f>'NKC2-%'!BQ26*100</f>
        <v>0</v>
      </c>
      <c r="BK16" s="109">
        <f>'NKC2-%'!BR26*100</f>
        <v>0</v>
      </c>
      <c r="BL16" s="109">
        <f>'NKC2-%'!BS26*100</f>
        <v>0</v>
      </c>
      <c r="BM16" s="109">
        <f>'NKC2-%'!BT26*100</f>
        <v>0</v>
      </c>
      <c r="BN16" s="109">
        <f>'NKC2-%'!BU26*100</f>
        <v>0</v>
      </c>
      <c r="BO16" s="109">
        <f>'NKC2-%'!BV26*100</f>
        <v>0</v>
      </c>
      <c r="BP16" s="109">
        <f>'NKC2-%'!BW26*100</f>
        <v>0</v>
      </c>
      <c r="BQ16" s="109">
        <f>'NKC2-%'!BX26*100</f>
        <v>0</v>
      </c>
      <c r="BR16" s="109">
        <f>'NKC2-%'!BY26*100</f>
        <v>0</v>
      </c>
      <c r="BS16" s="109">
        <f>'NKC2-%'!BZ26*100</f>
        <v>0</v>
      </c>
      <c r="BT16" s="109">
        <f>'NKC2-%'!CA26*100</f>
        <v>0</v>
      </c>
      <c r="BU16" s="109">
        <f>'NKC2-%'!CB26*100</f>
        <v>0</v>
      </c>
      <c r="BV16" s="109">
        <f>'NKC2-%'!CC26*100</f>
        <v>0</v>
      </c>
      <c r="BW16" s="109">
        <f>'NKC2-%'!CD26*100</f>
        <v>0</v>
      </c>
      <c r="BX16" s="109">
        <f>'NKC2-%'!CE26*100</f>
        <v>0</v>
      </c>
      <c r="BY16" s="109">
        <f>'NKC2-%'!CF26*100</f>
        <v>0</v>
      </c>
      <c r="BZ16" s="109">
        <f>'NKC2-%'!CG26*100</f>
        <v>0</v>
      </c>
      <c r="CA16" s="109">
        <f>'NKC2-%'!CH26*100</f>
        <v>0</v>
      </c>
      <c r="CB16" s="109">
        <f>'NKC2-%'!CI26*100</f>
        <v>0</v>
      </c>
      <c r="CC16" s="109">
        <f>'NKC2-%'!CJ26*100</f>
        <v>0</v>
      </c>
      <c r="CD16" s="109">
        <f>'NKC2-%'!CK26*100</f>
        <v>0</v>
      </c>
      <c r="CE16" s="109">
        <f>'NKC2-%'!CL26*100</f>
        <v>0</v>
      </c>
      <c r="CF16" s="109">
        <f>'NKC2-%'!CM26*100</f>
        <v>0</v>
      </c>
      <c r="CG16" s="109">
        <f>'NKC2-%'!CN26*100</f>
        <v>0</v>
      </c>
      <c r="CH16" s="109">
        <f>'NKC2-%'!CO26*100</f>
        <v>0</v>
      </c>
      <c r="CI16" s="109">
        <f>'NKC2-%'!CP26*100</f>
        <v>0</v>
      </c>
    </row>
    <row r="17" spans="1:87" x14ac:dyDescent="0.45">
      <c r="A17" s="266" t="str">
        <f>'NKC2-%'!B27</f>
        <v>1.2.5</v>
      </c>
      <c r="B17" t="str">
        <f>'NKC2-%'!D27</f>
        <v>Toilet</v>
      </c>
      <c r="C17" s="104">
        <f>'NKC2-%'!F27</f>
        <v>3388363.6713999999</v>
      </c>
      <c r="D17" s="87" t="str">
        <f>'NKC2-%'!G27</f>
        <v>A</v>
      </c>
      <c r="E17" s="109">
        <f>'NKC2-%'!K27*100</f>
        <v>72</v>
      </c>
      <c r="F17" s="109">
        <f>'NKC2-%'!M27*100</f>
        <v>0</v>
      </c>
      <c r="G17" s="109">
        <f>'NKC2-%'!N27*100</f>
        <v>0</v>
      </c>
      <c r="H17" s="109">
        <f>'NKC2-%'!O27*100</f>
        <v>0</v>
      </c>
      <c r="I17" s="109">
        <f>'NKC2-%'!P27*100</f>
        <v>0</v>
      </c>
      <c r="J17" s="109">
        <f>'NKC2-%'!Q27*100</f>
        <v>0</v>
      </c>
      <c r="K17" s="109">
        <f>'NKC2-%'!R27*100</f>
        <v>0</v>
      </c>
      <c r="L17" s="109">
        <f>'NKC2-%'!S27*100</f>
        <v>0</v>
      </c>
      <c r="M17" s="109">
        <f>'NKC2-%'!T27*100</f>
        <v>0</v>
      </c>
      <c r="N17" s="109">
        <f>'NKC2-%'!U27*100</f>
        <v>0</v>
      </c>
      <c r="O17" s="109">
        <f>'NKC2-%'!V27*100</f>
        <v>0</v>
      </c>
      <c r="P17" s="109">
        <f>'NKC2-%'!W27*100</f>
        <v>0</v>
      </c>
      <c r="Q17" s="109">
        <f>'NKC2-%'!X27*100</f>
        <v>0</v>
      </c>
      <c r="R17" s="109">
        <f>'NKC2-%'!Y27*100</f>
        <v>0</v>
      </c>
      <c r="S17" s="109">
        <f>'NKC2-%'!Z27*100</f>
        <v>0</v>
      </c>
      <c r="T17" s="109">
        <f>'NKC2-%'!AA27*100</f>
        <v>0</v>
      </c>
      <c r="U17" s="109">
        <f>'NKC2-%'!AB27*100</f>
        <v>0</v>
      </c>
      <c r="V17" s="109">
        <f>'NKC2-%'!AC27*100</f>
        <v>0</v>
      </c>
      <c r="W17" s="109">
        <f>'NKC2-%'!AD27*100</f>
        <v>0</v>
      </c>
      <c r="X17" s="109">
        <f>'NKC2-%'!AE27*100</f>
        <v>0</v>
      </c>
      <c r="Y17" s="109">
        <f>'NKC2-%'!AF27*100</f>
        <v>0</v>
      </c>
      <c r="Z17" s="109">
        <f>'NKC2-%'!AG27*100</f>
        <v>0</v>
      </c>
      <c r="AA17" s="109">
        <f>'NKC2-%'!AH27*100</f>
        <v>0</v>
      </c>
      <c r="AB17" s="109">
        <f>'NKC2-%'!AI27*100</f>
        <v>0</v>
      </c>
      <c r="AC17" s="109">
        <f>'NKC2-%'!AJ27*100</f>
        <v>0</v>
      </c>
      <c r="AD17" s="109">
        <f>'NKC2-%'!AK27*100</f>
        <v>5</v>
      </c>
      <c r="AE17" s="109">
        <f>'NKC2-%'!AL27*100</f>
        <v>5</v>
      </c>
      <c r="AF17" s="109">
        <f>'NKC2-%'!AM27*100</f>
        <v>5</v>
      </c>
      <c r="AG17" s="109">
        <f>'NKC2-%'!AN27*100</f>
        <v>5</v>
      </c>
      <c r="AH17" s="109">
        <f>'NKC2-%'!AO27*100</f>
        <v>10</v>
      </c>
      <c r="AI17" s="109">
        <f>'NKC2-%'!AP27*100</f>
        <v>10</v>
      </c>
      <c r="AJ17" s="109">
        <f>'NKC2-%'!AQ27*100</f>
        <v>8</v>
      </c>
      <c r="AK17" s="109">
        <f>'NKC2-%'!AR27*100</f>
        <v>8</v>
      </c>
      <c r="AL17" s="109">
        <f>'NKC2-%'!AS27*100</f>
        <v>8</v>
      </c>
      <c r="AM17" s="109">
        <f>'NKC2-%'!AT27*100</f>
        <v>8</v>
      </c>
      <c r="AN17" s="109">
        <f>'NKC2-%'!AU27*100</f>
        <v>0</v>
      </c>
      <c r="AO17" s="109">
        <f>'NKC2-%'!AV27*100</f>
        <v>0</v>
      </c>
      <c r="AP17" s="109">
        <f>'NKC2-%'!AW27*100</f>
        <v>0</v>
      </c>
      <c r="AQ17" s="109">
        <f>'NKC2-%'!AX27*100</f>
        <v>0</v>
      </c>
      <c r="AR17" s="109">
        <f>'NKC2-%'!AY27*100</f>
        <v>0</v>
      </c>
      <c r="AS17" s="109">
        <f>'NKC2-%'!AZ27*100</f>
        <v>0</v>
      </c>
      <c r="AT17" s="109">
        <f>'NKC2-%'!BA27*100</f>
        <v>0</v>
      </c>
      <c r="AU17" s="109">
        <f>'NKC2-%'!BB27*100</f>
        <v>0</v>
      </c>
      <c r="AV17" s="109">
        <f>'NKC2-%'!BC27*100</f>
        <v>0</v>
      </c>
      <c r="AW17" s="109">
        <f>'NKC2-%'!BD27*100</f>
        <v>0</v>
      </c>
      <c r="AX17" s="109">
        <f>'NKC2-%'!BE27*100</f>
        <v>0</v>
      </c>
      <c r="AY17" s="109">
        <f>'NKC2-%'!BF27*100</f>
        <v>0</v>
      </c>
      <c r="AZ17" s="109">
        <f>'NKC2-%'!BG27*100</f>
        <v>0</v>
      </c>
      <c r="BA17" s="109">
        <f>'NKC2-%'!BH27*100</f>
        <v>0</v>
      </c>
      <c r="BB17" s="109">
        <f>'NKC2-%'!BI27*100</f>
        <v>0</v>
      </c>
      <c r="BC17" s="109">
        <f>'NKC2-%'!BJ27*100</f>
        <v>0</v>
      </c>
      <c r="BD17" s="109">
        <f>'NKC2-%'!BK27*100</f>
        <v>0</v>
      </c>
      <c r="BE17" s="109">
        <f>'NKC2-%'!BL27*100</f>
        <v>0</v>
      </c>
      <c r="BF17" s="109">
        <f>'NKC2-%'!BM27*100</f>
        <v>0</v>
      </c>
      <c r="BG17" s="109">
        <f>'NKC2-%'!BN27*100</f>
        <v>0</v>
      </c>
      <c r="BH17" s="109">
        <f>'NKC2-%'!BO27*100</f>
        <v>0</v>
      </c>
      <c r="BI17" s="109">
        <f>'NKC2-%'!BP27*100</f>
        <v>0</v>
      </c>
      <c r="BJ17" s="109">
        <f>'NKC2-%'!BQ27*100</f>
        <v>0</v>
      </c>
      <c r="BK17" s="109">
        <f>'NKC2-%'!BR27*100</f>
        <v>0</v>
      </c>
      <c r="BL17" s="109">
        <f>'NKC2-%'!BS27*100</f>
        <v>0</v>
      </c>
      <c r="BM17" s="109">
        <f>'NKC2-%'!BT27*100</f>
        <v>0</v>
      </c>
      <c r="BN17" s="109">
        <f>'NKC2-%'!BU27*100</f>
        <v>0</v>
      </c>
      <c r="BO17" s="109">
        <f>'NKC2-%'!BV27*100</f>
        <v>0</v>
      </c>
      <c r="BP17" s="109">
        <f>'NKC2-%'!BW27*100</f>
        <v>0</v>
      </c>
      <c r="BQ17" s="109">
        <f>'NKC2-%'!BX27*100</f>
        <v>0</v>
      </c>
      <c r="BR17" s="109">
        <f>'NKC2-%'!BY27*100</f>
        <v>0</v>
      </c>
      <c r="BS17" s="109">
        <f>'NKC2-%'!BZ27*100</f>
        <v>0</v>
      </c>
      <c r="BT17" s="109">
        <f>'NKC2-%'!CA27*100</f>
        <v>0</v>
      </c>
      <c r="BU17" s="109">
        <f>'NKC2-%'!CB27*100</f>
        <v>0</v>
      </c>
      <c r="BV17" s="109">
        <f>'NKC2-%'!CC27*100</f>
        <v>0</v>
      </c>
      <c r="BW17" s="109">
        <f>'NKC2-%'!CD27*100</f>
        <v>0</v>
      </c>
      <c r="BX17" s="109">
        <f>'NKC2-%'!CE27*100</f>
        <v>0</v>
      </c>
      <c r="BY17" s="109">
        <f>'NKC2-%'!CF27*100</f>
        <v>0</v>
      </c>
      <c r="BZ17" s="109">
        <f>'NKC2-%'!CG27*100</f>
        <v>0</v>
      </c>
      <c r="CA17" s="109">
        <f>'NKC2-%'!CH27*100</f>
        <v>0</v>
      </c>
      <c r="CB17" s="109">
        <f>'NKC2-%'!CI27*100</f>
        <v>0</v>
      </c>
      <c r="CC17" s="109">
        <f>'NKC2-%'!CJ27*100</f>
        <v>0</v>
      </c>
      <c r="CD17" s="109">
        <f>'NKC2-%'!CK27*100</f>
        <v>0</v>
      </c>
      <c r="CE17" s="109">
        <f>'NKC2-%'!CL27*100</f>
        <v>0</v>
      </c>
      <c r="CF17" s="109">
        <f>'NKC2-%'!CM27*100</f>
        <v>0</v>
      </c>
      <c r="CG17" s="109">
        <f>'NKC2-%'!CN27*100</f>
        <v>0</v>
      </c>
      <c r="CH17" s="109">
        <f>'NKC2-%'!CO27*100</f>
        <v>0</v>
      </c>
      <c r="CI17" s="109">
        <f>'NKC2-%'!CP27*100</f>
        <v>0</v>
      </c>
    </row>
    <row r="18" spans="1:87" x14ac:dyDescent="0.45">
      <c r="A18" s="266" t="str">
        <f>'NKC2-%'!B28</f>
        <v>1.2.6</v>
      </c>
      <c r="B18" t="str">
        <f>'NKC2-%'!D28</f>
        <v>Mezzanine</v>
      </c>
      <c r="C18" s="104">
        <f>'NKC2-%'!F28</f>
        <v>3778708.0174000002</v>
      </c>
      <c r="D18" s="87" t="str">
        <f>'NKC2-%'!G28</f>
        <v>P</v>
      </c>
      <c r="E18" s="109">
        <f>'NKC2-%'!K28*100</f>
        <v>100.00000000000003</v>
      </c>
      <c r="F18" s="109">
        <f>'NKC2-%'!M28*100</f>
        <v>0</v>
      </c>
      <c r="G18" s="109">
        <f>'NKC2-%'!N28*100</f>
        <v>0</v>
      </c>
      <c r="H18" s="109">
        <f>'NKC2-%'!O28*100</f>
        <v>0</v>
      </c>
      <c r="I18" s="109">
        <f>'NKC2-%'!P28*100</f>
        <v>0</v>
      </c>
      <c r="J18" s="109">
        <f>'NKC2-%'!Q28*100</f>
        <v>0</v>
      </c>
      <c r="K18" s="109">
        <f>'NKC2-%'!R28*100</f>
        <v>0</v>
      </c>
      <c r="L18" s="109">
        <f>'NKC2-%'!S28*100</f>
        <v>0</v>
      </c>
      <c r="M18" s="109">
        <f>'NKC2-%'!T28*100</f>
        <v>0</v>
      </c>
      <c r="N18" s="109">
        <f>'NKC2-%'!U28*100</f>
        <v>0</v>
      </c>
      <c r="O18" s="109">
        <f>'NKC2-%'!V28*100</f>
        <v>0</v>
      </c>
      <c r="P18" s="109">
        <f>'NKC2-%'!W28*100</f>
        <v>0</v>
      </c>
      <c r="Q18" s="109">
        <f>'NKC2-%'!X28*100</f>
        <v>0</v>
      </c>
      <c r="R18" s="109">
        <f>'NKC2-%'!Y28*100</f>
        <v>0</v>
      </c>
      <c r="S18" s="109">
        <f>'NKC2-%'!Z28*100</f>
        <v>0</v>
      </c>
      <c r="T18" s="109">
        <f>'NKC2-%'!AA28*100</f>
        <v>0</v>
      </c>
      <c r="U18" s="109">
        <f>'NKC2-%'!AB28*100</f>
        <v>0</v>
      </c>
      <c r="V18" s="109">
        <f>'NKC2-%'!AC28*100</f>
        <v>0</v>
      </c>
      <c r="W18" s="109">
        <f>'NKC2-%'!AD28*100</f>
        <v>0</v>
      </c>
      <c r="X18" s="109">
        <f>'NKC2-%'!AE28*100</f>
        <v>0</v>
      </c>
      <c r="Y18" s="109">
        <f>'NKC2-%'!AF28*100</f>
        <v>0</v>
      </c>
      <c r="Z18" s="109">
        <f>'NKC2-%'!AG28*100</f>
        <v>0</v>
      </c>
      <c r="AA18" s="109">
        <f>'NKC2-%'!AH28*100</f>
        <v>0</v>
      </c>
      <c r="AB18" s="109">
        <f>'NKC2-%'!AI28*100</f>
        <v>0</v>
      </c>
      <c r="AC18" s="109">
        <f>'NKC2-%'!AJ28*100</f>
        <v>0</v>
      </c>
      <c r="AD18" s="109">
        <f>'NKC2-%'!AK28*100</f>
        <v>0</v>
      </c>
      <c r="AE18" s="109">
        <f>'NKC2-%'!AL28*100</f>
        <v>0</v>
      </c>
      <c r="AF18" s="109">
        <f>'NKC2-%'!AM28*100</f>
        <v>0</v>
      </c>
      <c r="AG18" s="109">
        <f>'NKC2-%'!AN28*100</f>
        <v>0</v>
      </c>
      <c r="AH18" s="109">
        <f>'NKC2-%'!AO28*100</f>
        <v>0</v>
      </c>
      <c r="AI18" s="109">
        <f>'NKC2-%'!AP28*100</f>
        <v>0</v>
      </c>
      <c r="AJ18" s="109">
        <f>'NKC2-%'!AQ28*100</f>
        <v>5</v>
      </c>
      <c r="AK18" s="109">
        <f>'NKC2-%'!AR28*100</f>
        <v>5</v>
      </c>
      <c r="AL18" s="109">
        <f>'NKC2-%'!AS28*100</f>
        <v>5</v>
      </c>
      <c r="AM18" s="109">
        <f>'NKC2-%'!AT28*100</f>
        <v>5</v>
      </c>
      <c r="AN18" s="109">
        <f>'NKC2-%'!AU28*100</f>
        <v>15</v>
      </c>
      <c r="AO18" s="109">
        <f>'NKC2-%'!AV28*100</f>
        <v>20</v>
      </c>
      <c r="AP18" s="109">
        <f>'NKC2-%'!AW28*100</f>
        <v>10</v>
      </c>
      <c r="AQ18" s="109">
        <f>'NKC2-%'!AX28*100</f>
        <v>10</v>
      </c>
      <c r="AR18" s="109">
        <f>'NKC2-%'!AY28*100</f>
        <v>7.0000000000000009</v>
      </c>
      <c r="AS18" s="109">
        <f>'NKC2-%'!AZ28*100</f>
        <v>5</v>
      </c>
      <c r="AT18" s="109">
        <f>'NKC2-%'!BA28*100</f>
        <v>5</v>
      </c>
      <c r="AU18" s="109">
        <f>'NKC2-%'!BB28*100</f>
        <v>5</v>
      </c>
      <c r="AV18" s="109">
        <f>'NKC2-%'!BC28*100</f>
        <v>3</v>
      </c>
      <c r="AW18" s="109">
        <f>'NKC2-%'!BD28*100</f>
        <v>0</v>
      </c>
      <c r="AX18" s="109">
        <f>'NKC2-%'!BE28*100</f>
        <v>0</v>
      </c>
      <c r="AY18" s="109">
        <f>'NKC2-%'!BF28*100</f>
        <v>0</v>
      </c>
      <c r="AZ18" s="109">
        <f>'NKC2-%'!BG28*100</f>
        <v>0</v>
      </c>
      <c r="BA18" s="109">
        <f>'NKC2-%'!BH28*100</f>
        <v>0</v>
      </c>
      <c r="BB18" s="109">
        <f>'NKC2-%'!BI28*100</f>
        <v>0</v>
      </c>
      <c r="BC18" s="109">
        <f>'NKC2-%'!BJ28*100</f>
        <v>0</v>
      </c>
      <c r="BD18" s="109">
        <f>'NKC2-%'!BK28*100</f>
        <v>0</v>
      </c>
      <c r="BE18" s="109">
        <f>'NKC2-%'!BL28*100</f>
        <v>0</v>
      </c>
      <c r="BF18" s="109">
        <f>'NKC2-%'!BM28*100</f>
        <v>0</v>
      </c>
      <c r="BG18" s="109">
        <f>'NKC2-%'!BN28*100</f>
        <v>0</v>
      </c>
      <c r="BH18" s="109">
        <f>'NKC2-%'!BO28*100</f>
        <v>0</v>
      </c>
      <c r="BI18" s="109">
        <f>'NKC2-%'!BP28*100</f>
        <v>0</v>
      </c>
      <c r="BJ18" s="109">
        <f>'NKC2-%'!BQ28*100</f>
        <v>0</v>
      </c>
      <c r="BK18" s="109">
        <f>'NKC2-%'!BR28*100</f>
        <v>0</v>
      </c>
      <c r="BL18" s="109">
        <f>'NKC2-%'!BS28*100</f>
        <v>0</v>
      </c>
      <c r="BM18" s="109">
        <f>'NKC2-%'!BT28*100</f>
        <v>0</v>
      </c>
      <c r="BN18" s="109">
        <f>'NKC2-%'!BU28*100</f>
        <v>0</v>
      </c>
      <c r="BO18" s="109">
        <f>'NKC2-%'!BV28*100</f>
        <v>0</v>
      </c>
      <c r="BP18" s="109">
        <f>'NKC2-%'!BW28*100</f>
        <v>0</v>
      </c>
      <c r="BQ18" s="109">
        <f>'NKC2-%'!BX28*100</f>
        <v>0</v>
      </c>
      <c r="BR18" s="109">
        <f>'NKC2-%'!BY28*100</f>
        <v>0</v>
      </c>
      <c r="BS18" s="109">
        <f>'NKC2-%'!BZ28*100</f>
        <v>0</v>
      </c>
      <c r="BT18" s="109">
        <f>'NKC2-%'!CA28*100</f>
        <v>0</v>
      </c>
      <c r="BU18" s="109">
        <f>'NKC2-%'!CB28*100</f>
        <v>0</v>
      </c>
      <c r="BV18" s="109">
        <f>'NKC2-%'!CC28*100</f>
        <v>0</v>
      </c>
      <c r="BW18" s="109">
        <f>'NKC2-%'!CD28*100</f>
        <v>0</v>
      </c>
      <c r="BX18" s="109">
        <f>'NKC2-%'!CE28*100</f>
        <v>0</v>
      </c>
      <c r="BY18" s="109">
        <f>'NKC2-%'!CF28*100</f>
        <v>0</v>
      </c>
      <c r="BZ18" s="109">
        <f>'NKC2-%'!CG28*100</f>
        <v>0</v>
      </c>
      <c r="CA18" s="109">
        <f>'NKC2-%'!CH28*100</f>
        <v>0</v>
      </c>
      <c r="CB18" s="109">
        <f>'NKC2-%'!CI28*100</f>
        <v>0</v>
      </c>
      <c r="CC18" s="109">
        <f>'NKC2-%'!CJ28*100</f>
        <v>0</v>
      </c>
      <c r="CD18" s="109">
        <f>'NKC2-%'!CK28*100</f>
        <v>0</v>
      </c>
      <c r="CE18" s="109">
        <f>'NKC2-%'!CL28*100</f>
        <v>0</v>
      </c>
      <c r="CF18" s="109">
        <f>'NKC2-%'!CM28*100</f>
        <v>0</v>
      </c>
      <c r="CG18" s="109">
        <f>'NKC2-%'!CN28*100</f>
        <v>0</v>
      </c>
      <c r="CH18" s="109">
        <f>'NKC2-%'!CO28*100</f>
        <v>0</v>
      </c>
      <c r="CI18" s="109">
        <f>'NKC2-%'!CP28*100</f>
        <v>0</v>
      </c>
    </row>
    <row r="19" spans="1:87" x14ac:dyDescent="0.45">
      <c r="A19" s="266" t="str">
        <f>'NKC2-%'!B29</f>
        <v>1.2.6</v>
      </c>
      <c r="B19" t="str">
        <f>'NKC2-%'!D29</f>
        <v>Mezzanine</v>
      </c>
      <c r="C19" s="104">
        <f>'NKC2-%'!F29</f>
        <v>3778708.0174000002</v>
      </c>
      <c r="D19" s="87" t="str">
        <f>'NKC2-%'!G29</f>
        <v>A</v>
      </c>
      <c r="E19" s="109">
        <f>'NKC2-%'!K29*100</f>
        <v>10</v>
      </c>
      <c r="F19" s="109">
        <f>'NKC2-%'!M29*100</f>
        <v>0</v>
      </c>
      <c r="G19" s="109">
        <f>'NKC2-%'!N29*100</f>
        <v>0</v>
      </c>
      <c r="H19" s="109">
        <f>'NKC2-%'!O29*100</f>
        <v>0</v>
      </c>
      <c r="I19" s="109">
        <f>'NKC2-%'!P29*100</f>
        <v>0</v>
      </c>
      <c r="J19" s="109">
        <f>'NKC2-%'!Q29*100</f>
        <v>0</v>
      </c>
      <c r="K19" s="109">
        <f>'NKC2-%'!R29*100</f>
        <v>0</v>
      </c>
      <c r="L19" s="109">
        <f>'NKC2-%'!S29*100</f>
        <v>0</v>
      </c>
      <c r="M19" s="109">
        <f>'NKC2-%'!T29*100</f>
        <v>0</v>
      </c>
      <c r="N19" s="109">
        <f>'NKC2-%'!U29*100</f>
        <v>0</v>
      </c>
      <c r="O19" s="109">
        <f>'NKC2-%'!V29*100</f>
        <v>0</v>
      </c>
      <c r="P19" s="109">
        <f>'NKC2-%'!W29*100</f>
        <v>0</v>
      </c>
      <c r="Q19" s="109">
        <f>'NKC2-%'!X29*100</f>
        <v>0</v>
      </c>
      <c r="R19" s="109">
        <f>'NKC2-%'!Y29*100</f>
        <v>0</v>
      </c>
      <c r="S19" s="109">
        <f>'NKC2-%'!Z29*100</f>
        <v>0</v>
      </c>
      <c r="T19" s="109">
        <f>'NKC2-%'!AA29*100</f>
        <v>0</v>
      </c>
      <c r="U19" s="109">
        <f>'NKC2-%'!AB29*100</f>
        <v>0</v>
      </c>
      <c r="V19" s="109">
        <f>'NKC2-%'!AC29*100</f>
        <v>0</v>
      </c>
      <c r="W19" s="109">
        <f>'NKC2-%'!AD29*100</f>
        <v>0</v>
      </c>
      <c r="X19" s="109">
        <f>'NKC2-%'!AE29*100</f>
        <v>0</v>
      </c>
      <c r="Y19" s="109">
        <f>'NKC2-%'!AF29*100</f>
        <v>0</v>
      </c>
      <c r="Z19" s="109">
        <f>'NKC2-%'!AG29*100</f>
        <v>0</v>
      </c>
      <c r="AA19" s="109">
        <f>'NKC2-%'!AH29*100</f>
        <v>0</v>
      </c>
      <c r="AB19" s="109">
        <f>'NKC2-%'!AI29*100</f>
        <v>0</v>
      </c>
      <c r="AC19" s="109">
        <f>'NKC2-%'!AJ29*100</f>
        <v>0</v>
      </c>
      <c r="AD19" s="109">
        <f>'NKC2-%'!AK29*100</f>
        <v>0</v>
      </c>
      <c r="AE19" s="109">
        <f>'NKC2-%'!AL29*100</f>
        <v>0</v>
      </c>
      <c r="AF19" s="109">
        <f>'NKC2-%'!AM29*100</f>
        <v>0</v>
      </c>
      <c r="AG19" s="109">
        <f>'NKC2-%'!AN29*100</f>
        <v>0</v>
      </c>
      <c r="AH19" s="109">
        <f>'NKC2-%'!AO29*100</f>
        <v>0</v>
      </c>
      <c r="AI19" s="109">
        <f>'NKC2-%'!AP29*100</f>
        <v>0</v>
      </c>
      <c r="AJ19" s="109">
        <f>'NKC2-%'!AQ29*100</f>
        <v>0</v>
      </c>
      <c r="AK19" s="109">
        <f>'NKC2-%'!AR29*100</f>
        <v>0</v>
      </c>
      <c r="AL19" s="109">
        <f>'NKC2-%'!AS29*100</f>
        <v>5</v>
      </c>
      <c r="AM19" s="109">
        <f>'NKC2-%'!AT29*100</f>
        <v>5</v>
      </c>
      <c r="AN19" s="109">
        <f>'NKC2-%'!AU29*100</f>
        <v>0</v>
      </c>
      <c r="AO19" s="109">
        <f>'NKC2-%'!AV29*100</f>
        <v>0</v>
      </c>
      <c r="AP19" s="109">
        <f>'NKC2-%'!AW29*100</f>
        <v>0</v>
      </c>
      <c r="AQ19" s="109">
        <f>'NKC2-%'!AX29*100</f>
        <v>0</v>
      </c>
      <c r="AR19" s="109">
        <f>'NKC2-%'!AY29*100</f>
        <v>0</v>
      </c>
      <c r="AS19" s="109">
        <f>'NKC2-%'!AZ29*100</f>
        <v>0</v>
      </c>
      <c r="AT19" s="109">
        <f>'NKC2-%'!BA29*100</f>
        <v>0</v>
      </c>
      <c r="AU19" s="109">
        <f>'NKC2-%'!BB29*100</f>
        <v>0</v>
      </c>
      <c r="AV19" s="109">
        <f>'NKC2-%'!BC29*100</f>
        <v>0</v>
      </c>
      <c r="AW19" s="109">
        <f>'NKC2-%'!BD29*100</f>
        <v>0</v>
      </c>
      <c r="AX19" s="109">
        <f>'NKC2-%'!BE29*100</f>
        <v>0</v>
      </c>
      <c r="AY19" s="109">
        <f>'NKC2-%'!BF29*100</f>
        <v>0</v>
      </c>
      <c r="AZ19" s="109">
        <f>'NKC2-%'!BG29*100</f>
        <v>0</v>
      </c>
      <c r="BA19" s="109">
        <f>'NKC2-%'!BH29*100</f>
        <v>0</v>
      </c>
      <c r="BB19" s="109">
        <f>'NKC2-%'!BI29*100</f>
        <v>0</v>
      </c>
      <c r="BC19" s="109">
        <f>'NKC2-%'!BJ29*100</f>
        <v>0</v>
      </c>
      <c r="BD19" s="109">
        <f>'NKC2-%'!BK29*100</f>
        <v>0</v>
      </c>
      <c r="BE19" s="109">
        <f>'NKC2-%'!BL29*100</f>
        <v>0</v>
      </c>
      <c r="BF19" s="109">
        <f>'NKC2-%'!BM29*100</f>
        <v>0</v>
      </c>
      <c r="BG19" s="109">
        <f>'NKC2-%'!BN29*100</f>
        <v>0</v>
      </c>
      <c r="BH19" s="109">
        <f>'NKC2-%'!BO29*100</f>
        <v>0</v>
      </c>
      <c r="BI19" s="109">
        <f>'NKC2-%'!BP29*100</f>
        <v>0</v>
      </c>
      <c r="BJ19" s="109">
        <f>'NKC2-%'!BQ29*100</f>
        <v>0</v>
      </c>
      <c r="BK19" s="109">
        <f>'NKC2-%'!BR29*100</f>
        <v>0</v>
      </c>
      <c r="BL19" s="109">
        <f>'NKC2-%'!BS29*100</f>
        <v>0</v>
      </c>
      <c r="BM19" s="109">
        <f>'NKC2-%'!BT29*100</f>
        <v>0</v>
      </c>
      <c r="BN19" s="109">
        <f>'NKC2-%'!BU29*100</f>
        <v>0</v>
      </c>
      <c r="BO19" s="109">
        <f>'NKC2-%'!BV29*100</f>
        <v>0</v>
      </c>
      <c r="BP19" s="109">
        <f>'NKC2-%'!BW29*100</f>
        <v>0</v>
      </c>
      <c r="BQ19" s="109">
        <f>'NKC2-%'!BX29*100</f>
        <v>0</v>
      </c>
      <c r="BR19" s="109">
        <f>'NKC2-%'!BY29*100</f>
        <v>0</v>
      </c>
      <c r="BS19" s="109">
        <f>'NKC2-%'!BZ29*100</f>
        <v>0</v>
      </c>
      <c r="BT19" s="109">
        <f>'NKC2-%'!CA29*100</f>
        <v>0</v>
      </c>
      <c r="BU19" s="109">
        <f>'NKC2-%'!CB29*100</f>
        <v>0</v>
      </c>
      <c r="BV19" s="109">
        <f>'NKC2-%'!CC29*100</f>
        <v>0</v>
      </c>
      <c r="BW19" s="109">
        <f>'NKC2-%'!CD29*100</f>
        <v>0</v>
      </c>
      <c r="BX19" s="109">
        <f>'NKC2-%'!CE29*100</f>
        <v>0</v>
      </c>
      <c r="BY19" s="109">
        <f>'NKC2-%'!CF29*100</f>
        <v>0</v>
      </c>
      <c r="BZ19" s="109">
        <f>'NKC2-%'!CG29*100</f>
        <v>0</v>
      </c>
      <c r="CA19" s="109">
        <f>'NKC2-%'!CH29*100</f>
        <v>0</v>
      </c>
      <c r="CB19" s="109">
        <f>'NKC2-%'!CI29*100</f>
        <v>0</v>
      </c>
      <c r="CC19" s="109">
        <f>'NKC2-%'!CJ29*100</f>
        <v>0</v>
      </c>
      <c r="CD19" s="109">
        <f>'NKC2-%'!CK29*100</f>
        <v>0</v>
      </c>
      <c r="CE19" s="109">
        <f>'NKC2-%'!CL29*100</f>
        <v>0</v>
      </c>
      <c r="CF19" s="109">
        <f>'NKC2-%'!CM29*100</f>
        <v>0</v>
      </c>
      <c r="CG19" s="109">
        <f>'NKC2-%'!CN29*100</f>
        <v>0</v>
      </c>
      <c r="CH19" s="109">
        <f>'NKC2-%'!CO29*100</f>
        <v>0</v>
      </c>
      <c r="CI19" s="109">
        <f>'NKC2-%'!CP29*100</f>
        <v>0</v>
      </c>
    </row>
    <row r="20" spans="1:87" x14ac:dyDescent="0.45">
      <c r="A20" s="266" t="str">
        <f>'NKC2-%'!B30</f>
        <v>1.2.7</v>
      </c>
      <c r="B20" t="str">
        <f>'NKC2-%'!D30</f>
        <v>2nd Floor Extension</v>
      </c>
      <c r="C20" s="104">
        <f>'NKC2-%'!F30</f>
        <v>449323.23820000002</v>
      </c>
      <c r="D20" s="87" t="str">
        <f>'NKC2-%'!G30</f>
        <v>P</v>
      </c>
      <c r="E20" s="109">
        <f>'NKC2-%'!K30*100</f>
        <v>100</v>
      </c>
      <c r="F20" s="109">
        <f>'NKC2-%'!M30*100</f>
        <v>0</v>
      </c>
      <c r="G20" s="109">
        <f>'NKC2-%'!N30*100</f>
        <v>0</v>
      </c>
      <c r="H20" s="109">
        <f>'NKC2-%'!O30*100</f>
        <v>0</v>
      </c>
      <c r="I20" s="109">
        <f>'NKC2-%'!P30*100</f>
        <v>0</v>
      </c>
      <c r="J20" s="109">
        <f>'NKC2-%'!Q30*100</f>
        <v>0</v>
      </c>
      <c r="K20" s="109">
        <f>'NKC2-%'!R30*100</f>
        <v>0</v>
      </c>
      <c r="L20" s="109">
        <f>'NKC2-%'!S30*100</f>
        <v>0</v>
      </c>
      <c r="M20" s="109">
        <f>'NKC2-%'!T30*100</f>
        <v>0</v>
      </c>
      <c r="N20" s="109">
        <f>'NKC2-%'!U30*100</f>
        <v>0</v>
      </c>
      <c r="O20" s="109">
        <f>'NKC2-%'!V30*100</f>
        <v>0</v>
      </c>
      <c r="P20" s="109">
        <f>'NKC2-%'!W30*100</f>
        <v>0</v>
      </c>
      <c r="Q20" s="109">
        <f>'NKC2-%'!X30*100</f>
        <v>0</v>
      </c>
      <c r="R20" s="109">
        <f>'NKC2-%'!Y30*100</f>
        <v>0</v>
      </c>
      <c r="S20" s="109">
        <f>'NKC2-%'!Z30*100</f>
        <v>0</v>
      </c>
      <c r="T20" s="109">
        <f>'NKC2-%'!AA30*100</f>
        <v>0</v>
      </c>
      <c r="U20" s="109">
        <f>'NKC2-%'!AB30*100</f>
        <v>0</v>
      </c>
      <c r="V20" s="109">
        <f>'NKC2-%'!AC30*100</f>
        <v>0</v>
      </c>
      <c r="W20" s="109">
        <f>'NKC2-%'!AD30*100</f>
        <v>0</v>
      </c>
      <c r="X20" s="109">
        <f>'NKC2-%'!AE30*100</f>
        <v>0</v>
      </c>
      <c r="Y20" s="109">
        <f>'NKC2-%'!AF30*100</f>
        <v>0</v>
      </c>
      <c r="Z20" s="109">
        <f>'NKC2-%'!AG30*100</f>
        <v>0</v>
      </c>
      <c r="AA20" s="109">
        <f>'NKC2-%'!AH30*100</f>
        <v>0</v>
      </c>
      <c r="AB20" s="109">
        <f>'NKC2-%'!AI30*100</f>
        <v>0</v>
      </c>
      <c r="AC20" s="109">
        <f>'NKC2-%'!AJ30*100</f>
        <v>0</v>
      </c>
      <c r="AD20" s="109">
        <f>'NKC2-%'!AK30*100</f>
        <v>0</v>
      </c>
      <c r="AE20" s="109">
        <f>'NKC2-%'!AL30*100</f>
        <v>0</v>
      </c>
      <c r="AF20" s="109">
        <f>'NKC2-%'!AM30*100</f>
        <v>0</v>
      </c>
      <c r="AG20" s="109">
        <f>'NKC2-%'!AN30*100</f>
        <v>0</v>
      </c>
      <c r="AH20" s="109">
        <f>'NKC2-%'!AO30*100</f>
        <v>0</v>
      </c>
      <c r="AI20" s="109">
        <f>'NKC2-%'!AP30*100</f>
        <v>0</v>
      </c>
      <c r="AJ20" s="109">
        <f>'NKC2-%'!AQ30*100</f>
        <v>0</v>
      </c>
      <c r="AK20" s="109">
        <f>'NKC2-%'!AR30*100</f>
        <v>0</v>
      </c>
      <c r="AL20" s="109">
        <f>'NKC2-%'!AS30*100</f>
        <v>0</v>
      </c>
      <c r="AM20" s="109">
        <f>'NKC2-%'!AT30*100</f>
        <v>0</v>
      </c>
      <c r="AN20" s="109">
        <f>'NKC2-%'!AU30*100</f>
        <v>0</v>
      </c>
      <c r="AO20" s="109">
        <f>'NKC2-%'!AV30*100</f>
        <v>0</v>
      </c>
      <c r="AP20" s="109">
        <f>'NKC2-%'!AW30*100</f>
        <v>10</v>
      </c>
      <c r="AQ20" s="109">
        <f>'NKC2-%'!AX30*100</f>
        <v>20</v>
      </c>
      <c r="AR20" s="109">
        <f>'NKC2-%'!AY30*100</f>
        <v>25</v>
      </c>
      <c r="AS20" s="109">
        <f>'NKC2-%'!AZ30*100</f>
        <v>25</v>
      </c>
      <c r="AT20" s="109">
        <f>'NKC2-%'!BA30*100</f>
        <v>15</v>
      </c>
      <c r="AU20" s="109">
        <f>'NKC2-%'!BB30*100</f>
        <v>5</v>
      </c>
      <c r="AV20" s="109">
        <f>'NKC2-%'!BC30*100</f>
        <v>0</v>
      </c>
      <c r="AW20" s="109">
        <f>'NKC2-%'!BD30*100</f>
        <v>0</v>
      </c>
      <c r="AX20" s="109">
        <f>'NKC2-%'!BE30*100</f>
        <v>0</v>
      </c>
      <c r="AY20" s="109">
        <f>'NKC2-%'!BF30*100</f>
        <v>0</v>
      </c>
      <c r="AZ20" s="109">
        <f>'NKC2-%'!BG30*100</f>
        <v>0</v>
      </c>
      <c r="BA20" s="109">
        <f>'NKC2-%'!BH30*100</f>
        <v>0</v>
      </c>
      <c r="BB20" s="109">
        <f>'NKC2-%'!BI30*100</f>
        <v>0</v>
      </c>
      <c r="BC20" s="109">
        <f>'NKC2-%'!BJ30*100</f>
        <v>0</v>
      </c>
      <c r="BD20" s="109">
        <f>'NKC2-%'!BK30*100</f>
        <v>0</v>
      </c>
      <c r="BE20" s="109">
        <f>'NKC2-%'!BL30*100</f>
        <v>0</v>
      </c>
      <c r="BF20" s="109">
        <f>'NKC2-%'!BM30*100</f>
        <v>0</v>
      </c>
      <c r="BG20" s="109">
        <f>'NKC2-%'!BN30*100</f>
        <v>0</v>
      </c>
      <c r="BH20" s="109">
        <f>'NKC2-%'!BO30*100</f>
        <v>0</v>
      </c>
      <c r="BI20" s="109">
        <f>'NKC2-%'!BP30*100</f>
        <v>0</v>
      </c>
      <c r="BJ20" s="109">
        <f>'NKC2-%'!BQ30*100</f>
        <v>0</v>
      </c>
      <c r="BK20" s="109">
        <f>'NKC2-%'!BR30*100</f>
        <v>0</v>
      </c>
      <c r="BL20" s="109">
        <f>'NKC2-%'!BS30*100</f>
        <v>0</v>
      </c>
      <c r="BM20" s="109">
        <f>'NKC2-%'!BT30*100</f>
        <v>0</v>
      </c>
      <c r="BN20" s="109">
        <f>'NKC2-%'!BU30*100</f>
        <v>0</v>
      </c>
      <c r="BO20" s="109">
        <f>'NKC2-%'!BV30*100</f>
        <v>0</v>
      </c>
      <c r="BP20" s="109">
        <f>'NKC2-%'!BW30*100</f>
        <v>0</v>
      </c>
      <c r="BQ20" s="109">
        <f>'NKC2-%'!BX30*100</f>
        <v>0</v>
      </c>
      <c r="BR20" s="109">
        <f>'NKC2-%'!BY30*100</f>
        <v>0</v>
      </c>
      <c r="BS20" s="109">
        <f>'NKC2-%'!BZ30*100</f>
        <v>0</v>
      </c>
      <c r="BT20" s="109">
        <f>'NKC2-%'!CA30*100</f>
        <v>0</v>
      </c>
      <c r="BU20" s="109">
        <f>'NKC2-%'!CB30*100</f>
        <v>0</v>
      </c>
      <c r="BV20" s="109">
        <f>'NKC2-%'!CC30*100</f>
        <v>0</v>
      </c>
      <c r="BW20" s="109">
        <f>'NKC2-%'!CD30*100</f>
        <v>0</v>
      </c>
      <c r="BX20" s="109">
        <f>'NKC2-%'!CE30*100</f>
        <v>0</v>
      </c>
      <c r="BY20" s="109">
        <f>'NKC2-%'!CF30*100</f>
        <v>0</v>
      </c>
      <c r="BZ20" s="109">
        <f>'NKC2-%'!CG30*100</f>
        <v>0</v>
      </c>
      <c r="CA20" s="109">
        <f>'NKC2-%'!CH30*100</f>
        <v>0</v>
      </c>
      <c r="CB20" s="109">
        <f>'NKC2-%'!CI30*100</f>
        <v>0</v>
      </c>
      <c r="CC20" s="109">
        <f>'NKC2-%'!CJ30*100</f>
        <v>0</v>
      </c>
      <c r="CD20" s="109">
        <f>'NKC2-%'!CK30*100</f>
        <v>0</v>
      </c>
      <c r="CE20" s="109">
        <f>'NKC2-%'!CL30*100</f>
        <v>0</v>
      </c>
      <c r="CF20" s="109">
        <f>'NKC2-%'!CM30*100</f>
        <v>0</v>
      </c>
      <c r="CG20" s="109">
        <f>'NKC2-%'!CN30*100</f>
        <v>0</v>
      </c>
      <c r="CH20" s="109">
        <f>'NKC2-%'!CO30*100</f>
        <v>0</v>
      </c>
      <c r="CI20" s="109">
        <f>'NKC2-%'!CP30*100</f>
        <v>0</v>
      </c>
    </row>
    <row r="21" spans="1:87" x14ac:dyDescent="0.45">
      <c r="A21" s="266" t="str">
        <f>'NKC2-%'!B31</f>
        <v>1.2.7</v>
      </c>
      <c r="B21" t="str">
        <f>'NKC2-%'!D31</f>
        <v>2nd Floor Extension</v>
      </c>
      <c r="C21" s="104">
        <f>'NKC2-%'!F31</f>
        <v>449323.23820000002</v>
      </c>
      <c r="D21" s="87" t="str">
        <f>'NKC2-%'!G31</f>
        <v>A</v>
      </c>
      <c r="E21" s="109">
        <f>'NKC2-%'!K31*100</f>
        <v>0</v>
      </c>
      <c r="F21" s="109">
        <f>'NKC2-%'!M31*100</f>
        <v>0</v>
      </c>
      <c r="G21" s="109">
        <f>'NKC2-%'!N31*100</f>
        <v>0</v>
      </c>
      <c r="H21" s="109">
        <f>'NKC2-%'!O31*100</f>
        <v>0</v>
      </c>
      <c r="I21" s="109">
        <f>'NKC2-%'!P31*100</f>
        <v>0</v>
      </c>
      <c r="J21" s="109">
        <f>'NKC2-%'!Q31*100</f>
        <v>0</v>
      </c>
      <c r="K21" s="109">
        <f>'NKC2-%'!R31*100</f>
        <v>0</v>
      </c>
      <c r="L21" s="109">
        <f>'NKC2-%'!S31*100</f>
        <v>0</v>
      </c>
      <c r="M21" s="109">
        <f>'NKC2-%'!T31*100</f>
        <v>0</v>
      </c>
      <c r="N21" s="109">
        <f>'NKC2-%'!U31*100</f>
        <v>0</v>
      </c>
      <c r="O21" s="109">
        <f>'NKC2-%'!V31*100</f>
        <v>0</v>
      </c>
      <c r="P21" s="109">
        <f>'NKC2-%'!W31*100</f>
        <v>0</v>
      </c>
      <c r="Q21" s="109">
        <f>'NKC2-%'!X31*100</f>
        <v>0</v>
      </c>
      <c r="R21" s="109">
        <f>'NKC2-%'!Y31*100</f>
        <v>0</v>
      </c>
      <c r="S21" s="109">
        <f>'NKC2-%'!Z31*100</f>
        <v>0</v>
      </c>
      <c r="T21" s="109">
        <f>'NKC2-%'!AA31*100</f>
        <v>0</v>
      </c>
      <c r="U21" s="109">
        <f>'NKC2-%'!AB31*100</f>
        <v>0</v>
      </c>
      <c r="V21" s="109">
        <f>'NKC2-%'!AC31*100</f>
        <v>0</v>
      </c>
      <c r="W21" s="109">
        <f>'NKC2-%'!AD31*100</f>
        <v>0</v>
      </c>
      <c r="X21" s="109">
        <f>'NKC2-%'!AE31*100</f>
        <v>0</v>
      </c>
      <c r="Y21" s="109">
        <f>'NKC2-%'!AF31*100</f>
        <v>0</v>
      </c>
      <c r="Z21" s="109">
        <f>'NKC2-%'!AG31*100</f>
        <v>0</v>
      </c>
      <c r="AA21" s="109">
        <f>'NKC2-%'!AH31*100</f>
        <v>0</v>
      </c>
      <c r="AB21" s="109">
        <f>'NKC2-%'!AI31*100</f>
        <v>0</v>
      </c>
      <c r="AC21" s="109">
        <f>'NKC2-%'!AJ31*100</f>
        <v>0</v>
      </c>
      <c r="AD21" s="109">
        <f>'NKC2-%'!AK31*100</f>
        <v>0</v>
      </c>
      <c r="AE21" s="109">
        <f>'NKC2-%'!AL31*100</f>
        <v>0</v>
      </c>
      <c r="AF21" s="109">
        <f>'NKC2-%'!AM31*100</f>
        <v>0</v>
      </c>
      <c r="AG21" s="109">
        <f>'NKC2-%'!AN31*100</f>
        <v>0</v>
      </c>
      <c r="AH21" s="109">
        <f>'NKC2-%'!AO31*100</f>
        <v>0</v>
      </c>
      <c r="AI21" s="109">
        <f>'NKC2-%'!AP31*100</f>
        <v>0</v>
      </c>
      <c r="AJ21" s="109">
        <f>'NKC2-%'!AQ31*100</f>
        <v>0</v>
      </c>
      <c r="AK21" s="109">
        <f>'NKC2-%'!AR31*100</f>
        <v>0</v>
      </c>
      <c r="AL21" s="109">
        <f>'NKC2-%'!AS31*100</f>
        <v>0</v>
      </c>
      <c r="AM21" s="109">
        <f>'NKC2-%'!AT31*100</f>
        <v>0</v>
      </c>
      <c r="AN21" s="109">
        <f>'NKC2-%'!AU31*100</f>
        <v>0</v>
      </c>
      <c r="AO21" s="109">
        <f>'NKC2-%'!AV31*100</f>
        <v>0</v>
      </c>
      <c r="AP21" s="109">
        <f>'NKC2-%'!AW31*100</f>
        <v>0</v>
      </c>
      <c r="AQ21" s="109">
        <f>'NKC2-%'!AX31*100</f>
        <v>0</v>
      </c>
      <c r="AR21" s="109">
        <f>'NKC2-%'!AY31*100</f>
        <v>0</v>
      </c>
      <c r="AS21" s="109">
        <f>'NKC2-%'!AZ31*100</f>
        <v>0</v>
      </c>
      <c r="AT21" s="109">
        <f>'NKC2-%'!BA31*100</f>
        <v>0</v>
      </c>
      <c r="AU21" s="109">
        <f>'NKC2-%'!BB31*100</f>
        <v>0</v>
      </c>
      <c r="AV21" s="109">
        <f>'NKC2-%'!BC31*100</f>
        <v>0</v>
      </c>
      <c r="AW21" s="109">
        <f>'NKC2-%'!BD31*100</f>
        <v>0</v>
      </c>
      <c r="AX21" s="109">
        <f>'NKC2-%'!BE31*100</f>
        <v>0</v>
      </c>
      <c r="AY21" s="109">
        <f>'NKC2-%'!BF31*100</f>
        <v>0</v>
      </c>
      <c r="AZ21" s="109">
        <f>'NKC2-%'!BG31*100</f>
        <v>0</v>
      </c>
      <c r="BA21" s="109">
        <f>'NKC2-%'!BH31*100</f>
        <v>0</v>
      </c>
      <c r="BB21" s="109">
        <f>'NKC2-%'!BI31*100</f>
        <v>0</v>
      </c>
      <c r="BC21" s="109">
        <f>'NKC2-%'!BJ31*100</f>
        <v>0</v>
      </c>
      <c r="BD21" s="109">
        <f>'NKC2-%'!BK31*100</f>
        <v>0</v>
      </c>
      <c r="BE21" s="109">
        <f>'NKC2-%'!BL31*100</f>
        <v>0</v>
      </c>
      <c r="BF21" s="109">
        <f>'NKC2-%'!BM31*100</f>
        <v>0</v>
      </c>
      <c r="BG21" s="109">
        <f>'NKC2-%'!BN31*100</f>
        <v>0</v>
      </c>
      <c r="BH21" s="109">
        <f>'NKC2-%'!BO31*100</f>
        <v>0</v>
      </c>
      <c r="BI21" s="109">
        <f>'NKC2-%'!BP31*100</f>
        <v>0</v>
      </c>
      <c r="BJ21" s="109">
        <f>'NKC2-%'!BQ31*100</f>
        <v>0</v>
      </c>
      <c r="BK21" s="109">
        <f>'NKC2-%'!BR31*100</f>
        <v>0</v>
      </c>
      <c r="BL21" s="109">
        <f>'NKC2-%'!BS31*100</f>
        <v>0</v>
      </c>
      <c r="BM21" s="109">
        <f>'NKC2-%'!BT31*100</f>
        <v>0</v>
      </c>
      <c r="BN21" s="109">
        <f>'NKC2-%'!BU31*100</f>
        <v>0</v>
      </c>
      <c r="BO21" s="109">
        <f>'NKC2-%'!BV31*100</f>
        <v>0</v>
      </c>
      <c r="BP21" s="109">
        <f>'NKC2-%'!BW31*100</f>
        <v>0</v>
      </c>
      <c r="BQ21" s="109">
        <f>'NKC2-%'!BX31*100</f>
        <v>0</v>
      </c>
      <c r="BR21" s="109">
        <f>'NKC2-%'!BY31*100</f>
        <v>0</v>
      </c>
      <c r="BS21" s="109">
        <f>'NKC2-%'!BZ31*100</f>
        <v>0</v>
      </c>
      <c r="BT21" s="109">
        <f>'NKC2-%'!CA31*100</f>
        <v>0</v>
      </c>
      <c r="BU21" s="109">
        <f>'NKC2-%'!CB31*100</f>
        <v>0</v>
      </c>
      <c r="BV21" s="109">
        <f>'NKC2-%'!CC31*100</f>
        <v>0</v>
      </c>
      <c r="BW21" s="109">
        <f>'NKC2-%'!CD31*100</f>
        <v>0</v>
      </c>
      <c r="BX21" s="109">
        <f>'NKC2-%'!CE31*100</f>
        <v>0</v>
      </c>
      <c r="BY21" s="109">
        <f>'NKC2-%'!CF31*100</f>
        <v>0</v>
      </c>
      <c r="BZ21" s="109">
        <f>'NKC2-%'!CG31*100</f>
        <v>0</v>
      </c>
      <c r="CA21" s="109">
        <f>'NKC2-%'!CH31*100</f>
        <v>0</v>
      </c>
      <c r="CB21" s="109">
        <f>'NKC2-%'!CI31*100</f>
        <v>0</v>
      </c>
      <c r="CC21" s="109">
        <f>'NKC2-%'!CJ31*100</f>
        <v>0</v>
      </c>
      <c r="CD21" s="109">
        <f>'NKC2-%'!CK31*100</f>
        <v>0</v>
      </c>
      <c r="CE21" s="109">
        <f>'NKC2-%'!CL31*100</f>
        <v>0</v>
      </c>
      <c r="CF21" s="109">
        <f>'NKC2-%'!CM31*100</f>
        <v>0</v>
      </c>
      <c r="CG21" s="109">
        <f>'NKC2-%'!CN31*100</f>
        <v>0</v>
      </c>
      <c r="CH21" s="109">
        <f>'NKC2-%'!CO31*100</f>
        <v>0</v>
      </c>
      <c r="CI21" s="109">
        <f>'NKC2-%'!CP31*100</f>
        <v>0</v>
      </c>
    </row>
    <row r="22" spans="1:87" x14ac:dyDescent="0.45">
      <c r="A22" s="266" t="str">
        <f>'NKC2-%'!B32</f>
        <v>1.2.8</v>
      </c>
      <c r="B22" t="str">
        <f>'NKC2-%'!D32</f>
        <v>MEP Platform</v>
      </c>
      <c r="C22" s="104">
        <f>'NKC2-%'!F32</f>
        <v>91097.831200000001</v>
      </c>
      <c r="D22" s="87" t="str">
        <f>'NKC2-%'!G32</f>
        <v>P</v>
      </c>
      <c r="E22" s="109">
        <f>'NKC2-%'!K32*100</f>
        <v>100</v>
      </c>
      <c r="F22" s="109">
        <f>'NKC2-%'!M32*100</f>
        <v>0</v>
      </c>
      <c r="G22" s="109">
        <f>'NKC2-%'!N32*100</f>
        <v>0</v>
      </c>
      <c r="H22" s="109">
        <f>'NKC2-%'!O32*100</f>
        <v>0</v>
      </c>
      <c r="I22" s="109">
        <f>'NKC2-%'!P32*100</f>
        <v>0</v>
      </c>
      <c r="J22" s="109">
        <f>'NKC2-%'!Q32*100</f>
        <v>0</v>
      </c>
      <c r="K22" s="109">
        <f>'NKC2-%'!R32*100</f>
        <v>0</v>
      </c>
      <c r="L22" s="109">
        <f>'NKC2-%'!S32*100</f>
        <v>0</v>
      </c>
      <c r="M22" s="109">
        <f>'NKC2-%'!T32*100</f>
        <v>0</v>
      </c>
      <c r="N22" s="109">
        <f>'NKC2-%'!U32*100</f>
        <v>0</v>
      </c>
      <c r="O22" s="109">
        <f>'NKC2-%'!V32*100</f>
        <v>0</v>
      </c>
      <c r="P22" s="109">
        <f>'NKC2-%'!W32*100</f>
        <v>0</v>
      </c>
      <c r="Q22" s="109">
        <f>'NKC2-%'!X32*100</f>
        <v>0</v>
      </c>
      <c r="R22" s="109">
        <f>'NKC2-%'!Y32*100</f>
        <v>0</v>
      </c>
      <c r="S22" s="109">
        <f>'NKC2-%'!Z32*100</f>
        <v>0</v>
      </c>
      <c r="T22" s="109">
        <f>'NKC2-%'!AA32*100</f>
        <v>0</v>
      </c>
      <c r="U22" s="109">
        <f>'NKC2-%'!AB32*100</f>
        <v>0</v>
      </c>
      <c r="V22" s="109">
        <f>'NKC2-%'!AC32*100</f>
        <v>0</v>
      </c>
      <c r="W22" s="109">
        <f>'NKC2-%'!AD32*100</f>
        <v>0</v>
      </c>
      <c r="X22" s="109">
        <f>'NKC2-%'!AE32*100</f>
        <v>0</v>
      </c>
      <c r="Y22" s="109">
        <f>'NKC2-%'!AF32*100</f>
        <v>0</v>
      </c>
      <c r="Z22" s="109">
        <f>'NKC2-%'!AG32*100</f>
        <v>0</v>
      </c>
      <c r="AA22" s="109">
        <f>'NKC2-%'!AH32*100</f>
        <v>0</v>
      </c>
      <c r="AB22" s="109">
        <f>'NKC2-%'!AI32*100</f>
        <v>0</v>
      </c>
      <c r="AC22" s="109">
        <f>'NKC2-%'!AJ32*100</f>
        <v>0</v>
      </c>
      <c r="AD22" s="109">
        <f>'NKC2-%'!AK32*100</f>
        <v>0</v>
      </c>
      <c r="AE22" s="109">
        <f>'NKC2-%'!AL32*100</f>
        <v>0</v>
      </c>
      <c r="AF22" s="109">
        <f>'NKC2-%'!AM32*100</f>
        <v>0</v>
      </c>
      <c r="AG22" s="109">
        <f>'NKC2-%'!AN32*100</f>
        <v>0</v>
      </c>
      <c r="AH22" s="109">
        <f>'NKC2-%'!AO32*100</f>
        <v>0</v>
      </c>
      <c r="AI22" s="109">
        <f>'NKC2-%'!AP32*100</f>
        <v>0</v>
      </c>
      <c r="AJ22" s="109">
        <f>'NKC2-%'!AQ32*100</f>
        <v>0</v>
      </c>
      <c r="AK22" s="109">
        <f>'NKC2-%'!AR32*100</f>
        <v>0</v>
      </c>
      <c r="AL22" s="109">
        <f>'NKC2-%'!AS32*100</f>
        <v>0</v>
      </c>
      <c r="AM22" s="109">
        <f>'NKC2-%'!AT32*100</f>
        <v>0</v>
      </c>
      <c r="AN22" s="109">
        <f>'NKC2-%'!AU32*100</f>
        <v>0</v>
      </c>
      <c r="AO22" s="109">
        <f>'NKC2-%'!AV32*100</f>
        <v>0</v>
      </c>
      <c r="AP22" s="109">
        <f>'NKC2-%'!AW32*100</f>
        <v>0</v>
      </c>
      <c r="AQ22" s="109">
        <f>'NKC2-%'!AX32*100</f>
        <v>0</v>
      </c>
      <c r="AR22" s="109">
        <f>'NKC2-%'!AY32*100</f>
        <v>0</v>
      </c>
      <c r="AS22" s="109">
        <f>'NKC2-%'!AZ32*100</f>
        <v>0</v>
      </c>
      <c r="AT22" s="109">
        <f>'NKC2-%'!BA32*100</f>
        <v>0</v>
      </c>
      <c r="AU22" s="109">
        <f>'NKC2-%'!BB32*100</f>
        <v>25</v>
      </c>
      <c r="AV22" s="109">
        <f>'NKC2-%'!BC32*100</f>
        <v>50</v>
      </c>
      <c r="AW22" s="109">
        <f>'NKC2-%'!BD32*100</f>
        <v>25</v>
      </c>
      <c r="AX22" s="109">
        <f>'NKC2-%'!BE32*100</f>
        <v>0</v>
      </c>
      <c r="AY22" s="109">
        <f>'NKC2-%'!BF32*100</f>
        <v>0</v>
      </c>
      <c r="AZ22" s="109">
        <f>'NKC2-%'!BG32*100</f>
        <v>0</v>
      </c>
      <c r="BA22" s="109">
        <f>'NKC2-%'!BH32*100</f>
        <v>0</v>
      </c>
      <c r="BB22" s="109">
        <f>'NKC2-%'!BI32*100</f>
        <v>0</v>
      </c>
      <c r="BC22" s="109">
        <f>'NKC2-%'!BJ32*100</f>
        <v>0</v>
      </c>
      <c r="BD22" s="109">
        <f>'NKC2-%'!BK32*100</f>
        <v>0</v>
      </c>
      <c r="BE22" s="109">
        <f>'NKC2-%'!BL32*100</f>
        <v>0</v>
      </c>
      <c r="BF22" s="109">
        <f>'NKC2-%'!BM32*100</f>
        <v>0</v>
      </c>
      <c r="BG22" s="109">
        <f>'NKC2-%'!BN32*100</f>
        <v>0</v>
      </c>
      <c r="BH22" s="109">
        <f>'NKC2-%'!BO32*100</f>
        <v>0</v>
      </c>
      <c r="BI22" s="109">
        <f>'NKC2-%'!BP32*100</f>
        <v>0</v>
      </c>
      <c r="BJ22" s="109">
        <f>'NKC2-%'!BQ32*100</f>
        <v>0</v>
      </c>
      <c r="BK22" s="109">
        <f>'NKC2-%'!BR32*100</f>
        <v>0</v>
      </c>
      <c r="BL22" s="109">
        <f>'NKC2-%'!BS32*100</f>
        <v>0</v>
      </c>
      <c r="BM22" s="109">
        <f>'NKC2-%'!BT32*100</f>
        <v>0</v>
      </c>
      <c r="BN22" s="109">
        <f>'NKC2-%'!BU32*100</f>
        <v>0</v>
      </c>
      <c r="BO22" s="109">
        <f>'NKC2-%'!BV32*100</f>
        <v>0</v>
      </c>
      <c r="BP22" s="109">
        <f>'NKC2-%'!BW32*100</f>
        <v>0</v>
      </c>
      <c r="BQ22" s="109">
        <f>'NKC2-%'!BX32*100</f>
        <v>0</v>
      </c>
      <c r="BR22" s="109">
        <f>'NKC2-%'!BY32*100</f>
        <v>0</v>
      </c>
      <c r="BS22" s="109">
        <f>'NKC2-%'!BZ32*100</f>
        <v>0</v>
      </c>
      <c r="BT22" s="109">
        <f>'NKC2-%'!CA32*100</f>
        <v>0</v>
      </c>
      <c r="BU22" s="109">
        <f>'NKC2-%'!CB32*100</f>
        <v>0</v>
      </c>
      <c r="BV22" s="109">
        <f>'NKC2-%'!CC32*100</f>
        <v>0</v>
      </c>
      <c r="BW22" s="109">
        <f>'NKC2-%'!CD32*100</f>
        <v>0</v>
      </c>
      <c r="BX22" s="109">
        <f>'NKC2-%'!CE32*100</f>
        <v>0</v>
      </c>
      <c r="BY22" s="109">
        <f>'NKC2-%'!CF32*100</f>
        <v>0</v>
      </c>
      <c r="BZ22" s="109">
        <f>'NKC2-%'!CG32*100</f>
        <v>0</v>
      </c>
      <c r="CA22" s="109">
        <f>'NKC2-%'!CH32*100</f>
        <v>0</v>
      </c>
      <c r="CB22" s="109">
        <f>'NKC2-%'!CI32*100</f>
        <v>0</v>
      </c>
      <c r="CC22" s="109">
        <f>'NKC2-%'!CJ32*100</f>
        <v>0</v>
      </c>
      <c r="CD22" s="109">
        <f>'NKC2-%'!CK32*100</f>
        <v>0</v>
      </c>
      <c r="CE22" s="109">
        <f>'NKC2-%'!CL32*100</f>
        <v>0</v>
      </c>
      <c r="CF22" s="109">
        <f>'NKC2-%'!CM32*100</f>
        <v>0</v>
      </c>
      <c r="CG22" s="109">
        <f>'NKC2-%'!CN32*100</f>
        <v>0</v>
      </c>
      <c r="CH22" s="109">
        <f>'NKC2-%'!CO32*100</f>
        <v>0</v>
      </c>
      <c r="CI22" s="109">
        <f>'NKC2-%'!CP32*100</f>
        <v>0</v>
      </c>
    </row>
    <row r="23" spans="1:87" x14ac:dyDescent="0.45">
      <c r="A23" s="266" t="str">
        <f>'NKC2-%'!B33</f>
        <v>1.2.8</v>
      </c>
      <c r="B23" t="str">
        <f>'NKC2-%'!D33</f>
        <v>MEP Platform</v>
      </c>
      <c r="C23" s="104">
        <f>'NKC2-%'!F33</f>
        <v>91097.831200000001</v>
      </c>
      <c r="D23" s="87" t="str">
        <f>'NKC2-%'!G33</f>
        <v>A</v>
      </c>
      <c r="E23" s="109">
        <f>'NKC2-%'!K33*100</f>
        <v>0</v>
      </c>
      <c r="F23" s="109">
        <f>'NKC2-%'!M33*100</f>
        <v>0</v>
      </c>
      <c r="G23" s="109">
        <f>'NKC2-%'!N33*100</f>
        <v>0</v>
      </c>
      <c r="H23" s="109">
        <f>'NKC2-%'!O33*100</f>
        <v>0</v>
      </c>
      <c r="I23" s="109">
        <f>'NKC2-%'!P33*100</f>
        <v>0</v>
      </c>
      <c r="J23" s="109">
        <f>'NKC2-%'!Q33*100</f>
        <v>0</v>
      </c>
      <c r="K23" s="109">
        <f>'NKC2-%'!R33*100</f>
        <v>0</v>
      </c>
      <c r="L23" s="109">
        <f>'NKC2-%'!S33*100</f>
        <v>0</v>
      </c>
      <c r="M23" s="109">
        <f>'NKC2-%'!T33*100</f>
        <v>0</v>
      </c>
      <c r="N23" s="109">
        <f>'NKC2-%'!U33*100</f>
        <v>0</v>
      </c>
      <c r="O23" s="109">
        <f>'NKC2-%'!V33*100</f>
        <v>0</v>
      </c>
      <c r="P23" s="109">
        <f>'NKC2-%'!W33*100</f>
        <v>0</v>
      </c>
      <c r="Q23" s="109">
        <f>'NKC2-%'!X33*100</f>
        <v>0</v>
      </c>
      <c r="R23" s="109">
        <f>'NKC2-%'!Y33*100</f>
        <v>0</v>
      </c>
      <c r="S23" s="109">
        <f>'NKC2-%'!Z33*100</f>
        <v>0</v>
      </c>
      <c r="T23" s="109">
        <f>'NKC2-%'!AA33*100</f>
        <v>0</v>
      </c>
      <c r="U23" s="109">
        <f>'NKC2-%'!AB33*100</f>
        <v>0</v>
      </c>
      <c r="V23" s="109">
        <f>'NKC2-%'!AC33*100</f>
        <v>0</v>
      </c>
      <c r="W23" s="109">
        <f>'NKC2-%'!AD33*100</f>
        <v>0</v>
      </c>
      <c r="X23" s="109">
        <f>'NKC2-%'!AE33*100</f>
        <v>0</v>
      </c>
      <c r="Y23" s="109">
        <f>'NKC2-%'!AF33*100</f>
        <v>0</v>
      </c>
      <c r="Z23" s="109">
        <f>'NKC2-%'!AG33*100</f>
        <v>0</v>
      </c>
      <c r="AA23" s="109">
        <f>'NKC2-%'!AH33*100</f>
        <v>0</v>
      </c>
      <c r="AB23" s="109">
        <f>'NKC2-%'!AI33*100</f>
        <v>0</v>
      </c>
      <c r="AC23" s="109">
        <f>'NKC2-%'!AJ33*100</f>
        <v>0</v>
      </c>
      <c r="AD23" s="109">
        <f>'NKC2-%'!AK33*100</f>
        <v>0</v>
      </c>
      <c r="AE23" s="109">
        <f>'NKC2-%'!AL33*100</f>
        <v>0</v>
      </c>
      <c r="AF23" s="109">
        <f>'NKC2-%'!AM33*100</f>
        <v>0</v>
      </c>
      <c r="AG23" s="109">
        <f>'NKC2-%'!AN33*100</f>
        <v>0</v>
      </c>
      <c r="AH23" s="109">
        <f>'NKC2-%'!AO33*100</f>
        <v>0</v>
      </c>
      <c r="AI23" s="109">
        <f>'NKC2-%'!AP33*100</f>
        <v>0</v>
      </c>
      <c r="AJ23" s="109">
        <f>'NKC2-%'!AQ33*100</f>
        <v>0</v>
      </c>
      <c r="AK23" s="109">
        <f>'NKC2-%'!AR33*100</f>
        <v>0</v>
      </c>
      <c r="AL23" s="109">
        <f>'NKC2-%'!AS33*100</f>
        <v>0</v>
      </c>
      <c r="AM23" s="109">
        <f>'NKC2-%'!AT33*100</f>
        <v>0</v>
      </c>
      <c r="AN23" s="109">
        <f>'NKC2-%'!AU33*100</f>
        <v>0</v>
      </c>
      <c r="AO23" s="109">
        <f>'NKC2-%'!AV33*100</f>
        <v>0</v>
      </c>
      <c r="AP23" s="109">
        <f>'NKC2-%'!AW33*100</f>
        <v>0</v>
      </c>
      <c r="AQ23" s="109">
        <f>'NKC2-%'!AX33*100</f>
        <v>0</v>
      </c>
      <c r="AR23" s="109">
        <f>'NKC2-%'!AY33*100</f>
        <v>0</v>
      </c>
      <c r="AS23" s="109">
        <f>'NKC2-%'!AZ33*100</f>
        <v>0</v>
      </c>
      <c r="AT23" s="109">
        <f>'NKC2-%'!BA33*100</f>
        <v>0</v>
      </c>
      <c r="AU23" s="109">
        <f>'NKC2-%'!BB33*100</f>
        <v>0</v>
      </c>
      <c r="AV23" s="109">
        <f>'NKC2-%'!BC33*100</f>
        <v>0</v>
      </c>
      <c r="AW23" s="109">
        <f>'NKC2-%'!BD33*100</f>
        <v>0</v>
      </c>
      <c r="AX23" s="109">
        <f>'NKC2-%'!BE33*100</f>
        <v>0</v>
      </c>
      <c r="AY23" s="109">
        <f>'NKC2-%'!BF33*100</f>
        <v>0</v>
      </c>
      <c r="AZ23" s="109">
        <f>'NKC2-%'!BG33*100</f>
        <v>0</v>
      </c>
      <c r="BA23" s="109">
        <f>'NKC2-%'!BH33*100</f>
        <v>0</v>
      </c>
      <c r="BB23" s="109">
        <f>'NKC2-%'!BI33*100</f>
        <v>0</v>
      </c>
      <c r="BC23" s="109">
        <f>'NKC2-%'!BJ33*100</f>
        <v>0</v>
      </c>
      <c r="BD23" s="109">
        <f>'NKC2-%'!BK33*100</f>
        <v>0</v>
      </c>
      <c r="BE23" s="109">
        <f>'NKC2-%'!BL33*100</f>
        <v>0</v>
      </c>
      <c r="BF23" s="109">
        <f>'NKC2-%'!BM33*100</f>
        <v>0</v>
      </c>
      <c r="BG23" s="109">
        <f>'NKC2-%'!BN33*100</f>
        <v>0</v>
      </c>
      <c r="BH23" s="109">
        <f>'NKC2-%'!BO33*100</f>
        <v>0</v>
      </c>
      <c r="BI23" s="109">
        <f>'NKC2-%'!BP33*100</f>
        <v>0</v>
      </c>
      <c r="BJ23" s="109">
        <f>'NKC2-%'!BQ33*100</f>
        <v>0</v>
      </c>
      <c r="BK23" s="109">
        <f>'NKC2-%'!BR33*100</f>
        <v>0</v>
      </c>
      <c r="BL23" s="109">
        <f>'NKC2-%'!BS33*100</f>
        <v>0</v>
      </c>
      <c r="BM23" s="109">
        <f>'NKC2-%'!BT33*100</f>
        <v>0</v>
      </c>
      <c r="BN23" s="109">
        <f>'NKC2-%'!BU33*100</f>
        <v>0</v>
      </c>
      <c r="BO23" s="109">
        <f>'NKC2-%'!BV33*100</f>
        <v>0</v>
      </c>
      <c r="BP23" s="109">
        <f>'NKC2-%'!BW33*100</f>
        <v>0</v>
      </c>
      <c r="BQ23" s="109">
        <f>'NKC2-%'!BX33*100</f>
        <v>0</v>
      </c>
      <c r="BR23" s="109">
        <f>'NKC2-%'!BY33*100</f>
        <v>0</v>
      </c>
      <c r="BS23" s="109">
        <f>'NKC2-%'!BZ33*100</f>
        <v>0</v>
      </c>
      <c r="BT23" s="109">
        <f>'NKC2-%'!CA33*100</f>
        <v>0</v>
      </c>
      <c r="BU23" s="109">
        <f>'NKC2-%'!CB33*100</f>
        <v>0</v>
      </c>
      <c r="BV23" s="109">
        <f>'NKC2-%'!CC33*100</f>
        <v>0</v>
      </c>
      <c r="BW23" s="109">
        <f>'NKC2-%'!CD33*100</f>
        <v>0</v>
      </c>
      <c r="BX23" s="109">
        <f>'NKC2-%'!CE33*100</f>
        <v>0</v>
      </c>
      <c r="BY23" s="109">
        <f>'NKC2-%'!CF33*100</f>
        <v>0</v>
      </c>
      <c r="BZ23" s="109">
        <f>'NKC2-%'!CG33*100</f>
        <v>0</v>
      </c>
      <c r="CA23" s="109">
        <f>'NKC2-%'!CH33*100</f>
        <v>0</v>
      </c>
      <c r="CB23" s="109">
        <f>'NKC2-%'!CI33*100</f>
        <v>0</v>
      </c>
      <c r="CC23" s="109">
        <f>'NKC2-%'!CJ33*100</f>
        <v>0</v>
      </c>
      <c r="CD23" s="109">
        <f>'NKC2-%'!CK33*100</f>
        <v>0</v>
      </c>
      <c r="CE23" s="109">
        <f>'NKC2-%'!CL33*100</f>
        <v>0</v>
      </c>
      <c r="CF23" s="109">
        <f>'NKC2-%'!CM33*100</f>
        <v>0</v>
      </c>
      <c r="CG23" s="109">
        <f>'NKC2-%'!CN33*100</f>
        <v>0</v>
      </c>
      <c r="CH23" s="109">
        <f>'NKC2-%'!CO33*100</f>
        <v>0</v>
      </c>
      <c r="CI23" s="109">
        <f>'NKC2-%'!CP33*100</f>
        <v>0</v>
      </c>
    </row>
    <row r="24" spans="1:87" x14ac:dyDescent="0.45">
      <c r="A24" s="266" t="str">
        <f>'NKC2-%'!B34</f>
        <v>1.2.9</v>
      </c>
      <c r="B24" t="str">
        <f>'NKC2-%'!D34</f>
        <v>WWWT Foundation</v>
      </c>
      <c r="C24" s="104">
        <f>'NKC2-%'!F34</f>
        <v>213666.42749999999</v>
      </c>
      <c r="D24" s="87" t="str">
        <f>'NKC2-%'!G34</f>
        <v>P</v>
      </c>
      <c r="E24" s="109">
        <f>'NKC2-%'!K34*100</f>
        <v>100</v>
      </c>
      <c r="F24" s="109">
        <f>'NKC2-%'!M34*100</f>
        <v>0</v>
      </c>
      <c r="G24" s="109">
        <f>'NKC2-%'!N34*100</f>
        <v>0</v>
      </c>
      <c r="H24" s="109">
        <f>'NKC2-%'!O34*100</f>
        <v>0</v>
      </c>
      <c r="I24" s="109">
        <f>'NKC2-%'!P34*100</f>
        <v>0</v>
      </c>
      <c r="J24" s="109">
        <f>'NKC2-%'!Q34*100</f>
        <v>0</v>
      </c>
      <c r="K24" s="109">
        <f>'NKC2-%'!R34*100</f>
        <v>0</v>
      </c>
      <c r="L24" s="109">
        <f>'NKC2-%'!S34*100</f>
        <v>0</v>
      </c>
      <c r="M24" s="109">
        <f>'NKC2-%'!T34*100</f>
        <v>0</v>
      </c>
      <c r="N24" s="109">
        <f>'NKC2-%'!U34*100</f>
        <v>0</v>
      </c>
      <c r="O24" s="109">
        <f>'NKC2-%'!V34*100</f>
        <v>0</v>
      </c>
      <c r="P24" s="109">
        <f>'NKC2-%'!W34*100</f>
        <v>0</v>
      </c>
      <c r="Q24" s="109">
        <f>'NKC2-%'!X34*100</f>
        <v>0</v>
      </c>
      <c r="R24" s="109">
        <f>'NKC2-%'!Y34*100</f>
        <v>0</v>
      </c>
      <c r="S24" s="109">
        <f>'NKC2-%'!Z34*100</f>
        <v>0</v>
      </c>
      <c r="T24" s="109">
        <f>'NKC2-%'!AA34*100</f>
        <v>0</v>
      </c>
      <c r="U24" s="109">
        <f>'NKC2-%'!AB34*100</f>
        <v>0</v>
      </c>
      <c r="V24" s="109">
        <f>'NKC2-%'!AC34*100</f>
        <v>0</v>
      </c>
      <c r="W24" s="109">
        <f>'NKC2-%'!AD34*100</f>
        <v>0</v>
      </c>
      <c r="X24" s="109">
        <f>'NKC2-%'!AE34*100</f>
        <v>0</v>
      </c>
      <c r="Y24" s="109">
        <f>'NKC2-%'!AF34*100</f>
        <v>0</v>
      </c>
      <c r="Z24" s="109">
        <f>'NKC2-%'!AG34*100</f>
        <v>0</v>
      </c>
      <c r="AA24" s="109">
        <f>'NKC2-%'!AH34*100</f>
        <v>0</v>
      </c>
      <c r="AB24" s="109">
        <f>'NKC2-%'!AI34*100</f>
        <v>0</v>
      </c>
      <c r="AC24" s="109">
        <f>'NKC2-%'!AJ34*100</f>
        <v>0</v>
      </c>
      <c r="AD24" s="109">
        <f>'NKC2-%'!AK34*100</f>
        <v>0</v>
      </c>
      <c r="AE24" s="109">
        <f>'NKC2-%'!AL34*100</f>
        <v>0</v>
      </c>
      <c r="AF24" s="109">
        <f>'NKC2-%'!AM34*100</f>
        <v>0</v>
      </c>
      <c r="AG24" s="109">
        <f>'NKC2-%'!AN34*100</f>
        <v>0</v>
      </c>
      <c r="AH24" s="109">
        <f>'NKC2-%'!AO34*100</f>
        <v>0</v>
      </c>
      <c r="AI24" s="109">
        <f>'NKC2-%'!AP34*100</f>
        <v>10</v>
      </c>
      <c r="AJ24" s="109">
        <f>'NKC2-%'!AQ34*100</f>
        <v>10</v>
      </c>
      <c r="AK24" s="109">
        <f>'NKC2-%'!AR34*100</f>
        <v>20</v>
      </c>
      <c r="AL24" s="109">
        <f>'NKC2-%'!AS34*100</f>
        <v>40</v>
      </c>
      <c r="AM24" s="109">
        <f>'NKC2-%'!AT34*100</f>
        <v>20</v>
      </c>
      <c r="AN24" s="109">
        <f>'NKC2-%'!AU34*100</f>
        <v>0</v>
      </c>
      <c r="AO24" s="109">
        <f>'NKC2-%'!AV34*100</f>
        <v>0</v>
      </c>
      <c r="AP24" s="109">
        <f>'NKC2-%'!AW34*100</f>
        <v>0</v>
      </c>
      <c r="AQ24" s="109">
        <f>'NKC2-%'!AX34*100</f>
        <v>0</v>
      </c>
      <c r="AR24" s="109">
        <f>'NKC2-%'!AY34*100</f>
        <v>0</v>
      </c>
      <c r="AS24" s="109">
        <f>'NKC2-%'!AZ34*100</f>
        <v>0</v>
      </c>
      <c r="AT24" s="109">
        <f>'NKC2-%'!BA34*100</f>
        <v>0</v>
      </c>
      <c r="AU24" s="109">
        <f>'NKC2-%'!BB34*100</f>
        <v>0</v>
      </c>
      <c r="AV24" s="109">
        <f>'NKC2-%'!BC34*100</f>
        <v>0</v>
      </c>
      <c r="AW24" s="109">
        <f>'NKC2-%'!BD34*100</f>
        <v>0</v>
      </c>
      <c r="AX24" s="109">
        <f>'NKC2-%'!BE34*100</f>
        <v>0</v>
      </c>
      <c r="AY24" s="109">
        <f>'NKC2-%'!BF34*100</f>
        <v>0</v>
      </c>
      <c r="AZ24" s="109">
        <f>'NKC2-%'!BG34*100</f>
        <v>0</v>
      </c>
      <c r="BA24" s="109">
        <f>'NKC2-%'!BH34*100</f>
        <v>0</v>
      </c>
      <c r="BB24" s="109">
        <f>'NKC2-%'!BI34*100</f>
        <v>0</v>
      </c>
      <c r="BC24" s="109">
        <f>'NKC2-%'!BJ34*100</f>
        <v>0</v>
      </c>
      <c r="BD24" s="109">
        <f>'NKC2-%'!BK34*100</f>
        <v>0</v>
      </c>
      <c r="BE24" s="109">
        <f>'NKC2-%'!BL34*100</f>
        <v>0</v>
      </c>
      <c r="BF24" s="109">
        <f>'NKC2-%'!BM34*100</f>
        <v>0</v>
      </c>
      <c r="BG24" s="109">
        <f>'NKC2-%'!BN34*100</f>
        <v>0</v>
      </c>
      <c r="BH24" s="109">
        <f>'NKC2-%'!BO34*100</f>
        <v>0</v>
      </c>
      <c r="BI24" s="109">
        <f>'NKC2-%'!BP34*100</f>
        <v>0</v>
      </c>
      <c r="BJ24" s="109">
        <f>'NKC2-%'!BQ34*100</f>
        <v>0</v>
      </c>
      <c r="BK24" s="109">
        <f>'NKC2-%'!BR34*100</f>
        <v>0</v>
      </c>
      <c r="BL24" s="109">
        <f>'NKC2-%'!BS34*100</f>
        <v>0</v>
      </c>
      <c r="BM24" s="109">
        <f>'NKC2-%'!BT34*100</f>
        <v>0</v>
      </c>
      <c r="BN24" s="109">
        <f>'NKC2-%'!BU34*100</f>
        <v>0</v>
      </c>
      <c r="BO24" s="109">
        <f>'NKC2-%'!BV34*100</f>
        <v>0</v>
      </c>
      <c r="BP24" s="109">
        <f>'NKC2-%'!BW34*100</f>
        <v>0</v>
      </c>
      <c r="BQ24" s="109">
        <f>'NKC2-%'!BX34*100</f>
        <v>0</v>
      </c>
      <c r="BR24" s="109">
        <f>'NKC2-%'!BY34*100</f>
        <v>0</v>
      </c>
      <c r="BS24" s="109">
        <f>'NKC2-%'!BZ34*100</f>
        <v>0</v>
      </c>
      <c r="BT24" s="109">
        <f>'NKC2-%'!CA34*100</f>
        <v>0</v>
      </c>
      <c r="BU24" s="109">
        <f>'NKC2-%'!CB34*100</f>
        <v>0</v>
      </c>
      <c r="BV24" s="109">
        <f>'NKC2-%'!CC34*100</f>
        <v>0</v>
      </c>
      <c r="BW24" s="109">
        <f>'NKC2-%'!CD34*100</f>
        <v>0</v>
      </c>
      <c r="BX24" s="109">
        <f>'NKC2-%'!CE34*100</f>
        <v>0</v>
      </c>
      <c r="BY24" s="109">
        <f>'NKC2-%'!CF34*100</f>
        <v>0</v>
      </c>
      <c r="BZ24" s="109">
        <f>'NKC2-%'!CG34*100</f>
        <v>0</v>
      </c>
      <c r="CA24" s="109">
        <f>'NKC2-%'!CH34*100</f>
        <v>0</v>
      </c>
      <c r="CB24" s="109">
        <f>'NKC2-%'!CI34*100</f>
        <v>0</v>
      </c>
      <c r="CC24" s="109">
        <f>'NKC2-%'!CJ34*100</f>
        <v>0</v>
      </c>
      <c r="CD24" s="109">
        <f>'NKC2-%'!CK34*100</f>
        <v>0</v>
      </c>
      <c r="CE24" s="109">
        <f>'NKC2-%'!CL34*100</f>
        <v>0</v>
      </c>
      <c r="CF24" s="109">
        <f>'NKC2-%'!CM34*100</f>
        <v>0</v>
      </c>
      <c r="CG24" s="109">
        <f>'NKC2-%'!CN34*100</f>
        <v>0</v>
      </c>
      <c r="CH24" s="109">
        <f>'NKC2-%'!CO34*100</f>
        <v>0</v>
      </c>
      <c r="CI24" s="109">
        <f>'NKC2-%'!CP34*100</f>
        <v>0</v>
      </c>
    </row>
    <row r="25" spans="1:87" x14ac:dyDescent="0.45">
      <c r="A25" s="266" t="str">
        <f>'NKC2-%'!B35</f>
        <v>1.2.9</v>
      </c>
      <c r="B25" t="str">
        <f>'NKC2-%'!D35</f>
        <v>WWWT Foundation</v>
      </c>
      <c r="C25" s="104">
        <f>'NKC2-%'!F35</f>
        <v>213666.42749999999</v>
      </c>
      <c r="D25" s="87" t="str">
        <f>'NKC2-%'!G35</f>
        <v>A</v>
      </c>
      <c r="E25" s="109">
        <f>'NKC2-%'!K35*100</f>
        <v>60</v>
      </c>
      <c r="F25" s="109">
        <f>'NKC2-%'!M35*100</f>
        <v>0</v>
      </c>
      <c r="G25" s="109">
        <f>'NKC2-%'!N35*100</f>
        <v>0</v>
      </c>
      <c r="H25" s="109">
        <f>'NKC2-%'!O35*100</f>
        <v>0</v>
      </c>
      <c r="I25" s="109">
        <f>'NKC2-%'!P35*100</f>
        <v>0</v>
      </c>
      <c r="J25" s="109">
        <f>'NKC2-%'!Q35*100</f>
        <v>0</v>
      </c>
      <c r="K25" s="109">
        <f>'NKC2-%'!R35*100</f>
        <v>0</v>
      </c>
      <c r="L25" s="109">
        <f>'NKC2-%'!S35*100</f>
        <v>0</v>
      </c>
      <c r="M25" s="109">
        <f>'NKC2-%'!T35*100</f>
        <v>0</v>
      </c>
      <c r="N25" s="109">
        <f>'NKC2-%'!U35*100</f>
        <v>0</v>
      </c>
      <c r="O25" s="109">
        <f>'NKC2-%'!V35*100</f>
        <v>0</v>
      </c>
      <c r="P25" s="109">
        <f>'NKC2-%'!W35*100</f>
        <v>0</v>
      </c>
      <c r="Q25" s="109">
        <f>'NKC2-%'!X35*100</f>
        <v>0</v>
      </c>
      <c r="R25" s="109">
        <f>'NKC2-%'!Y35*100</f>
        <v>0</v>
      </c>
      <c r="S25" s="109">
        <f>'NKC2-%'!Z35*100</f>
        <v>0</v>
      </c>
      <c r="T25" s="109">
        <f>'NKC2-%'!AA35*100</f>
        <v>0</v>
      </c>
      <c r="U25" s="109">
        <f>'NKC2-%'!AB35*100</f>
        <v>0</v>
      </c>
      <c r="V25" s="109">
        <f>'NKC2-%'!AC35*100</f>
        <v>0</v>
      </c>
      <c r="W25" s="109">
        <f>'NKC2-%'!AD35*100</f>
        <v>0</v>
      </c>
      <c r="X25" s="109">
        <f>'NKC2-%'!AE35*100</f>
        <v>0</v>
      </c>
      <c r="Y25" s="109">
        <f>'NKC2-%'!AF35*100</f>
        <v>0</v>
      </c>
      <c r="Z25" s="109">
        <f>'NKC2-%'!AG35*100</f>
        <v>0</v>
      </c>
      <c r="AA25" s="109">
        <f>'NKC2-%'!AH35*100</f>
        <v>0</v>
      </c>
      <c r="AB25" s="109">
        <f>'NKC2-%'!AI35*100</f>
        <v>0</v>
      </c>
      <c r="AC25" s="109">
        <f>'NKC2-%'!AJ35*100</f>
        <v>0</v>
      </c>
      <c r="AD25" s="109">
        <f>'NKC2-%'!AK35*100</f>
        <v>0</v>
      </c>
      <c r="AE25" s="109">
        <f>'NKC2-%'!AL35*100</f>
        <v>0</v>
      </c>
      <c r="AF25" s="109">
        <f>'NKC2-%'!AM35*100</f>
        <v>0</v>
      </c>
      <c r="AG25" s="109">
        <f>'NKC2-%'!AN35*100</f>
        <v>0</v>
      </c>
      <c r="AH25" s="109">
        <f>'NKC2-%'!AO35*100</f>
        <v>0</v>
      </c>
      <c r="AI25" s="109">
        <f>'NKC2-%'!AP35*100</f>
        <v>0</v>
      </c>
      <c r="AJ25" s="109">
        <f>'NKC2-%'!AQ35*100</f>
        <v>10</v>
      </c>
      <c r="AK25" s="109">
        <f>'NKC2-%'!AR35*100</f>
        <v>20</v>
      </c>
      <c r="AL25" s="109">
        <f>'NKC2-%'!AS35*100</f>
        <v>20</v>
      </c>
      <c r="AM25" s="109">
        <f>'NKC2-%'!AT35*100</f>
        <v>10</v>
      </c>
      <c r="AN25" s="109">
        <f>'NKC2-%'!AU35*100</f>
        <v>0</v>
      </c>
      <c r="AO25" s="109">
        <f>'NKC2-%'!AV35*100</f>
        <v>0</v>
      </c>
      <c r="AP25" s="109">
        <f>'NKC2-%'!AW35*100</f>
        <v>0</v>
      </c>
      <c r="AQ25" s="109">
        <f>'NKC2-%'!AX35*100</f>
        <v>0</v>
      </c>
      <c r="AR25" s="109">
        <f>'NKC2-%'!AY35*100</f>
        <v>0</v>
      </c>
      <c r="AS25" s="109">
        <f>'NKC2-%'!AZ35*100</f>
        <v>0</v>
      </c>
      <c r="AT25" s="109">
        <f>'NKC2-%'!BA35*100</f>
        <v>0</v>
      </c>
      <c r="AU25" s="109">
        <f>'NKC2-%'!BB35*100</f>
        <v>0</v>
      </c>
      <c r="AV25" s="109">
        <f>'NKC2-%'!BC35*100</f>
        <v>0</v>
      </c>
      <c r="AW25" s="109">
        <f>'NKC2-%'!BD35*100</f>
        <v>0</v>
      </c>
      <c r="AX25" s="109">
        <f>'NKC2-%'!BE35*100</f>
        <v>0</v>
      </c>
      <c r="AY25" s="109">
        <f>'NKC2-%'!BF35*100</f>
        <v>0</v>
      </c>
      <c r="AZ25" s="109">
        <f>'NKC2-%'!BG35*100</f>
        <v>0</v>
      </c>
      <c r="BA25" s="109">
        <f>'NKC2-%'!BH35*100</f>
        <v>0</v>
      </c>
      <c r="BB25" s="109">
        <f>'NKC2-%'!BI35*100</f>
        <v>0</v>
      </c>
      <c r="BC25" s="109">
        <f>'NKC2-%'!BJ35*100</f>
        <v>0</v>
      </c>
      <c r="BD25" s="109">
        <f>'NKC2-%'!BK35*100</f>
        <v>0</v>
      </c>
      <c r="BE25" s="109">
        <f>'NKC2-%'!BL35*100</f>
        <v>0</v>
      </c>
      <c r="BF25" s="109">
        <f>'NKC2-%'!BM35*100</f>
        <v>0</v>
      </c>
      <c r="BG25" s="109">
        <f>'NKC2-%'!BN35*100</f>
        <v>0</v>
      </c>
      <c r="BH25" s="109">
        <f>'NKC2-%'!BO35*100</f>
        <v>0</v>
      </c>
      <c r="BI25" s="109">
        <f>'NKC2-%'!BP35*100</f>
        <v>0</v>
      </c>
      <c r="BJ25" s="109">
        <f>'NKC2-%'!BQ35*100</f>
        <v>0</v>
      </c>
      <c r="BK25" s="109">
        <f>'NKC2-%'!BR35*100</f>
        <v>0</v>
      </c>
      <c r="BL25" s="109">
        <f>'NKC2-%'!BS35*100</f>
        <v>0</v>
      </c>
      <c r="BM25" s="109">
        <f>'NKC2-%'!BT35*100</f>
        <v>0</v>
      </c>
      <c r="BN25" s="109">
        <f>'NKC2-%'!BU35*100</f>
        <v>0</v>
      </c>
      <c r="BO25" s="109">
        <f>'NKC2-%'!BV35*100</f>
        <v>0</v>
      </c>
      <c r="BP25" s="109">
        <f>'NKC2-%'!BW35*100</f>
        <v>0</v>
      </c>
      <c r="BQ25" s="109">
        <f>'NKC2-%'!BX35*100</f>
        <v>0</v>
      </c>
      <c r="BR25" s="109">
        <f>'NKC2-%'!BY35*100</f>
        <v>0</v>
      </c>
      <c r="BS25" s="109">
        <f>'NKC2-%'!BZ35*100</f>
        <v>0</v>
      </c>
      <c r="BT25" s="109">
        <f>'NKC2-%'!CA35*100</f>
        <v>0</v>
      </c>
      <c r="BU25" s="109">
        <f>'NKC2-%'!CB35*100</f>
        <v>0</v>
      </c>
      <c r="BV25" s="109">
        <f>'NKC2-%'!CC35*100</f>
        <v>0</v>
      </c>
      <c r="BW25" s="109">
        <f>'NKC2-%'!CD35*100</f>
        <v>0</v>
      </c>
      <c r="BX25" s="109">
        <f>'NKC2-%'!CE35*100</f>
        <v>0</v>
      </c>
      <c r="BY25" s="109">
        <f>'NKC2-%'!CF35*100</f>
        <v>0</v>
      </c>
      <c r="BZ25" s="109">
        <f>'NKC2-%'!CG35*100</f>
        <v>0</v>
      </c>
      <c r="CA25" s="109">
        <f>'NKC2-%'!CH35*100</f>
        <v>0</v>
      </c>
      <c r="CB25" s="109">
        <f>'NKC2-%'!CI35*100</f>
        <v>0</v>
      </c>
      <c r="CC25" s="109">
        <f>'NKC2-%'!CJ35*100</f>
        <v>0</v>
      </c>
      <c r="CD25" s="109">
        <f>'NKC2-%'!CK35*100</f>
        <v>0</v>
      </c>
      <c r="CE25" s="109">
        <f>'NKC2-%'!CL35*100</f>
        <v>0</v>
      </c>
      <c r="CF25" s="109">
        <f>'NKC2-%'!CM35*100</f>
        <v>0</v>
      </c>
      <c r="CG25" s="109">
        <f>'NKC2-%'!CN35*100</f>
        <v>0</v>
      </c>
      <c r="CH25" s="109">
        <f>'NKC2-%'!CO35*100</f>
        <v>0</v>
      </c>
      <c r="CI25" s="109">
        <f>'NKC2-%'!CP35*100</f>
        <v>0</v>
      </c>
    </row>
    <row r="26" spans="1:87" x14ac:dyDescent="0.45">
      <c r="A26" s="266" t="str">
        <f>'NKC2-%'!B36</f>
        <v>1.2.10</v>
      </c>
      <c r="B26" t="str">
        <f>'NKC2-%'!D36</f>
        <v>Greastrap Foundation</v>
      </c>
      <c r="C26" s="104">
        <f>'NKC2-%'!F36</f>
        <v>59959.247600000002</v>
      </c>
      <c r="D26" s="87" t="str">
        <f>'NKC2-%'!G36</f>
        <v>P</v>
      </c>
      <c r="E26" s="109">
        <f>'NKC2-%'!K36*100</f>
        <v>100</v>
      </c>
      <c r="F26" s="109">
        <f>'NKC2-%'!M36*100</f>
        <v>0</v>
      </c>
      <c r="G26" s="109">
        <f>'NKC2-%'!N36*100</f>
        <v>0</v>
      </c>
      <c r="H26" s="109">
        <f>'NKC2-%'!O36*100</f>
        <v>0</v>
      </c>
      <c r="I26" s="109">
        <f>'NKC2-%'!P36*100</f>
        <v>0</v>
      </c>
      <c r="J26" s="109">
        <f>'NKC2-%'!Q36*100</f>
        <v>0</v>
      </c>
      <c r="K26" s="109">
        <f>'NKC2-%'!R36*100</f>
        <v>0</v>
      </c>
      <c r="L26" s="109">
        <f>'NKC2-%'!S36*100</f>
        <v>0</v>
      </c>
      <c r="M26" s="109">
        <f>'NKC2-%'!T36*100</f>
        <v>0</v>
      </c>
      <c r="N26" s="109">
        <f>'NKC2-%'!U36*100</f>
        <v>0</v>
      </c>
      <c r="O26" s="109">
        <f>'NKC2-%'!V36*100</f>
        <v>0</v>
      </c>
      <c r="P26" s="109">
        <f>'NKC2-%'!W36*100</f>
        <v>0</v>
      </c>
      <c r="Q26" s="109">
        <f>'NKC2-%'!X36*100</f>
        <v>0</v>
      </c>
      <c r="R26" s="109">
        <f>'NKC2-%'!Y36*100</f>
        <v>0</v>
      </c>
      <c r="S26" s="109">
        <f>'NKC2-%'!Z36*100</f>
        <v>0</v>
      </c>
      <c r="T26" s="109">
        <f>'NKC2-%'!AA36*100</f>
        <v>0</v>
      </c>
      <c r="U26" s="109">
        <f>'NKC2-%'!AB36*100</f>
        <v>0</v>
      </c>
      <c r="V26" s="109">
        <f>'NKC2-%'!AC36*100</f>
        <v>0</v>
      </c>
      <c r="W26" s="109">
        <f>'NKC2-%'!AD36*100</f>
        <v>0</v>
      </c>
      <c r="X26" s="109">
        <f>'NKC2-%'!AE36*100</f>
        <v>0</v>
      </c>
      <c r="Y26" s="109">
        <f>'NKC2-%'!AF36*100</f>
        <v>0</v>
      </c>
      <c r="Z26" s="109">
        <f>'NKC2-%'!AG36*100</f>
        <v>0</v>
      </c>
      <c r="AA26" s="109">
        <f>'NKC2-%'!AH36*100</f>
        <v>0</v>
      </c>
      <c r="AB26" s="109">
        <f>'NKC2-%'!AI36*100</f>
        <v>0</v>
      </c>
      <c r="AC26" s="109">
        <f>'NKC2-%'!AJ36*100</f>
        <v>0</v>
      </c>
      <c r="AD26" s="109">
        <f>'NKC2-%'!AK36*100</f>
        <v>0</v>
      </c>
      <c r="AE26" s="109">
        <f>'NKC2-%'!AL36*100</f>
        <v>0</v>
      </c>
      <c r="AF26" s="109">
        <f>'NKC2-%'!AM36*100</f>
        <v>0</v>
      </c>
      <c r="AG26" s="109">
        <f>'NKC2-%'!AN36*100</f>
        <v>0</v>
      </c>
      <c r="AH26" s="109">
        <f>'NKC2-%'!AO36*100</f>
        <v>0</v>
      </c>
      <c r="AI26" s="109">
        <f>'NKC2-%'!AP36*100</f>
        <v>0</v>
      </c>
      <c r="AJ26" s="109">
        <f>'NKC2-%'!AQ36*100</f>
        <v>0</v>
      </c>
      <c r="AK26" s="109">
        <f>'NKC2-%'!AR36*100</f>
        <v>0</v>
      </c>
      <c r="AL26" s="109">
        <f>'NKC2-%'!AS36*100</f>
        <v>10</v>
      </c>
      <c r="AM26" s="109">
        <f>'NKC2-%'!AT36*100</f>
        <v>40</v>
      </c>
      <c r="AN26" s="109">
        <f>'NKC2-%'!AU36*100</f>
        <v>35</v>
      </c>
      <c r="AO26" s="109">
        <f>'NKC2-%'!AV36*100</f>
        <v>15</v>
      </c>
      <c r="AP26" s="109">
        <f>'NKC2-%'!AW36*100</f>
        <v>0</v>
      </c>
      <c r="AQ26" s="109">
        <f>'NKC2-%'!AX36*100</f>
        <v>0</v>
      </c>
      <c r="AR26" s="109">
        <f>'NKC2-%'!AY36*100</f>
        <v>0</v>
      </c>
      <c r="AS26" s="109">
        <f>'NKC2-%'!AZ36*100</f>
        <v>0</v>
      </c>
      <c r="AT26" s="109">
        <f>'NKC2-%'!BA36*100</f>
        <v>0</v>
      </c>
      <c r="AU26" s="109">
        <f>'NKC2-%'!BB36*100</f>
        <v>0</v>
      </c>
      <c r="AV26" s="109">
        <f>'NKC2-%'!BC36*100</f>
        <v>0</v>
      </c>
      <c r="AW26" s="109">
        <f>'NKC2-%'!BD36*100</f>
        <v>0</v>
      </c>
      <c r="AX26" s="109">
        <f>'NKC2-%'!BE36*100</f>
        <v>0</v>
      </c>
      <c r="AY26" s="109">
        <f>'NKC2-%'!BF36*100</f>
        <v>0</v>
      </c>
      <c r="AZ26" s="109">
        <f>'NKC2-%'!BG36*100</f>
        <v>0</v>
      </c>
      <c r="BA26" s="109">
        <f>'NKC2-%'!BH36*100</f>
        <v>0</v>
      </c>
      <c r="BB26" s="109">
        <f>'NKC2-%'!BI36*100</f>
        <v>0</v>
      </c>
      <c r="BC26" s="109">
        <f>'NKC2-%'!BJ36*100</f>
        <v>0</v>
      </c>
      <c r="BD26" s="109">
        <f>'NKC2-%'!BK36*100</f>
        <v>0</v>
      </c>
      <c r="BE26" s="109">
        <f>'NKC2-%'!BL36*100</f>
        <v>0</v>
      </c>
      <c r="BF26" s="109">
        <f>'NKC2-%'!BM36*100</f>
        <v>0</v>
      </c>
      <c r="BG26" s="109">
        <f>'NKC2-%'!BN36*100</f>
        <v>0</v>
      </c>
      <c r="BH26" s="109">
        <f>'NKC2-%'!BO36*100</f>
        <v>0</v>
      </c>
      <c r="BI26" s="109">
        <f>'NKC2-%'!BP36*100</f>
        <v>0</v>
      </c>
      <c r="BJ26" s="109">
        <f>'NKC2-%'!BQ36*100</f>
        <v>0</v>
      </c>
      <c r="BK26" s="109">
        <f>'NKC2-%'!BR36*100</f>
        <v>0</v>
      </c>
      <c r="BL26" s="109">
        <f>'NKC2-%'!BS36*100</f>
        <v>0</v>
      </c>
      <c r="BM26" s="109">
        <f>'NKC2-%'!BT36*100</f>
        <v>0</v>
      </c>
      <c r="BN26" s="109">
        <f>'NKC2-%'!BU36*100</f>
        <v>0</v>
      </c>
      <c r="BO26" s="109">
        <f>'NKC2-%'!BV36*100</f>
        <v>0</v>
      </c>
      <c r="BP26" s="109">
        <f>'NKC2-%'!BW36*100</f>
        <v>0</v>
      </c>
      <c r="BQ26" s="109">
        <f>'NKC2-%'!BX36*100</f>
        <v>0</v>
      </c>
      <c r="BR26" s="109">
        <f>'NKC2-%'!BY36*100</f>
        <v>0</v>
      </c>
      <c r="BS26" s="109">
        <f>'NKC2-%'!BZ36*100</f>
        <v>0</v>
      </c>
      <c r="BT26" s="109">
        <f>'NKC2-%'!CA36*100</f>
        <v>0</v>
      </c>
      <c r="BU26" s="109">
        <f>'NKC2-%'!CB36*100</f>
        <v>0</v>
      </c>
      <c r="BV26" s="109">
        <f>'NKC2-%'!CC36*100</f>
        <v>0</v>
      </c>
      <c r="BW26" s="109">
        <f>'NKC2-%'!CD36*100</f>
        <v>0</v>
      </c>
      <c r="BX26" s="109">
        <f>'NKC2-%'!CE36*100</f>
        <v>0</v>
      </c>
      <c r="BY26" s="109">
        <f>'NKC2-%'!CF36*100</f>
        <v>0</v>
      </c>
      <c r="BZ26" s="109">
        <f>'NKC2-%'!CG36*100</f>
        <v>0</v>
      </c>
      <c r="CA26" s="109">
        <f>'NKC2-%'!CH36*100</f>
        <v>0</v>
      </c>
      <c r="CB26" s="109">
        <f>'NKC2-%'!CI36*100</f>
        <v>0</v>
      </c>
      <c r="CC26" s="109">
        <f>'NKC2-%'!CJ36*100</f>
        <v>0</v>
      </c>
      <c r="CD26" s="109">
        <f>'NKC2-%'!CK36*100</f>
        <v>0</v>
      </c>
      <c r="CE26" s="109">
        <f>'NKC2-%'!CL36*100</f>
        <v>0</v>
      </c>
      <c r="CF26" s="109">
        <f>'NKC2-%'!CM36*100</f>
        <v>0</v>
      </c>
      <c r="CG26" s="109">
        <f>'NKC2-%'!CN36*100</f>
        <v>0</v>
      </c>
      <c r="CH26" s="109">
        <f>'NKC2-%'!CO36*100</f>
        <v>0</v>
      </c>
      <c r="CI26" s="109">
        <f>'NKC2-%'!CP36*100</f>
        <v>0</v>
      </c>
    </row>
    <row r="27" spans="1:87" x14ac:dyDescent="0.45">
      <c r="A27" s="266" t="str">
        <f>'NKC2-%'!B37</f>
        <v>1.2.10</v>
      </c>
      <c r="B27" t="str">
        <f>'NKC2-%'!D37</f>
        <v>Greastrap Foundation</v>
      </c>
      <c r="C27" s="104">
        <f>'NKC2-%'!F37</f>
        <v>59959.247600000002</v>
      </c>
      <c r="D27" s="87" t="str">
        <f>'NKC2-%'!G37</f>
        <v>A</v>
      </c>
      <c r="E27" s="109">
        <f>'NKC2-%'!K37*100</f>
        <v>20</v>
      </c>
      <c r="F27" s="109">
        <f>'NKC2-%'!M37*100</f>
        <v>0</v>
      </c>
      <c r="G27" s="109">
        <f>'NKC2-%'!N37*100</f>
        <v>0</v>
      </c>
      <c r="H27" s="109">
        <f>'NKC2-%'!O37*100</f>
        <v>0</v>
      </c>
      <c r="I27" s="109">
        <f>'NKC2-%'!P37*100</f>
        <v>0</v>
      </c>
      <c r="J27" s="109">
        <f>'NKC2-%'!Q37*100</f>
        <v>0</v>
      </c>
      <c r="K27" s="109">
        <f>'NKC2-%'!R37*100</f>
        <v>0</v>
      </c>
      <c r="L27" s="109">
        <f>'NKC2-%'!S37*100</f>
        <v>0</v>
      </c>
      <c r="M27" s="109">
        <f>'NKC2-%'!T37*100</f>
        <v>0</v>
      </c>
      <c r="N27" s="109">
        <f>'NKC2-%'!U37*100</f>
        <v>0</v>
      </c>
      <c r="O27" s="109">
        <f>'NKC2-%'!V37*100</f>
        <v>0</v>
      </c>
      <c r="P27" s="109">
        <f>'NKC2-%'!W37*100</f>
        <v>0</v>
      </c>
      <c r="Q27" s="109">
        <f>'NKC2-%'!X37*100</f>
        <v>0</v>
      </c>
      <c r="R27" s="109">
        <f>'NKC2-%'!Y37*100</f>
        <v>0</v>
      </c>
      <c r="S27" s="109">
        <f>'NKC2-%'!Z37*100</f>
        <v>0</v>
      </c>
      <c r="T27" s="109">
        <f>'NKC2-%'!AA37*100</f>
        <v>0</v>
      </c>
      <c r="U27" s="109">
        <f>'NKC2-%'!AB37*100</f>
        <v>0</v>
      </c>
      <c r="V27" s="109">
        <f>'NKC2-%'!AC37*100</f>
        <v>0</v>
      </c>
      <c r="W27" s="109">
        <f>'NKC2-%'!AD37*100</f>
        <v>0</v>
      </c>
      <c r="X27" s="109">
        <f>'NKC2-%'!AE37*100</f>
        <v>0</v>
      </c>
      <c r="Y27" s="109">
        <f>'NKC2-%'!AF37*100</f>
        <v>0</v>
      </c>
      <c r="Z27" s="109">
        <f>'NKC2-%'!AG37*100</f>
        <v>0</v>
      </c>
      <c r="AA27" s="109">
        <f>'NKC2-%'!AH37*100</f>
        <v>0</v>
      </c>
      <c r="AB27" s="109">
        <f>'NKC2-%'!AI37*100</f>
        <v>0</v>
      </c>
      <c r="AC27" s="109">
        <f>'NKC2-%'!AJ37*100</f>
        <v>0</v>
      </c>
      <c r="AD27" s="109">
        <f>'NKC2-%'!AK37*100</f>
        <v>0</v>
      </c>
      <c r="AE27" s="109">
        <f>'NKC2-%'!AL37*100</f>
        <v>0</v>
      </c>
      <c r="AF27" s="109">
        <f>'NKC2-%'!AM37*100</f>
        <v>0</v>
      </c>
      <c r="AG27" s="109">
        <f>'NKC2-%'!AN37*100</f>
        <v>0</v>
      </c>
      <c r="AH27" s="109">
        <f>'NKC2-%'!AO37*100</f>
        <v>0</v>
      </c>
      <c r="AI27" s="109">
        <f>'NKC2-%'!AP37*100</f>
        <v>0</v>
      </c>
      <c r="AJ27" s="109">
        <f>'NKC2-%'!AQ37*100</f>
        <v>0</v>
      </c>
      <c r="AK27" s="109">
        <f>'NKC2-%'!AR37*100</f>
        <v>0</v>
      </c>
      <c r="AL27" s="109">
        <f>'NKC2-%'!AS37*100</f>
        <v>10</v>
      </c>
      <c r="AM27" s="109">
        <f>'NKC2-%'!AT37*100</f>
        <v>10</v>
      </c>
      <c r="AN27" s="109">
        <f>'NKC2-%'!AU37*100</f>
        <v>0</v>
      </c>
      <c r="AO27" s="109">
        <f>'NKC2-%'!AV37*100</f>
        <v>0</v>
      </c>
      <c r="AP27" s="109">
        <f>'NKC2-%'!AW37*100</f>
        <v>0</v>
      </c>
      <c r="AQ27" s="109">
        <f>'NKC2-%'!AX37*100</f>
        <v>0</v>
      </c>
      <c r="AR27" s="109">
        <f>'NKC2-%'!AY37*100</f>
        <v>0</v>
      </c>
      <c r="AS27" s="109">
        <f>'NKC2-%'!AZ37*100</f>
        <v>0</v>
      </c>
      <c r="AT27" s="109">
        <f>'NKC2-%'!BA37*100</f>
        <v>0</v>
      </c>
      <c r="AU27" s="109">
        <f>'NKC2-%'!BB37*100</f>
        <v>0</v>
      </c>
      <c r="AV27" s="109">
        <f>'NKC2-%'!BC37*100</f>
        <v>0</v>
      </c>
      <c r="AW27" s="109">
        <f>'NKC2-%'!BD37*100</f>
        <v>0</v>
      </c>
      <c r="AX27" s="109">
        <f>'NKC2-%'!BE37*100</f>
        <v>0</v>
      </c>
      <c r="AY27" s="109">
        <f>'NKC2-%'!BF37*100</f>
        <v>0</v>
      </c>
      <c r="AZ27" s="109">
        <f>'NKC2-%'!BG37*100</f>
        <v>0</v>
      </c>
      <c r="BA27" s="109">
        <f>'NKC2-%'!BH37*100</f>
        <v>0</v>
      </c>
      <c r="BB27" s="109">
        <f>'NKC2-%'!BI37*100</f>
        <v>0</v>
      </c>
      <c r="BC27" s="109">
        <f>'NKC2-%'!BJ37*100</f>
        <v>0</v>
      </c>
      <c r="BD27" s="109">
        <f>'NKC2-%'!BK37*100</f>
        <v>0</v>
      </c>
      <c r="BE27" s="109">
        <f>'NKC2-%'!BL37*100</f>
        <v>0</v>
      </c>
      <c r="BF27" s="109">
        <f>'NKC2-%'!BM37*100</f>
        <v>0</v>
      </c>
      <c r="BG27" s="109">
        <f>'NKC2-%'!BN37*100</f>
        <v>0</v>
      </c>
      <c r="BH27" s="109">
        <f>'NKC2-%'!BO37*100</f>
        <v>0</v>
      </c>
      <c r="BI27" s="109">
        <f>'NKC2-%'!BP37*100</f>
        <v>0</v>
      </c>
      <c r="BJ27" s="109">
        <f>'NKC2-%'!BQ37*100</f>
        <v>0</v>
      </c>
      <c r="BK27" s="109">
        <f>'NKC2-%'!BR37*100</f>
        <v>0</v>
      </c>
      <c r="BL27" s="109">
        <f>'NKC2-%'!BS37*100</f>
        <v>0</v>
      </c>
      <c r="BM27" s="109">
        <f>'NKC2-%'!BT37*100</f>
        <v>0</v>
      </c>
      <c r="BN27" s="109">
        <f>'NKC2-%'!BU37*100</f>
        <v>0</v>
      </c>
      <c r="BO27" s="109">
        <f>'NKC2-%'!BV37*100</f>
        <v>0</v>
      </c>
      <c r="BP27" s="109">
        <f>'NKC2-%'!BW37*100</f>
        <v>0</v>
      </c>
      <c r="BQ27" s="109">
        <f>'NKC2-%'!BX37*100</f>
        <v>0</v>
      </c>
      <c r="BR27" s="109">
        <f>'NKC2-%'!BY37*100</f>
        <v>0</v>
      </c>
      <c r="BS27" s="109">
        <f>'NKC2-%'!BZ37*100</f>
        <v>0</v>
      </c>
      <c r="BT27" s="109">
        <f>'NKC2-%'!CA37*100</f>
        <v>0</v>
      </c>
      <c r="BU27" s="109">
        <f>'NKC2-%'!CB37*100</f>
        <v>0</v>
      </c>
      <c r="BV27" s="109">
        <f>'NKC2-%'!CC37*100</f>
        <v>0</v>
      </c>
      <c r="BW27" s="109">
        <f>'NKC2-%'!CD37*100</f>
        <v>0</v>
      </c>
      <c r="BX27" s="109">
        <f>'NKC2-%'!CE37*100</f>
        <v>0</v>
      </c>
      <c r="BY27" s="109">
        <f>'NKC2-%'!CF37*100</f>
        <v>0</v>
      </c>
      <c r="BZ27" s="109">
        <f>'NKC2-%'!CG37*100</f>
        <v>0</v>
      </c>
      <c r="CA27" s="109">
        <f>'NKC2-%'!CH37*100</f>
        <v>0</v>
      </c>
      <c r="CB27" s="109">
        <f>'NKC2-%'!CI37*100</f>
        <v>0</v>
      </c>
      <c r="CC27" s="109">
        <f>'NKC2-%'!CJ37*100</f>
        <v>0</v>
      </c>
      <c r="CD27" s="109">
        <f>'NKC2-%'!CK37*100</f>
        <v>0</v>
      </c>
      <c r="CE27" s="109">
        <f>'NKC2-%'!CL37*100</f>
        <v>0</v>
      </c>
      <c r="CF27" s="109">
        <f>'NKC2-%'!CM37*100</f>
        <v>0</v>
      </c>
      <c r="CG27" s="109">
        <f>'NKC2-%'!CN37*100</f>
        <v>0</v>
      </c>
      <c r="CH27" s="109">
        <f>'NKC2-%'!CO37*100</f>
        <v>0</v>
      </c>
      <c r="CI27" s="109">
        <f>'NKC2-%'!CP37*100</f>
        <v>0</v>
      </c>
    </row>
    <row r="28" spans="1:87" x14ac:dyDescent="0.45">
      <c r="A28" s="266" t="str">
        <f>'NKC2-%'!B38</f>
        <v>1.2.11</v>
      </c>
      <c r="B28" t="str">
        <f>'NKC2-%'!D38</f>
        <v>WWT Foundation</v>
      </c>
      <c r="C28" s="104">
        <f>'NKC2-%'!F38</f>
        <v>126322.7127</v>
      </c>
      <c r="D28" s="87" t="str">
        <f>'NKC2-%'!G38</f>
        <v>P</v>
      </c>
      <c r="E28" s="109">
        <f>'NKC2-%'!K38*100</f>
        <v>100</v>
      </c>
      <c r="F28" s="109">
        <f>'NKC2-%'!M38*100</f>
        <v>0</v>
      </c>
      <c r="G28" s="109">
        <f>'NKC2-%'!N38*100</f>
        <v>0</v>
      </c>
      <c r="H28" s="109">
        <f>'NKC2-%'!O38*100</f>
        <v>0</v>
      </c>
      <c r="I28" s="109">
        <f>'NKC2-%'!P38*100</f>
        <v>0</v>
      </c>
      <c r="J28" s="109">
        <f>'NKC2-%'!Q38*100</f>
        <v>0</v>
      </c>
      <c r="K28" s="109">
        <f>'NKC2-%'!R38*100</f>
        <v>0</v>
      </c>
      <c r="L28" s="109">
        <f>'NKC2-%'!S38*100</f>
        <v>0</v>
      </c>
      <c r="M28" s="109">
        <f>'NKC2-%'!T38*100</f>
        <v>0</v>
      </c>
      <c r="N28" s="109">
        <f>'NKC2-%'!U38*100</f>
        <v>0</v>
      </c>
      <c r="O28" s="109">
        <f>'NKC2-%'!V38*100</f>
        <v>0</v>
      </c>
      <c r="P28" s="109">
        <f>'NKC2-%'!W38*100</f>
        <v>0</v>
      </c>
      <c r="Q28" s="109">
        <f>'NKC2-%'!X38*100</f>
        <v>0</v>
      </c>
      <c r="R28" s="109">
        <f>'NKC2-%'!Y38*100</f>
        <v>0</v>
      </c>
      <c r="S28" s="109">
        <f>'NKC2-%'!Z38*100</f>
        <v>0</v>
      </c>
      <c r="T28" s="109">
        <f>'NKC2-%'!AA38*100</f>
        <v>0</v>
      </c>
      <c r="U28" s="109">
        <f>'NKC2-%'!AB38*100</f>
        <v>0</v>
      </c>
      <c r="V28" s="109">
        <f>'NKC2-%'!AC38*100</f>
        <v>0</v>
      </c>
      <c r="W28" s="109">
        <f>'NKC2-%'!AD38*100</f>
        <v>0</v>
      </c>
      <c r="X28" s="109">
        <f>'NKC2-%'!AE38*100</f>
        <v>0</v>
      </c>
      <c r="Y28" s="109">
        <f>'NKC2-%'!AF38*100</f>
        <v>0</v>
      </c>
      <c r="Z28" s="109">
        <f>'NKC2-%'!AG38*100</f>
        <v>0</v>
      </c>
      <c r="AA28" s="109">
        <f>'NKC2-%'!AH38*100</f>
        <v>0</v>
      </c>
      <c r="AB28" s="109">
        <f>'NKC2-%'!AI38*100</f>
        <v>0</v>
      </c>
      <c r="AC28" s="109">
        <f>'NKC2-%'!AJ38*100</f>
        <v>0</v>
      </c>
      <c r="AD28" s="109">
        <f>'NKC2-%'!AK38*100</f>
        <v>0</v>
      </c>
      <c r="AE28" s="109">
        <f>'NKC2-%'!AL38*100</f>
        <v>0</v>
      </c>
      <c r="AF28" s="109">
        <f>'NKC2-%'!AM38*100</f>
        <v>0</v>
      </c>
      <c r="AG28" s="109">
        <f>'NKC2-%'!AN38*100</f>
        <v>0</v>
      </c>
      <c r="AH28" s="109">
        <f>'NKC2-%'!AO38*100</f>
        <v>0</v>
      </c>
      <c r="AI28" s="109">
        <f>'NKC2-%'!AP38*100</f>
        <v>0</v>
      </c>
      <c r="AJ28" s="109">
        <f>'NKC2-%'!AQ38*100</f>
        <v>0</v>
      </c>
      <c r="AK28" s="109">
        <f>'NKC2-%'!AR38*100</f>
        <v>0</v>
      </c>
      <c r="AL28" s="109">
        <f>'NKC2-%'!AS38*100</f>
        <v>0</v>
      </c>
      <c r="AM28" s="109">
        <f>'NKC2-%'!AT38*100</f>
        <v>0</v>
      </c>
      <c r="AN28" s="109">
        <f>'NKC2-%'!AU38*100</f>
        <v>20</v>
      </c>
      <c r="AO28" s="109">
        <f>'NKC2-%'!AV38*100</f>
        <v>20</v>
      </c>
      <c r="AP28" s="109">
        <f>'NKC2-%'!AW38*100</f>
        <v>50</v>
      </c>
      <c r="AQ28" s="109">
        <f>'NKC2-%'!AX38*100</f>
        <v>10</v>
      </c>
      <c r="AR28" s="109">
        <f>'NKC2-%'!AY38*100</f>
        <v>0</v>
      </c>
      <c r="AS28" s="109">
        <f>'NKC2-%'!AZ38*100</f>
        <v>0</v>
      </c>
      <c r="AT28" s="109">
        <f>'NKC2-%'!BA38*100</f>
        <v>0</v>
      </c>
      <c r="AU28" s="109">
        <f>'NKC2-%'!BB38*100</f>
        <v>0</v>
      </c>
      <c r="AV28" s="109">
        <f>'NKC2-%'!BC38*100</f>
        <v>0</v>
      </c>
      <c r="AW28" s="109">
        <f>'NKC2-%'!BD38*100</f>
        <v>0</v>
      </c>
      <c r="AX28" s="109">
        <f>'NKC2-%'!BE38*100</f>
        <v>0</v>
      </c>
      <c r="AY28" s="109">
        <f>'NKC2-%'!BF38*100</f>
        <v>0</v>
      </c>
      <c r="AZ28" s="109">
        <f>'NKC2-%'!BG38*100</f>
        <v>0</v>
      </c>
      <c r="BA28" s="109">
        <f>'NKC2-%'!BH38*100</f>
        <v>0</v>
      </c>
      <c r="BB28" s="109">
        <f>'NKC2-%'!BI38*100</f>
        <v>0</v>
      </c>
      <c r="BC28" s="109">
        <f>'NKC2-%'!BJ38*100</f>
        <v>0</v>
      </c>
      <c r="BD28" s="109">
        <f>'NKC2-%'!BK38*100</f>
        <v>0</v>
      </c>
      <c r="BE28" s="109">
        <f>'NKC2-%'!BL38*100</f>
        <v>0</v>
      </c>
      <c r="BF28" s="109">
        <f>'NKC2-%'!BM38*100</f>
        <v>0</v>
      </c>
      <c r="BG28" s="109">
        <f>'NKC2-%'!BN38*100</f>
        <v>0</v>
      </c>
      <c r="BH28" s="109">
        <f>'NKC2-%'!BO38*100</f>
        <v>0</v>
      </c>
      <c r="BI28" s="109">
        <f>'NKC2-%'!BP38*100</f>
        <v>0</v>
      </c>
      <c r="BJ28" s="109">
        <f>'NKC2-%'!BQ38*100</f>
        <v>0</v>
      </c>
      <c r="BK28" s="109">
        <f>'NKC2-%'!BR38*100</f>
        <v>0</v>
      </c>
      <c r="BL28" s="109">
        <f>'NKC2-%'!BS38*100</f>
        <v>0</v>
      </c>
      <c r="BM28" s="109">
        <f>'NKC2-%'!BT38*100</f>
        <v>0</v>
      </c>
      <c r="BN28" s="109">
        <f>'NKC2-%'!BU38*100</f>
        <v>0</v>
      </c>
      <c r="BO28" s="109">
        <f>'NKC2-%'!BV38*100</f>
        <v>0</v>
      </c>
      <c r="BP28" s="109">
        <f>'NKC2-%'!BW38*100</f>
        <v>0</v>
      </c>
      <c r="BQ28" s="109">
        <f>'NKC2-%'!BX38*100</f>
        <v>0</v>
      </c>
      <c r="BR28" s="109">
        <f>'NKC2-%'!BY38*100</f>
        <v>0</v>
      </c>
      <c r="BS28" s="109">
        <f>'NKC2-%'!BZ38*100</f>
        <v>0</v>
      </c>
      <c r="BT28" s="109">
        <f>'NKC2-%'!CA38*100</f>
        <v>0</v>
      </c>
      <c r="BU28" s="109">
        <f>'NKC2-%'!CB38*100</f>
        <v>0</v>
      </c>
      <c r="BV28" s="109">
        <f>'NKC2-%'!CC38*100</f>
        <v>0</v>
      </c>
      <c r="BW28" s="109">
        <f>'NKC2-%'!CD38*100</f>
        <v>0</v>
      </c>
      <c r="BX28" s="109">
        <f>'NKC2-%'!CE38*100</f>
        <v>0</v>
      </c>
      <c r="BY28" s="109">
        <f>'NKC2-%'!CF38*100</f>
        <v>0</v>
      </c>
      <c r="BZ28" s="109">
        <f>'NKC2-%'!CG38*100</f>
        <v>0</v>
      </c>
      <c r="CA28" s="109">
        <f>'NKC2-%'!CH38*100</f>
        <v>0</v>
      </c>
      <c r="CB28" s="109">
        <f>'NKC2-%'!CI38*100</f>
        <v>0</v>
      </c>
      <c r="CC28" s="109">
        <f>'NKC2-%'!CJ38*100</f>
        <v>0</v>
      </c>
      <c r="CD28" s="109">
        <f>'NKC2-%'!CK38*100</f>
        <v>0</v>
      </c>
      <c r="CE28" s="109">
        <f>'NKC2-%'!CL38*100</f>
        <v>0</v>
      </c>
      <c r="CF28" s="109">
        <f>'NKC2-%'!CM38*100</f>
        <v>0</v>
      </c>
      <c r="CG28" s="109">
        <f>'NKC2-%'!CN38*100</f>
        <v>0</v>
      </c>
      <c r="CH28" s="109">
        <f>'NKC2-%'!CO38*100</f>
        <v>0</v>
      </c>
      <c r="CI28" s="109">
        <f>'NKC2-%'!CP38*100</f>
        <v>0</v>
      </c>
    </row>
    <row r="29" spans="1:87" x14ac:dyDescent="0.45">
      <c r="A29" s="266" t="str">
        <f>'NKC2-%'!B39</f>
        <v>1.2.11</v>
      </c>
      <c r="B29" t="str">
        <f>'NKC2-%'!D39</f>
        <v>WWT Foundation</v>
      </c>
      <c r="C29" s="104">
        <f>'NKC2-%'!F39</f>
        <v>126322.7127</v>
      </c>
      <c r="D29" s="87" t="str">
        <f>'NKC2-%'!G39</f>
        <v>A</v>
      </c>
      <c r="E29" s="109">
        <f>'NKC2-%'!K39*100</f>
        <v>0</v>
      </c>
      <c r="F29" s="109">
        <f>'NKC2-%'!M39*100</f>
        <v>0</v>
      </c>
      <c r="G29" s="109">
        <f>'NKC2-%'!N39*100</f>
        <v>0</v>
      </c>
      <c r="H29" s="109">
        <f>'NKC2-%'!O39*100</f>
        <v>0</v>
      </c>
      <c r="I29" s="109">
        <f>'NKC2-%'!P39*100</f>
        <v>0</v>
      </c>
      <c r="J29" s="109">
        <f>'NKC2-%'!Q39*100</f>
        <v>0</v>
      </c>
      <c r="K29" s="109">
        <f>'NKC2-%'!R39*100</f>
        <v>0</v>
      </c>
      <c r="L29" s="109">
        <f>'NKC2-%'!S39*100</f>
        <v>0</v>
      </c>
      <c r="M29" s="109">
        <f>'NKC2-%'!T39*100</f>
        <v>0</v>
      </c>
      <c r="N29" s="109">
        <f>'NKC2-%'!U39*100</f>
        <v>0</v>
      </c>
      <c r="O29" s="109">
        <f>'NKC2-%'!V39*100</f>
        <v>0</v>
      </c>
      <c r="P29" s="109">
        <f>'NKC2-%'!W39*100</f>
        <v>0</v>
      </c>
      <c r="Q29" s="109">
        <f>'NKC2-%'!X39*100</f>
        <v>0</v>
      </c>
      <c r="R29" s="109">
        <f>'NKC2-%'!Y39*100</f>
        <v>0</v>
      </c>
      <c r="S29" s="109">
        <f>'NKC2-%'!Z39*100</f>
        <v>0</v>
      </c>
      <c r="T29" s="109">
        <f>'NKC2-%'!AA39*100</f>
        <v>0</v>
      </c>
      <c r="U29" s="109">
        <f>'NKC2-%'!AB39*100</f>
        <v>0</v>
      </c>
      <c r="V29" s="109">
        <f>'NKC2-%'!AC39*100</f>
        <v>0</v>
      </c>
      <c r="W29" s="109">
        <f>'NKC2-%'!AD39*100</f>
        <v>0</v>
      </c>
      <c r="X29" s="109">
        <f>'NKC2-%'!AE39*100</f>
        <v>0</v>
      </c>
      <c r="Y29" s="109">
        <f>'NKC2-%'!AF39*100</f>
        <v>0</v>
      </c>
      <c r="Z29" s="109">
        <f>'NKC2-%'!AG39*100</f>
        <v>0</v>
      </c>
      <c r="AA29" s="109">
        <f>'NKC2-%'!AH39*100</f>
        <v>0</v>
      </c>
      <c r="AB29" s="109">
        <f>'NKC2-%'!AI39*100</f>
        <v>0</v>
      </c>
      <c r="AC29" s="109">
        <f>'NKC2-%'!AJ39*100</f>
        <v>0</v>
      </c>
      <c r="AD29" s="109">
        <f>'NKC2-%'!AK39*100</f>
        <v>0</v>
      </c>
      <c r="AE29" s="109">
        <f>'NKC2-%'!AL39*100</f>
        <v>0</v>
      </c>
      <c r="AF29" s="109">
        <f>'NKC2-%'!AM39*100</f>
        <v>0</v>
      </c>
      <c r="AG29" s="109">
        <f>'NKC2-%'!AN39*100</f>
        <v>0</v>
      </c>
      <c r="AH29" s="109">
        <f>'NKC2-%'!AO39*100</f>
        <v>0</v>
      </c>
      <c r="AI29" s="109">
        <f>'NKC2-%'!AP39*100</f>
        <v>0</v>
      </c>
      <c r="AJ29" s="109">
        <f>'NKC2-%'!AQ39*100</f>
        <v>0</v>
      </c>
      <c r="AK29" s="109">
        <f>'NKC2-%'!AR39*100</f>
        <v>0</v>
      </c>
      <c r="AL29" s="109">
        <f>'NKC2-%'!AS39*100</f>
        <v>0</v>
      </c>
      <c r="AM29" s="109">
        <f>'NKC2-%'!AT39*100</f>
        <v>0</v>
      </c>
      <c r="AN29" s="109">
        <f>'NKC2-%'!AU39*100</f>
        <v>0</v>
      </c>
      <c r="AO29" s="109">
        <f>'NKC2-%'!AV39*100</f>
        <v>0</v>
      </c>
      <c r="AP29" s="109">
        <f>'NKC2-%'!AW39*100</f>
        <v>0</v>
      </c>
      <c r="AQ29" s="109">
        <f>'NKC2-%'!AX39*100</f>
        <v>0</v>
      </c>
      <c r="AR29" s="109">
        <f>'NKC2-%'!AY39*100</f>
        <v>0</v>
      </c>
      <c r="AS29" s="109">
        <f>'NKC2-%'!AZ39*100</f>
        <v>0</v>
      </c>
      <c r="AT29" s="109">
        <f>'NKC2-%'!BA39*100</f>
        <v>0</v>
      </c>
      <c r="AU29" s="109">
        <f>'NKC2-%'!BB39*100</f>
        <v>0</v>
      </c>
      <c r="AV29" s="109">
        <f>'NKC2-%'!BC39*100</f>
        <v>0</v>
      </c>
      <c r="AW29" s="109">
        <f>'NKC2-%'!BD39*100</f>
        <v>0</v>
      </c>
      <c r="AX29" s="109">
        <f>'NKC2-%'!BE39*100</f>
        <v>0</v>
      </c>
      <c r="AY29" s="109">
        <f>'NKC2-%'!BF39*100</f>
        <v>0</v>
      </c>
      <c r="AZ29" s="109">
        <f>'NKC2-%'!BG39*100</f>
        <v>0</v>
      </c>
      <c r="BA29" s="109">
        <f>'NKC2-%'!BH39*100</f>
        <v>0</v>
      </c>
      <c r="BB29" s="109">
        <f>'NKC2-%'!BI39*100</f>
        <v>0</v>
      </c>
      <c r="BC29" s="109">
        <f>'NKC2-%'!BJ39*100</f>
        <v>0</v>
      </c>
      <c r="BD29" s="109">
        <f>'NKC2-%'!BK39*100</f>
        <v>0</v>
      </c>
      <c r="BE29" s="109">
        <f>'NKC2-%'!BL39*100</f>
        <v>0</v>
      </c>
      <c r="BF29" s="109">
        <f>'NKC2-%'!BM39*100</f>
        <v>0</v>
      </c>
      <c r="BG29" s="109">
        <f>'NKC2-%'!BN39*100</f>
        <v>0</v>
      </c>
      <c r="BH29" s="109">
        <f>'NKC2-%'!BO39*100</f>
        <v>0</v>
      </c>
      <c r="BI29" s="109">
        <f>'NKC2-%'!BP39*100</f>
        <v>0</v>
      </c>
      <c r="BJ29" s="109">
        <f>'NKC2-%'!BQ39*100</f>
        <v>0</v>
      </c>
      <c r="BK29" s="109">
        <f>'NKC2-%'!BR39*100</f>
        <v>0</v>
      </c>
      <c r="BL29" s="109">
        <f>'NKC2-%'!BS39*100</f>
        <v>0</v>
      </c>
      <c r="BM29" s="109">
        <f>'NKC2-%'!BT39*100</f>
        <v>0</v>
      </c>
      <c r="BN29" s="109">
        <f>'NKC2-%'!BU39*100</f>
        <v>0</v>
      </c>
      <c r="BO29" s="109">
        <f>'NKC2-%'!BV39*100</f>
        <v>0</v>
      </c>
      <c r="BP29" s="109">
        <f>'NKC2-%'!BW39*100</f>
        <v>0</v>
      </c>
      <c r="BQ29" s="109">
        <f>'NKC2-%'!BX39*100</f>
        <v>0</v>
      </c>
      <c r="BR29" s="109">
        <f>'NKC2-%'!BY39*100</f>
        <v>0</v>
      </c>
      <c r="BS29" s="109">
        <f>'NKC2-%'!BZ39*100</f>
        <v>0</v>
      </c>
      <c r="BT29" s="109">
        <f>'NKC2-%'!CA39*100</f>
        <v>0</v>
      </c>
      <c r="BU29" s="109">
        <f>'NKC2-%'!CB39*100</f>
        <v>0</v>
      </c>
      <c r="BV29" s="109">
        <f>'NKC2-%'!CC39*100</f>
        <v>0</v>
      </c>
      <c r="BW29" s="109">
        <f>'NKC2-%'!CD39*100</f>
        <v>0</v>
      </c>
      <c r="BX29" s="109">
        <f>'NKC2-%'!CE39*100</f>
        <v>0</v>
      </c>
      <c r="BY29" s="109">
        <f>'NKC2-%'!CF39*100</f>
        <v>0</v>
      </c>
      <c r="BZ29" s="109">
        <f>'NKC2-%'!CG39*100</f>
        <v>0</v>
      </c>
      <c r="CA29" s="109">
        <f>'NKC2-%'!CH39*100</f>
        <v>0</v>
      </c>
      <c r="CB29" s="109">
        <f>'NKC2-%'!CI39*100</f>
        <v>0</v>
      </c>
      <c r="CC29" s="109">
        <f>'NKC2-%'!CJ39*100</f>
        <v>0</v>
      </c>
      <c r="CD29" s="109">
        <f>'NKC2-%'!CK39*100</f>
        <v>0</v>
      </c>
      <c r="CE29" s="109">
        <f>'NKC2-%'!CL39*100</f>
        <v>0</v>
      </c>
      <c r="CF29" s="109">
        <f>'NKC2-%'!CM39*100</f>
        <v>0</v>
      </c>
      <c r="CG29" s="109">
        <f>'NKC2-%'!CN39*100</f>
        <v>0</v>
      </c>
      <c r="CH29" s="109">
        <f>'NKC2-%'!CO39*100</f>
        <v>0</v>
      </c>
      <c r="CI29" s="109">
        <f>'NKC2-%'!CP39*100</f>
        <v>0</v>
      </c>
    </row>
    <row r="30" spans="1:87" x14ac:dyDescent="0.45">
      <c r="A30" s="266" t="str">
        <f>'NKC2-%'!B40</f>
        <v>1.2.12</v>
      </c>
      <c r="B30" t="str">
        <f>'NKC2-%'!D40</f>
        <v>ST6</v>
      </c>
      <c r="C30" s="104">
        <f>'NKC2-%'!F40</f>
        <v>51374.755299999997</v>
      </c>
      <c r="D30" s="87" t="str">
        <f>'NKC2-%'!G40</f>
        <v>P</v>
      </c>
      <c r="E30" s="109">
        <f>'NKC2-%'!K40*100</f>
        <v>100</v>
      </c>
      <c r="F30" s="109">
        <f>'NKC2-%'!M40*100</f>
        <v>0</v>
      </c>
      <c r="G30" s="109">
        <f>'NKC2-%'!N40*100</f>
        <v>0</v>
      </c>
      <c r="H30" s="109">
        <f>'NKC2-%'!O40*100</f>
        <v>0</v>
      </c>
      <c r="I30" s="109">
        <f>'NKC2-%'!P40*100</f>
        <v>0</v>
      </c>
      <c r="J30" s="109">
        <f>'NKC2-%'!Q40*100</f>
        <v>0</v>
      </c>
      <c r="K30" s="109">
        <f>'NKC2-%'!R40*100</f>
        <v>0</v>
      </c>
      <c r="L30" s="109">
        <f>'NKC2-%'!S40*100</f>
        <v>0</v>
      </c>
      <c r="M30" s="109">
        <f>'NKC2-%'!T40*100</f>
        <v>0</v>
      </c>
      <c r="N30" s="109">
        <f>'NKC2-%'!U40*100</f>
        <v>0</v>
      </c>
      <c r="O30" s="109">
        <f>'NKC2-%'!V40*100</f>
        <v>0</v>
      </c>
      <c r="P30" s="109">
        <f>'NKC2-%'!W40*100</f>
        <v>0</v>
      </c>
      <c r="Q30" s="109">
        <f>'NKC2-%'!X40*100</f>
        <v>0</v>
      </c>
      <c r="R30" s="109">
        <f>'NKC2-%'!Y40*100</f>
        <v>0</v>
      </c>
      <c r="S30" s="109">
        <f>'NKC2-%'!Z40*100</f>
        <v>0</v>
      </c>
      <c r="T30" s="109">
        <f>'NKC2-%'!AA40*100</f>
        <v>0</v>
      </c>
      <c r="U30" s="109">
        <f>'NKC2-%'!AB40*100</f>
        <v>0</v>
      </c>
      <c r="V30" s="109">
        <f>'NKC2-%'!AC40*100</f>
        <v>0</v>
      </c>
      <c r="W30" s="109">
        <f>'NKC2-%'!AD40*100</f>
        <v>0</v>
      </c>
      <c r="X30" s="109">
        <f>'NKC2-%'!AE40*100</f>
        <v>0</v>
      </c>
      <c r="Y30" s="109">
        <f>'NKC2-%'!AF40*100</f>
        <v>0</v>
      </c>
      <c r="Z30" s="109">
        <f>'NKC2-%'!AG40*100</f>
        <v>0</v>
      </c>
      <c r="AA30" s="109">
        <f>'NKC2-%'!AH40*100</f>
        <v>0</v>
      </c>
      <c r="AB30" s="109">
        <f>'NKC2-%'!AI40*100</f>
        <v>0</v>
      </c>
      <c r="AC30" s="109">
        <f>'NKC2-%'!AJ40*100</f>
        <v>0</v>
      </c>
      <c r="AD30" s="109">
        <f>'NKC2-%'!AK40*100</f>
        <v>0</v>
      </c>
      <c r="AE30" s="109">
        <f>'NKC2-%'!AL40*100</f>
        <v>0</v>
      </c>
      <c r="AF30" s="109">
        <f>'NKC2-%'!AM40*100</f>
        <v>0</v>
      </c>
      <c r="AG30" s="109">
        <f>'NKC2-%'!AN40*100</f>
        <v>0</v>
      </c>
      <c r="AH30" s="109">
        <f>'NKC2-%'!AO40*100</f>
        <v>0</v>
      </c>
      <c r="AI30" s="109">
        <f>'NKC2-%'!AP40*100</f>
        <v>0</v>
      </c>
      <c r="AJ30" s="109">
        <f>'NKC2-%'!AQ40*100</f>
        <v>0</v>
      </c>
      <c r="AK30" s="109">
        <f>'NKC2-%'!AR40*100</f>
        <v>0</v>
      </c>
      <c r="AL30" s="109">
        <f>'NKC2-%'!AS40*100</f>
        <v>0</v>
      </c>
      <c r="AM30" s="109">
        <f>'NKC2-%'!AT40*100</f>
        <v>0</v>
      </c>
      <c r="AN30" s="109">
        <f>'NKC2-%'!AU40*100</f>
        <v>15</v>
      </c>
      <c r="AO30" s="109">
        <f>'NKC2-%'!AV40*100</f>
        <v>25</v>
      </c>
      <c r="AP30" s="109">
        <f>'NKC2-%'!AW40*100</f>
        <v>50</v>
      </c>
      <c r="AQ30" s="109">
        <f>'NKC2-%'!AX40*100</f>
        <v>10</v>
      </c>
      <c r="AR30" s="109">
        <f>'NKC2-%'!AY40*100</f>
        <v>0</v>
      </c>
      <c r="AS30" s="109">
        <f>'NKC2-%'!AZ40*100</f>
        <v>0</v>
      </c>
      <c r="AT30" s="109">
        <f>'NKC2-%'!BA40*100</f>
        <v>0</v>
      </c>
      <c r="AU30" s="109">
        <f>'NKC2-%'!BB40*100</f>
        <v>0</v>
      </c>
      <c r="AV30" s="109">
        <f>'NKC2-%'!BC40*100</f>
        <v>0</v>
      </c>
      <c r="AW30" s="109">
        <f>'NKC2-%'!BD40*100</f>
        <v>0</v>
      </c>
      <c r="AX30" s="109">
        <f>'NKC2-%'!BE40*100</f>
        <v>0</v>
      </c>
      <c r="AY30" s="109">
        <f>'NKC2-%'!BF40*100</f>
        <v>0</v>
      </c>
      <c r="AZ30" s="109">
        <f>'NKC2-%'!BG40*100</f>
        <v>0</v>
      </c>
      <c r="BA30" s="109">
        <f>'NKC2-%'!BH40*100</f>
        <v>0</v>
      </c>
      <c r="BB30" s="109">
        <f>'NKC2-%'!BI40*100</f>
        <v>0</v>
      </c>
      <c r="BC30" s="109">
        <f>'NKC2-%'!BJ40*100</f>
        <v>0</v>
      </c>
      <c r="BD30" s="109">
        <f>'NKC2-%'!BK40*100</f>
        <v>0</v>
      </c>
      <c r="BE30" s="109">
        <f>'NKC2-%'!BL40*100</f>
        <v>0</v>
      </c>
      <c r="BF30" s="109">
        <f>'NKC2-%'!BM40*100</f>
        <v>0</v>
      </c>
      <c r="BG30" s="109">
        <f>'NKC2-%'!BN40*100</f>
        <v>0</v>
      </c>
      <c r="BH30" s="109">
        <f>'NKC2-%'!BO40*100</f>
        <v>0</v>
      </c>
      <c r="BI30" s="109">
        <f>'NKC2-%'!BP40*100</f>
        <v>0</v>
      </c>
      <c r="BJ30" s="109">
        <f>'NKC2-%'!BQ40*100</f>
        <v>0</v>
      </c>
      <c r="BK30" s="109">
        <f>'NKC2-%'!BR40*100</f>
        <v>0</v>
      </c>
      <c r="BL30" s="109">
        <f>'NKC2-%'!BS40*100</f>
        <v>0</v>
      </c>
      <c r="BM30" s="109">
        <f>'NKC2-%'!BT40*100</f>
        <v>0</v>
      </c>
      <c r="BN30" s="109">
        <f>'NKC2-%'!BU40*100</f>
        <v>0</v>
      </c>
      <c r="BO30" s="109">
        <f>'NKC2-%'!BV40*100</f>
        <v>0</v>
      </c>
      <c r="BP30" s="109">
        <f>'NKC2-%'!BW40*100</f>
        <v>0</v>
      </c>
      <c r="BQ30" s="109">
        <f>'NKC2-%'!BX40*100</f>
        <v>0</v>
      </c>
      <c r="BR30" s="109">
        <f>'NKC2-%'!BY40*100</f>
        <v>0</v>
      </c>
      <c r="BS30" s="109">
        <f>'NKC2-%'!BZ40*100</f>
        <v>0</v>
      </c>
      <c r="BT30" s="109">
        <f>'NKC2-%'!CA40*100</f>
        <v>0</v>
      </c>
      <c r="BU30" s="109">
        <f>'NKC2-%'!CB40*100</f>
        <v>0</v>
      </c>
      <c r="BV30" s="109">
        <f>'NKC2-%'!CC40*100</f>
        <v>0</v>
      </c>
      <c r="BW30" s="109">
        <f>'NKC2-%'!CD40*100</f>
        <v>0</v>
      </c>
      <c r="BX30" s="109">
        <f>'NKC2-%'!CE40*100</f>
        <v>0</v>
      </c>
      <c r="BY30" s="109">
        <f>'NKC2-%'!CF40*100</f>
        <v>0</v>
      </c>
      <c r="BZ30" s="109">
        <f>'NKC2-%'!CG40*100</f>
        <v>0</v>
      </c>
      <c r="CA30" s="109">
        <f>'NKC2-%'!CH40*100</f>
        <v>0</v>
      </c>
      <c r="CB30" s="109">
        <f>'NKC2-%'!CI40*100</f>
        <v>0</v>
      </c>
      <c r="CC30" s="109">
        <f>'NKC2-%'!CJ40*100</f>
        <v>0</v>
      </c>
      <c r="CD30" s="109">
        <f>'NKC2-%'!CK40*100</f>
        <v>0</v>
      </c>
      <c r="CE30" s="109">
        <f>'NKC2-%'!CL40*100</f>
        <v>0</v>
      </c>
      <c r="CF30" s="109">
        <f>'NKC2-%'!CM40*100</f>
        <v>0</v>
      </c>
      <c r="CG30" s="109">
        <f>'NKC2-%'!CN40*100</f>
        <v>0</v>
      </c>
      <c r="CH30" s="109">
        <f>'NKC2-%'!CO40*100</f>
        <v>0</v>
      </c>
      <c r="CI30" s="109">
        <f>'NKC2-%'!CP40*100</f>
        <v>0</v>
      </c>
    </row>
    <row r="31" spans="1:87" x14ac:dyDescent="0.45">
      <c r="A31" s="266" t="str">
        <f>'NKC2-%'!B41</f>
        <v>1.2.12</v>
      </c>
      <c r="B31" t="str">
        <f>'NKC2-%'!D41</f>
        <v>ST6</v>
      </c>
      <c r="C31" s="104">
        <f>'NKC2-%'!F41</f>
        <v>51374.755299999997</v>
      </c>
      <c r="D31" s="87" t="str">
        <f>'NKC2-%'!G41</f>
        <v>A</v>
      </c>
      <c r="E31" s="109">
        <f>'NKC2-%'!K41*100</f>
        <v>0</v>
      </c>
      <c r="F31" s="109">
        <f>'NKC2-%'!M41*100</f>
        <v>0</v>
      </c>
      <c r="G31" s="109">
        <f>'NKC2-%'!N41*100</f>
        <v>0</v>
      </c>
      <c r="H31" s="109">
        <f>'NKC2-%'!O41*100</f>
        <v>0</v>
      </c>
      <c r="I31" s="109">
        <f>'NKC2-%'!P41*100</f>
        <v>0</v>
      </c>
      <c r="J31" s="109">
        <f>'NKC2-%'!Q41*100</f>
        <v>0</v>
      </c>
      <c r="K31" s="109">
        <f>'NKC2-%'!R41*100</f>
        <v>0</v>
      </c>
      <c r="L31" s="109">
        <f>'NKC2-%'!S41*100</f>
        <v>0</v>
      </c>
      <c r="M31" s="109">
        <f>'NKC2-%'!T41*100</f>
        <v>0</v>
      </c>
      <c r="N31" s="109">
        <f>'NKC2-%'!U41*100</f>
        <v>0</v>
      </c>
      <c r="O31" s="109">
        <f>'NKC2-%'!V41*100</f>
        <v>0</v>
      </c>
      <c r="P31" s="109">
        <f>'NKC2-%'!W41*100</f>
        <v>0</v>
      </c>
      <c r="Q31" s="109">
        <f>'NKC2-%'!X41*100</f>
        <v>0</v>
      </c>
      <c r="R31" s="109">
        <f>'NKC2-%'!Y41*100</f>
        <v>0</v>
      </c>
      <c r="S31" s="109">
        <f>'NKC2-%'!Z41*100</f>
        <v>0</v>
      </c>
      <c r="T31" s="109">
        <f>'NKC2-%'!AA41*100</f>
        <v>0</v>
      </c>
      <c r="U31" s="109">
        <f>'NKC2-%'!AB41*100</f>
        <v>0</v>
      </c>
      <c r="V31" s="109">
        <f>'NKC2-%'!AC41*100</f>
        <v>0</v>
      </c>
      <c r="W31" s="109">
        <f>'NKC2-%'!AD41*100</f>
        <v>0</v>
      </c>
      <c r="X31" s="109">
        <f>'NKC2-%'!AE41*100</f>
        <v>0</v>
      </c>
      <c r="Y31" s="109">
        <f>'NKC2-%'!AF41*100</f>
        <v>0</v>
      </c>
      <c r="Z31" s="109">
        <f>'NKC2-%'!AG41*100</f>
        <v>0</v>
      </c>
      <c r="AA31" s="109">
        <f>'NKC2-%'!AH41*100</f>
        <v>0</v>
      </c>
      <c r="AB31" s="109">
        <f>'NKC2-%'!AI41*100</f>
        <v>0</v>
      </c>
      <c r="AC31" s="109">
        <f>'NKC2-%'!AJ41*100</f>
        <v>0</v>
      </c>
      <c r="AD31" s="109">
        <f>'NKC2-%'!AK41*100</f>
        <v>0</v>
      </c>
      <c r="AE31" s="109">
        <f>'NKC2-%'!AL41*100</f>
        <v>0</v>
      </c>
      <c r="AF31" s="109">
        <f>'NKC2-%'!AM41*100</f>
        <v>0</v>
      </c>
      <c r="AG31" s="109">
        <f>'NKC2-%'!AN41*100</f>
        <v>0</v>
      </c>
      <c r="AH31" s="109">
        <f>'NKC2-%'!AO41*100</f>
        <v>0</v>
      </c>
      <c r="AI31" s="109">
        <f>'NKC2-%'!AP41*100</f>
        <v>0</v>
      </c>
      <c r="AJ31" s="109">
        <f>'NKC2-%'!AQ41*100</f>
        <v>0</v>
      </c>
      <c r="AK31" s="109">
        <f>'NKC2-%'!AR41*100</f>
        <v>0</v>
      </c>
      <c r="AL31" s="109">
        <f>'NKC2-%'!AS41*100</f>
        <v>0</v>
      </c>
      <c r="AM31" s="109">
        <f>'NKC2-%'!AT41*100</f>
        <v>0</v>
      </c>
      <c r="AN31" s="109">
        <f>'NKC2-%'!AU41*100</f>
        <v>0</v>
      </c>
      <c r="AO31" s="109">
        <f>'NKC2-%'!AV41*100</f>
        <v>0</v>
      </c>
      <c r="AP31" s="109">
        <f>'NKC2-%'!AW41*100</f>
        <v>0</v>
      </c>
      <c r="AQ31" s="109">
        <f>'NKC2-%'!AX41*100</f>
        <v>0</v>
      </c>
      <c r="AR31" s="109">
        <f>'NKC2-%'!AY41*100</f>
        <v>0</v>
      </c>
      <c r="AS31" s="109">
        <f>'NKC2-%'!AZ41*100</f>
        <v>0</v>
      </c>
      <c r="AT31" s="109">
        <f>'NKC2-%'!BA41*100</f>
        <v>0</v>
      </c>
      <c r="AU31" s="109">
        <f>'NKC2-%'!BB41*100</f>
        <v>0</v>
      </c>
      <c r="AV31" s="109">
        <f>'NKC2-%'!BC41*100</f>
        <v>0</v>
      </c>
      <c r="AW31" s="109">
        <f>'NKC2-%'!BD41*100</f>
        <v>0</v>
      </c>
      <c r="AX31" s="109">
        <f>'NKC2-%'!BE41*100</f>
        <v>0</v>
      </c>
      <c r="AY31" s="109">
        <f>'NKC2-%'!BF41*100</f>
        <v>0</v>
      </c>
      <c r="AZ31" s="109">
        <f>'NKC2-%'!BG41*100</f>
        <v>0</v>
      </c>
      <c r="BA31" s="109">
        <f>'NKC2-%'!BH41*100</f>
        <v>0</v>
      </c>
      <c r="BB31" s="109">
        <f>'NKC2-%'!BI41*100</f>
        <v>0</v>
      </c>
      <c r="BC31" s="109">
        <f>'NKC2-%'!BJ41*100</f>
        <v>0</v>
      </c>
      <c r="BD31" s="109">
        <f>'NKC2-%'!BK41*100</f>
        <v>0</v>
      </c>
      <c r="BE31" s="109">
        <f>'NKC2-%'!BL41*100</f>
        <v>0</v>
      </c>
      <c r="BF31" s="109">
        <f>'NKC2-%'!BM41*100</f>
        <v>0</v>
      </c>
      <c r="BG31" s="109">
        <f>'NKC2-%'!BN41*100</f>
        <v>0</v>
      </c>
      <c r="BH31" s="109">
        <f>'NKC2-%'!BO41*100</f>
        <v>0</v>
      </c>
      <c r="BI31" s="109">
        <f>'NKC2-%'!BP41*100</f>
        <v>0</v>
      </c>
      <c r="BJ31" s="109">
        <f>'NKC2-%'!BQ41*100</f>
        <v>0</v>
      </c>
      <c r="BK31" s="109">
        <f>'NKC2-%'!BR41*100</f>
        <v>0</v>
      </c>
      <c r="BL31" s="109">
        <f>'NKC2-%'!BS41*100</f>
        <v>0</v>
      </c>
      <c r="BM31" s="109">
        <f>'NKC2-%'!BT41*100</f>
        <v>0</v>
      </c>
      <c r="BN31" s="109">
        <f>'NKC2-%'!BU41*100</f>
        <v>0</v>
      </c>
      <c r="BO31" s="109">
        <f>'NKC2-%'!BV41*100</f>
        <v>0</v>
      </c>
      <c r="BP31" s="109">
        <f>'NKC2-%'!BW41*100</f>
        <v>0</v>
      </c>
      <c r="BQ31" s="109">
        <f>'NKC2-%'!BX41*100</f>
        <v>0</v>
      </c>
      <c r="BR31" s="109">
        <f>'NKC2-%'!BY41*100</f>
        <v>0</v>
      </c>
      <c r="BS31" s="109">
        <f>'NKC2-%'!BZ41*100</f>
        <v>0</v>
      </c>
      <c r="BT31" s="109">
        <f>'NKC2-%'!CA41*100</f>
        <v>0</v>
      </c>
      <c r="BU31" s="109">
        <f>'NKC2-%'!CB41*100</f>
        <v>0</v>
      </c>
      <c r="BV31" s="109">
        <f>'NKC2-%'!CC41*100</f>
        <v>0</v>
      </c>
      <c r="BW31" s="109">
        <f>'NKC2-%'!CD41*100</f>
        <v>0</v>
      </c>
      <c r="BX31" s="109">
        <f>'NKC2-%'!CE41*100</f>
        <v>0</v>
      </c>
      <c r="BY31" s="109">
        <f>'NKC2-%'!CF41*100</f>
        <v>0</v>
      </c>
      <c r="BZ31" s="109">
        <f>'NKC2-%'!CG41*100</f>
        <v>0</v>
      </c>
      <c r="CA31" s="109">
        <f>'NKC2-%'!CH41*100</f>
        <v>0</v>
      </c>
      <c r="CB31" s="109">
        <f>'NKC2-%'!CI41*100</f>
        <v>0</v>
      </c>
      <c r="CC31" s="109">
        <f>'NKC2-%'!CJ41*100</f>
        <v>0</v>
      </c>
      <c r="CD31" s="109">
        <f>'NKC2-%'!CK41*100</f>
        <v>0</v>
      </c>
      <c r="CE31" s="109">
        <f>'NKC2-%'!CL41*100</f>
        <v>0</v>
      </c>
      <c r="CF31" s="109">
        <f>'NKC2-%'!CM41*100</f>
        <v>0</v>
      </c>
      <c r="CG31" s="109">
        <f>'NKC2-%'!CN41*100</f>
        <v>0</v>
      </c>
      <c r="CH31" s="109">
        <f>'NKC2-%'!CO41*100</f>
        <v>0</v>
      </c>
      <c r="CI31" s="109">
        <f>'NKC2-%'!CP41*100</f>
        <v>0</v>
      </c>
    </row>
    <row r="32" spans="1:87" x14ac:dyDescent="0.45">
      <c r="A32" s="266" t="str">
        <f>'NKC2-%'!B42</f>
        <v>1.2.14</v>
      </c>
      <c r="B32" t="str">
        <f>'NKC2-%'!D42</f>
        <v>Entrance</v>
      </c>
      <c r="C32" s="104">
        <f>'NKC2-%'!F42</f>
        <v>158540.34849999999</v>
      </c>
      <c r="D32" s="87" t="str">
        <f>'NKC2-%'!G42</f>
        <v>P</v>
      </c>
      <c r="E32" s="109">
        <f>'NKC2-%'!K42*100</f>
        <v>100</v>
      </c>
      <c r="F32" s="109">
        <f>'NKC2-%'!M42*100</f>
        <v>0</v>
      </c>
      <c r="G32" s="109">
        <f>'NKC2-%'!N42*100</f>
        <v>0</v>
      </c>
      <c r="H32" s="109">
        <f>'NKC2-%'!O42*100</f>
        <v>0</v>
      </c>
      <c r="I32" s="109">
        <f>'NKC2-%'!P42*100</f>
        <v>0</v>
      </c>
      <c r="J32" s="109">
        <f>'NKC2-%'!Q42*100</f>
        <v>0</v>
      </c>
      <c r="K32" s="109">
        <f>'NKC2-%'!R42*100</f>
        <v>0</v>
      </c>
      <c r="L32" s="109">
        <f>'NKC2-%'!S42*100</f>
        <v>0</v>
      </c>
      <c r="M32" s="109">
        <f>'NKC2-%'!T42*100</f>
        <v>0</v>
      </c>
      <c r="N32" s="109">
        <f>'NKC2-%'!U42*100</f>
        <v>0</v>
      </c>
      <c r="O32" s="109">
        <f>'NKC2-%'!V42*100</f>
        <v>0</v>
      </c>
      <c r="P32" s="109">
        <f>'NKC2-%'!W42*100</f>
        <v>0</v>
      </c>
      <c r="Q32" s="109">
        <f>'NKC2-%'!X42*100</f>
        <v>0</v>
      </c>
      <c r="R32" s="109">
        <f>'NKC2-%'!Y42*100</f>
        <v>0</v>
      </c>
      <c r="S32" s="109">
        <f>'NKC2-%'!Z42*100</f>
        <v>0</v>
      </c>
      <c r="T32" s="109">
        <f>'NKC2-%'!AA42*100</f>
        <v>0</v>
      </c>
      <c r="U32" s="109">
        <f>'NKC2-%'!AB42*100</f>
        <v>0</v>
      </c>
      <c r="V32" s="109">
        <f>'NKC2-%'!AC42*100</f>
        <v>0</v>
      </c>
      <c r="W32" s="109">
        <f>'NKC2-%'!AD42*100</f>
        <v>0</v>
      </c>
      <c r="X32" s="109">
        <f>'NKC2-%'!AE42*100</f>
        <v>0</v>
      </c>
      <c r="Y32" s="109">
        <f>'NKC2-%'!AF42*100</f>
        <v>0</v>
      </c>
      <c r="Z32" s="109">
        <f>'NKC2-%'!AG42*100</f>
        <v>0</v>
      </c>
      <c r="AA32" s="109">
        <f>'NKC2-%'!AH42*100</f>
        <v>0</v>
      </c>
      <c r="AB32" s="109">
        <f>'NKC2-%'!AI42*100</f>
        <v>0</v>
      </c>
      <c r="AC32" s="109">
        <f>'NKC2-%'!AJ42*100</f>
        <v>0</v>
      </c>
      <c r="AD32" s="109">
        <f>'NKC2-%'!AK42*100</f>
        <v>0</v>
      </c>
      <c r="AE32" s="109">
        <f>'NKC2-%'!AL42*100</f>
        <v>0</v>
      </c>
      <c r="AF32" s="109">
        <f>'NKC2-%'!AM42*100</f>
        <v>0</v>
      </c>
      <c r="AG32" s="109">
        <f>'NKC2-%'!AN42*100</f>
        <v>0</v>
      </c>
      <c r="AH32" s="109">
        <f>'NKC2-%'!AO42*100</f>
        <v>0</v>
      </c>
      <c r="AI32" s="109">
        <f>'NKC2-%'!AP42*100</f>
        <v>0</v>
      </c>
      <c r="AJ32" s="109">
        <f>'NKC2-%'!AQ42*100</f>
        <v>0</v>
      </c>
      <c r="AK32" s="109">
        <f>'NKC2-%'!AR42*100</f>
        <v>0</v>
      </c>
      <c r="AL32" s="109">
        <f>'NKC2-%'!AS42*100</f>
        <v>0</v>
      </c>
      <c r="AM32" s="109">
        <f>'NKC2-%'!AT42*100</f>
        <v>0</v>
      </c>
      <c r="AN32" s="109">
        <f>'NKC2-%'!AU42*100</f>
        <v>0</v>
      </c>
      <c r="AO32" s="109">
        <f>'NKC2-%'!AV42*100</f>
        <v>0</v>
      </c>
      <c r="AP32" s="109">
        <f>'NKC2-%'!AW42*100</f>
        <v>0</v>
      </c>
      <c r="AQ32" s="109">
        <f>'NKC2-%'!AX42*100</f>
        <v>0</v>
      </c>
      <c r="AR32" s="109">
        <f>'NKC2-%'!AY42*100</f>
        <v>10</v>
      </c>
      <c r="AS32" s="109">
        <f>'NKC2-%'!AZ42*100</f>
        <v>10</v>
      </c>
      <c r="AT32" s="109">
        <f>'NKC2-%'!BA42*100</f>
        <v>20</v>
      </c>
      <c r="AU32" s="109">
        <f>'NKC2-%'!BB42*100</f>
        <v>40</v>
      </c>
      <c r="AV32" s="109">
        <f>'NKC2-%'!BC42*100</f>
        <v>20</v>
      </c>
      <c r="AW32" s="109">
        <f>'NKC2-%'!BD42*100</f>
        <v>0</v>
      </c>
      <c r="AX32" s="109">
        <f>'NKC2-%'!BE42*100</f>
        <v>0</v>
      </c>
      <c r="AY32" s="109">
        <f>'NKC2-%'!BF42*100</f>
        <v>0</v>
      </c>
      <c r="AZ32" s="109">
        <f>'NKC2-%'!BG42*100</f>
        <v>0</v>
      </c>
      <c r="BA32" s="109">
        <f>'NKC2-%'!BH42*100</f>
        <v>0</v>
      </c>
      <c r="BB32" s="109">
        <f>'NKC2-%'!BI42*100</f>
        <v>0</v>
      </c>
      <c r="BC32" s="109">
        <f>'NKC2-%'!BJ42*100</f>
        <v>0</v>
      </c>
      <c r="BD32" s="109">
        <f>'NKC2-%'!BK42*100</f>
        <v>0</v>
      </c>
      <c r="BE32" s="109">
        <f>'NKC2-%'!BL42*100</f>
        <v>0</v>
      </c>
      <c r="BF32" s="109">
        <f>'NKC2-%'!BM42*100</f>
        <v>0</v>
      </c>
      <c r="BG32" s="109">
        <f>'NKC2-%'!BN42*100</f>
        <v>0</v>
      </c>
      <c r="BH32" s="109">
        <f>'NKC2-%'!BO42*100</f>
        <v>0</v>
      </c>
      <c r="BI32" s="109">
        <f>'NKC2-%'!BP42*100</f>
        <v>0</v>
      </c>
      <c r="BJ32" s="109">
        <f>'NKC2-%'!BQ42*100</f>
        <v>0</v>
      </c>
      <c r="BK32" s="109">
        <f>'NKC2-%'!BR42*100</f>
        <v>0</v>
      </c>
      <c r="BL32" s="109">
        <f>'NKC2-%'!BS42*100</f>
        <v>0</v>
      </c>
      <c r="BM32" s="109">
        <f>'NKC2-%'!BT42*100</f>
        <v>0</v>
      </c>
      <c r="BN32" s="109">
        <f>'NKC2-%'!BU42*100</f>
        <v>0</v>
      </c>
      <c r="BO32" s="109">
        <f>'NKC2-%'!BV42*100</f>
        <v>0</v>
      </c>
      <c r="BP32" s="109">
        <f>'NKC2-%'!BW42*100</f>
        <v>0</v>
      </c>
      <c r="BQ32" s="109">
        <f>'NKC2-%'!BX42*100</f>
        <v>0</v>
      </c>
      <c r="BR32" s="109">
        <f>'NKC2-%'!BY42*100</f>
        <v>0</v>
      </c>
      <c r="BS32" s="109">
        <f>'NKC2-%'!BZ42*100</f>
        <v>0</v>
      </c>
      <c r="BT32" s="109">
        <f>'NKC2-%'!CA42*100</f>
        <v>0</v>
      </c>
      <c r="BU32" s="109">
        <f>'NKC2-%'!CB42*100</f>
        <v>0</v>
      </c>
      <c r="BV32" s="109">
        <f>'NKC2-%'!CC42*100</f>
        <v>0</v>
      </c>
      <c r="BW32" s="109">
        <f>'NKC2-%'!CD42*100</f>
        <v>0</v>
      </c>
      <c r="BX32" s="109">
        <f>'NKC2-%'!CE42*100</f>
        <v>0</v>
      </c>
      <c r="BY32" s="109">
        <f>'NKC2-%'!CF42*100</f>
        <v>0</v>
      </c>
      <c r="BZ32" s="109">
        <f>'NKC2-%'!CG42*100</f>
        <v>0</v>
      </c>
      <c r="CA32" s="109">
        <f>'NKC2-%'!CH42*100</f>
        <v>0</v>
      </c>
      <c r="CB32" s="109">
        <f>'NKC2-%'!CI42*100</f>
        <v>0</v>
      </c>
      <c r="CC32" s="109">
        <f>'NKC2-%'!CJ42*100</f>
        <v>0</v>
      </c>
      <c r="CD32" s="109">
        <f>'NKC2-%'!CK42*100</f>
        <v>0</v>
      </c>
      <c r="CE32" s="109">
        <f>'NKC2-%'!CL42*100</f>
        <v>0</v>
      </c>
      <c r="CF32" s="109">
        <f>'NKC2-%'!CM42*100</f>
        <v>0</v>
      </c>
      <c r="CG32" s="109">
        <f>'NKC2-%'!CN42*100</f>
        <v>0</v>
      </c>
      <c r="CH32" s="109">
        <f>'NKC2-%'!CO42*100</f>
        <v>0</v>
      </c>
      <c r="CI32" s="109">
        <f>'NKC2-%'!CP42*100</f>
        <v>0</v>
      </c>
    </row>
    <row r="33" spans="1:87" x14ac:dyDescent="0.45">
      <c r="A33" s="266" t="str">
        <f>'NKC2-%'!B43</f>
        <v>1.2.14</v>
      </c>
      <c r="B33" t="str">
        <f>'NKC2-%'!D43</f>
        <v>Entrance</v>
      </c>
      <c r="C33" s="104">
        <f>'NKC2-%'!F43</f>
        <v>158540.34849999999</v>
      </c>
      <c r="D33" s="87" t="str">
        <f>'NKC2-%'!G43</f>
        <v>A</v>
      </c>
      <c r="E33" s="109">
        <f>'NKC2-%'!K43*100</f>
        <v>0</v>
      </c>
      <c r="F33" s="109">
        <f>'NKC2-%'!M43*100</f>
        <v>0</v>
      </c>
      <c r="G33" s="109">
        <f>'NKC2-%'!N43*100</f>
        <v>0</v>
      </c>
      <c r="H33" s="109">
        <f>'NKC2-%'!O43*100</f>
        <v>0</v>
      </c>
      <c r="I33" s="109">
        <f>'NKC2-%'!P43*100</f>
        <v>0</v>
      </c>
      <c r="J33" s="109">
        <f>'NKC2-%'!Q43*100</f>
        <v>0</v>
      </c>
      <c r="K33" s="109">
        <f>'NKC2-%'!R43*100</f>
        <v>0</v>
      </c>
      <c r="L33" s="109">
        <f>'NKC2-%'!S43*100</f>
        <v>0</v>
      </c>
      <c r="M33" s="109">
        <f>'NKC2-%'!T43*100</f>
        <v>0</v>
      </c>
      <c r="N33" s="109">
        <f>'NKC2-%'!U43*100</f>
        <v>0</v>
      </c>
      <c r="O33" s="109">
        <f>'NKC2-%'!V43*100</f>
        <v>0</v>
      </c>
      <c r="P33" s="109">
        <f>'NKC2-%'!W43*100</f>
        <v>0</v>
      </c>
      <c r="Q33" s="109">
        <f>'NKC2-%'!X43*100</f>
        <v>0</v>
      </c>
      <c r="R33" s="109">
        <f>'NKC2-%'!Y43*100</f>
        <v>0</v>
      </c>
      <c r="S33" s="109">
        <f>'NKC2-%'!Z43*100</f>
        <v>0</v>
      </c>
      <c r="T33" s="109">
        <f>'NKC2-%'!AA43*100</f>
        <v>0</v>
      </c>
      <c r="U33" s="109">
        <f>'NKC2-%'!AB43*100</f>
        <v>0</v>
      </c>
      <c r="V33" s="109">
        <f>'NKC2-%'!AC43*100</f>
        <v>0</v>
      </c>
      <c r="W33" s="109">
        <f>'NKC2-%'!AD43*100</f>
        <v>0</v>
      </c>
      <c r="X33" s="109">
        <f>'NKC2-%'!AE43*100</f>
        <v>0</v>
      </c>
      <c r="Y33" s="109">
        <f>'NKC2-%'!AF43*100</f>
        <v>0</v>
      </c>
      <c r="Z33" s="109">
        <f>'NKC2-%'!AG43*100</f>
        <v>0</v>
      </c>
      <c r="AA33" s="109">
        <f>'NKC2-%'!AH43*100</f>
        <v>0</v>
      </c>
      <c r="AB33" s="109">
        <f>'NKC2-%'!AI43*100</f>
        <v>0</v>
      </c>
      <c r="AC33" s="109">
        <f>'NKC2-%'!AJ43*100</f>
        <v>0</v>
      </c>
      <c r="AD33" s="109">
        <f>'NKC2-%'!AK43*100</f>
        <v>0</v>
      </c>
      <c r="AE33" s="109">
        <f>'NKC2-%'!AL43*100</f>
        <v>0</v>
      </c>
      <c r="AF33" s="109">
        <f>'NKC2-%'!AM43*100</f>
        <v>0</v>
      </c>
      <c r="AG33" s="109">
        <f>'NKC2-%'!AN43*100</f>
        <v>0</v>
      </c>
      <c r="AH33" s="109">
        <f>'NKC2-%'!AO43*100</f>
        <v>0</v>
      </c>
      <c r="AI33" s="109">
        <f>'NKC2-%'!AP43*100</f>
        <v>0</v>
      </c>
      <c r="AJ33" s="109">
        <f>'NKC2-%'!AQ43*100</f>
        <v>0</v>
      </c>
      <c r="AK33" s="109">
        <f>'NKC2-%'!AR43*100</f>
        <v>0</v>
      </c>
      <c r="AL33" s="109">
        <f>'NKC2-%'!AS43*100</f>
        <v>0</v>
      </c>
      <c r="AM33" s="109">
        <f>'NKC2-%'!AT43*100</f>
        <v>0</v>
      </c>
      <c r="AN33" s="109">
        <f>'NKC2-%'!AU43*100</f>
        <v>0</v>
      </c>
      <c r="AO33" s="109">
        <f>'NKC2-%'!AV43*100</f>
        <v>0</v>
      </c>
      <c r="AP33" s="109">
        <f>'NKC2-%'!AW43*100</f>
        <v>0</v>
      </c>
      <c r="AQ33" s="109">
        <f>'NKC2-%'!AX43*100</f>
        <v>0</v>
      </c>
      <c r="AR33" s="109">
        <f>'NKC2-%'!AY43*100</f>
        <v>0</v>
      </c>
      <c r="AS33" s="109">
        <f>'NKC2-%'!AZ43*100</f>
        <v>0</v>
      </c>
      <c r="AT33" s="109">
        <f>'NKC2-%'!BA43*100</f>
        <v>0</v>
      </c>
      <c r="AU33" s="109">
        <f>'NKC2-%'!BB43*100</f>
        <v>0</v>
      </c>
      <c r="AV33" s="109">
        <f>'NKC2-%'!BC43*100</f>
        <v>0</v>
      </c>
      <c r="AW33" s="109">
        <f>'NKC2-%'!BD43*100</f>
        <v>0</v>
      </c>
      <c r="AX33" s="109">
        <f>'NKC2-%'!BE43*100</f>
        <v>0</v>
      </c>
      <c r="AY33" s="109">
        <f>'NKC2-%'!BF43*100</f>
        <v>0</v>
      </c>
      <c r="AZ33" s="109">
        <f>'NKC2-%'!BG43*100</f>
        <v>0</v>
      </c>
      <c r="BA33" s="109">
        <f>'NKC2-%'!BH43*100</f>
        <v>0</v>
      </c>
      <c r="BB33" s="109">
        <f>'NKC2-%'!BI43*100</f>
        <v>0</v>
      </c>
      <c r="BC33" s="109">
        <f>'NKC2-%'!BJ43*100</f>
        <v>0</v>
      </c>
      <c r="BD33" s="109">
        <f>'NKC2-%'!BK43*100</f>
        <v>0</v>
      </c>
      <c r="BE33" s="109">
        <f>'NKC2-%'!BL43*100</f>
        <v>0</v>
      </c>
      <c r="BF33" s="109">
        <f>'NKC2-%'!BM43*100</f>
        <v>0</v>
      </c>
      <c r="BG33" s="109">
        <f>'NKC2-%'!BN43*100</f>
        <v>0</v>
      </c>
      <c r="BH33" s="109">
        <f>'NKC2-%'!BO43*100</f>
        <v>0</v>
      </c>
      <c r="BI33" s="109">
        <f>'NKC2-%'!BP43*100</f>
        <v>0</v>
      </c>
      <c r="BJ33" s="109">
        <f>'NKC2-%'!BQ43*100</f>
        <v>0</v>
      </c>
      <c r="BK33" s="109">
        <f>'NKC2-%'!BR43*100</f>
        <v>0</v>
      </c>
      <c r="BL33" s="109">
        <f>'NKC2-%'!BS43*100</f>
        <v>0</v>
      </c>
      <c r="BM33" s="109">
        <f>'NKC2-%'!BT43*100</f>
        <v>0</v>
      </c>
      <c r="BN33" s="109">
        <f>'NKC2-%'!BU43*100</f>
        <v>0</v>
      </c>
      <c r="BO33" s="109">
        <f>'NKC2-%'!BV43*100</f>
        <v>0</v>
      </c>
      <c r="BP33" s="109">
        <f>'NKC2-%'!BW43*100</f>
        <v>0</v>
      </c>
      <c r="BQ33" s="109">
        <f>'NKC2-%'!BX43*100</f>
        <v>0</v>
      </c>
      <c r="BR33" s="109">
        <f>'NKC2-%'!BY43*100</f>
        <v>0</v>
      </c>
      <c r="BS33" s="109">
        <f>'NKC2-%'!BZ43*100</f>
        <v>0</v>
      </c>
      <c r="BT33" s="109">
        <f>'NKC2-%'!CA43*100</f>
        <v>0</v>
      </c>
      <c r="BU33" s="109">
        <f>'NKC2-%'!CB43*100</f>
        <v>0</v>
      </c>
      <c r="BV33" s="109">
        <f>'NKC2-%'!CC43*100</f>
        <v>0</v>
      </c>
      <c r="BW33" s="109">
        <f>'NKC2-%'!CD43*100</f>
        <v>0</v>
      </c>
      <c r="BX33" s="109">
        <f>'NKC2-%'!CE43*100</f>
        <v>0</v>
      </c>
      <c r="BY33" s="109">
        <f>'NKC2-%'!CF43*100</f>
        <v>0</v>
      </c>
      <c r="BZ33" s="109">
        <f>'NKC2-%'!CG43*100</f>
        <v>0</v>
      </c>
      <c r="CA33" s="109">
        <f>'NKC2-%'!CH43*100</f>
        <v>0</v>
      </c>
      <c r="CB33" s="109">
        <f>'NKC2-%'!CI43*100</f>
        <v>0</v>
      </c>
      <c r="CC33" s="109">
        <f>'NKC2-%'!CJ43*100</f>
        <v>0</v>
      </c>
      <c r="CD33" s="109">
        <f>'NKC2-%'!CK43*100</f>
        <v>0</v>
      </c>
      <c r="CE33" s="109">
        <f>'NKC2-%'!CL43*100</f>
        <v>0</v>
      </c>
      <c r="CF33" s="109">
        <f>'NKC2-%'!CM43*100</f>
        <v>0</v>
      </c>
      <c r="CG33" s="109">
        <f>'NKC2-%'!CN43*100</f>
        <v>0</v>
      </c>
      <c r="CH33" s="109">
        <f>'NKC2-%'!CO43*100</f>
        <v>0</v>
      </c>
      <c r="CI33" s="109">
        <f>'NKC2-%'!CP43*100</f>
        <v>0</v>
      </c>
    </row>
    <row r="34" spans="1:87" x14ac:dyDescent="0.45">
      <c r="A34" s="266">
        <f>'NKC2-%'!B44</f>
        <v>1.3</v>
      </c>
      <c r="B34" t="str">
        <f>'NKC2-%'!D44</f>
        <v>Riser</v>
      </c>
      <c r="C34" s="104">
        <f>'NKC2-%'!F44</f>
        <v>349589.6634711941</v>
      </c>
      <c r="D34" s="87" t="str">
        <f>'NKC2-%'!G44</f>
        <v>P</v>
      </c>
      <c r="E34" s="109">
        <f>'NKC2-%'!K44*100</f>
        <v>99.999999999999986</v>
      </c>
      <c r="F34" s="109">
        <f>'NKC2-%'!M44*100</f>
        <v>0</v>
      </c>
      <c r="G34" s="109">
        <f>'NKC2-%'!N44*100</f>
        <v>0</v>
      </c>
      <c r="H34" s="109">
        <f>'NKC2-%'!O44*100</f>
        <v>0</v>
      </c>
      <c r="I34" s="109">
        <f>'NKC2-%'!P44*100</f>
        <v>0</v>
      </c>
      <c r="J34" s="109">
        <f>'NKC2-%'!Q44*100</f>
        <v>0</v>
      </c>
      <c r="K34" s="109">
        <f>'NKC2-%'!R44*100</f>
        <v>0</v>
      </c>
      <c r="L34" s="109">
        <f>'NKC2-%'!S44*100</f>
        <v>0</v>
      </c>
      <c r="M34" s="109">
        <f>'NKC2-%'!T44*100</f>
        <v>0</v>
      </c>
      <c r="N34" s="109">
        <f>'NKC2-%'!U44*100</f>
        <v>0</v>
      </c>
      <c r="O34" s="109">
        <f>'NKC2-%'!V44*100</f>
        <v>0</v>
      </c>
      <c r="P34" s="109">
        <f>'NKC2-%'!W44*100</f>
        <v>0</v>
      </c>
      <c r="Q34" s="109">
        <f>'NKC2-%'!X44*100</f>
        <v>0</v>
      </c>
      <c r="R34" s="109">
        <f>'NKC2-%'!Y44*100</f>
        <v>0</v>
      </c>
      <c r="S34" s="109">
        <f>'NKC2-%'!Z44*100</f>
        <v>0</v>
      </c>
      <c r="T34" s="109">
        <f>'NKC2-%'!AA44*100</f>
        <v>0</v>
      </c>
      <c r="U34" s="109">
        <f>'NKC2-%'!AB44*100</f>
        <v>0</v>
      </c>
      <c r="V34" s="109">
        <f>'NKC2-%'!AC44*100</f>
        <v>0</v>
      </c>
      <c r="W34" s="109">
        <f>'NKC2-%'!AD44*100</f>
        <v>0</v>
      </c>
      <c r="X34" s="109">
        <f>'NKC2-%'!AE44*100</f>
        <v>0</v>
      </c>
      <c r="Y34" s="109">
        <f>'NKC2-%'!AF44*100</f>
        <v>0</v>
      </c>
      <c r="Z34" s="109">
        <f>'NKC2-%'!AG44*100</f>
        <v>0</v>
      </c>
      <c r="AA34" s="109">
        <f>'NKC2-%'!AH44*100</f>
        <v>0</v>
      </c>
      <c r="AB34" s="109">
        <f>'NKC2-%'!AI44*100</f>
        <v>0</v>
      </c>
      <c r="AC34" s="109">
        <f>'NKC2-%'!AJ44*100</f>
        <v>0</v>
      </c>
      <c r="AD34" s="109">
        <f>'NKC2-%'!AK44*100</f>
        <v>0</v>
      </c>
      <c r="AE34" s="109">
        <f>'NKC2-%'!AL44*100</f>
        <v>0</v>
      </c>
      <c r="AF34" s="109">
        <f>'NKC2-%'!AM44*100</f>
        <v>0</v>
      </c>
      <c r="AG34" s="109">
        <f>'NKC2-%'!AN44*100</f>
        <v>0</v>
      </c>
      <c r="AH34" s="109">
        <f>'NKC2-%'!AO44*100</f>
        <v>0</v>
      </c>
      <c r="AI34" s="109">
        <f>'NKC2-%'!AP44*100</f>
        <v>0</v>
      </c>
      <c r="AJ34" s="109">
        <f>'NKC2-%'!AQ44*100</f>
        <v>1.4349765232706768</v>
      </c>
      <c r="AK34" s="109">
        <f>'NKC2-%'!AR44*100</f>
        <v>1.4349765232706768</v>
      </c>
      <c r="AL34" s="109">
        <f>'NKC2-%'!AS44*100</f>
        <v>5.0477433398796547</v>
      </c>
      <c r="AM34" s="109">
        <f>'NKC2-%'!AT44*100</f>
        <v>5.6217339491879263</v>
      </c>
      <c r="AN34" s="109">
        <f>'NKC2-%'!AU44*100</f>
        <v>8.6127668166089784</v>
      </c>
      <c r="AO34" s="109">
        <f>'NKC2-%'!AV44*100</f>
        <v>9.4260093906917284</v>
      </c>
      <c r="AP34" s="109">
        <f>'NKC2-%'!AW44*100</f>
        <v>9.4260093906917284</v>
      </c>
      <c r="AQ34" s="109">
        <f>'NKC2-%'!AX44*100</f>
        <v>10.239251964774478</v>
      </c>
      <c r="AR34" s="109">
        <f>'NKC2-%'!AY44*100</f>
        <v>10.239251964774478</v>
      </c>
      <c r="AS34" s="109">
        <f>'NKC2-%'!AZ44*100</f>
        <v>9.4260093906917284</v>
      </c>
      <c r="AT34" s="109">
        <f>'NKC2-%'!BA44*100</f>
        <v>9.4260093906917284</v>
      </c>
      <c r="AU34" s="109">
        <f>'NKC2-%'!BB44*100</f>
        <v>9.1390140860375944</v>
      </c>
      <c r="AV34" s="109">
        <f>'NKC2-%'!BC44*100</f>
        <v>5.526247269428616</v>
      </c>
      <c r="AW34" s="109">
        <f>'NKC2-%'!BD44*100</f>
        <v>4.7130046953458642</v>
      </c>
      <c r="AX34" s="109">
        <f>'NKC2-%'!BE44*100</f>
        <v>0.28699530465413536</v>
      </c>
      <c r="AY34" s="109">
        <f>'NKC2-%'!BF44*100</f>
        <v>0</v>
      </c>
      <c r="AZ34" s="109">
        <f>'NKC2-%'!BG44*100</f>
        <v>0</v>
      </c>
      <c r="BA34" s="109">
        <f>'NKC2-%'!BH44*100</f>
        <v>0</v>
      </c>
      <c r="BB34" s="109">
        <f>'NKC2-%'!BI44*100</f>
        <v>0</v>
      </c>
      <c r="BC34" s="109">
        <f>'NKC2-%'!BJ44*100</f>
        <v>0</v>
      </c>
      <c r="BD34" s="109">
        <f>'NKC2-%'!BK44*100</f>
        <v>0</v>
      </c>
      <c r="BE34" s="109">
        <f>'NKC2-%'!BL44*100</f>
        <v>0</v>
      </c>
      <c r="BF34" s="109">
        <f>'NKC2-%'!BM44*100</f>
        <v>0</v>
      </c>
      <c r="BG34" s="109">
        <f>'NKC2-%'!BN44*100</f>
        <v>0</v>
      </c>
      <c r="BH34" s="109">
        <f>'NKC2-%'!BO44*100</f>
        <v>0</v>
      </c>
      <c r="BI34" s="109">
        <f>'NKC2-%'!BP44*100</f>
        <v>0</v>
      </c>
      <c r="BJ34" s="109">
        <f>'NKC2-%'!BQ44*100</f>
        <v>0</v>
      </c>
      <c r="BK34" s="109">
        <f>'NKC2-%'!BR44*100</f>
        <v>0</v>
      </c>
      <c r="BL34" s="109">
        <f>'NKC2-%'!BS44*100</f>
        <v>0</v>
      </c>
      <c r="BM34" s="109">
        <f>'NKC2-%'!BT44*100</f>
        <v>0</v>
      </c>
      <c r="BN34" s="109">
        <f>'NKC2-%'!BU44*100</f>
        <v>0</v>
      </c>
      <c r="BO34" s="109">
        <f>'NKC2-%'!BV44*100</f>
        <v>0</v>
      </c>
      <c r="BP34" s="109">
        <f>'NKC2-%'!BW44*100</f>
        <v>0</v>
      </c>
      <c r="BQ34" s="109">
        <f>'NKC2-%'!BX44*100</f>
        <v>0</v>
      </c>
      <c r="BR34" s="109">
        <f>'NKC2-%'!BY44*100</f>
        <v>0</v>
      </c>
      <c r="BS34" s="109">
        <f>'NKC2-%'!BZ44*100</f>
        <v>0</v>
      </c>
      <c r="BT34" s="109">
        <f>'NKC2-%'!CA44*100</f>
        <v>0</v>
      </c>
      <c r="BU34" s="109">
        <f>'NKC2-%'!CB44*100</f>
        <v>0</v>
      </c>
      <c r="BV34" s="109">
        <f>'NKC2-%'!CC44*100</f>
        <v>0</v>
      </c>
      <c r="BW34" s="109">
        <f>'NKC2-%'!CD44*100</f>
        <v>0</v>
      </c>
      <c r="BX34" s="109">
        <f>'NKC2-%'!CE44*100</f>
        <v>0</v>
      </c>
      <c r="BY34" s="109">
        <f>'NKC2-%'!CF44*100</f>
        <v>0</v>
      </c>
      <c r="BZ34" s="109">
        <f>'NKC2-%'!CG44*100</f>
        <v>0</v>
      </c>
      <c r="CA34" s="109">
        <f>'NKC2-%'!CH44*100</f>
        <v>0</v>
      </c>
      <c r="CB34" s="109">
        <f>'NKC2-%'!CI44*100</f>
        <v>0</v>
      </c>
      <c r="CC34" s="109">
        <f>'NKC2-%'!CJ44*100</f>
        <v>0</v>
      </c>
      <c r="CD34" s="109">
        <f>'NKC2-%'!CK44*100</f>
        <v>0</v>
      </c>
      <c r="CE34" s="109">
        <f>'NKC2-%'!CL44*100</f>
        <v>0</v>
      </c>
      <c r="CF34" s="109">
        <f>'NKC2-%'!CM44*100</f>
        <v>0</v>
      </c>
      <c r="CG34" s="109">
        <f>'NKC2-%'!CN44*100</f>
        <v>0</v>
      </c>
      <c r="CH34" s="109">
        <f>'NKC2-%'!CO44*100</f>
        <v>0</v>
      </c>
      <c r="CI34" s="109">
        <f>'NKC2-%'!CP44*100</f>
        <v>0</v>
      </c>
    </row>
    <row r="35" spans="1:87" x14ac:dyDescent="0.45">
      <c r="A35" s="266">
        <f>'NKC2-%'!B45</f>
        <v>1.3</v>
      </c>
      <c r="B35" t="str">
        <f>'NKC2-%'!D45</f>
        <v>Riser</v>
      </c>
      <c r="C35" s="104">
        <f>'NKC2-%'!F45</f>
        <v>349589.6634711941</v>
      </c>
      <c r="D35" s="87" t="str">
        <f>'NKC2-%'!G45</f>
        <v>A</v>
      </c>
      <c r="E35" s="109">
        <f>'NKC2-%'!K45*100</f>
        <v>1.7219718279248124</v>
      </c>
      <c r="F35" s="109">
        <f>'NKC2-%'!M45*100</f>
        <v>0</v>
      </c>
      <c r="G35" s="109">
        <f>'NKC2-%'!N45*100</f>
        <v>0</v>
      </c>
      <c r="H35" s="109">
        <f>'NKC2-%'!O45*100</f>
        <v>0</v>
      </c>
      <c r="I35" s="109">
        <f>'NKC2-%'!P45*100</f>
        <v>0</v>
      </c>
      <c r="J35" s="109">
        <f>'NKC2-%'!Q45*100</f>
        <v>0</v>
      </c>
      <c r="K35" s="109">
        <f>'NKC2-%'!R45*100</f>
        <v>0</v>
      </c>
      <c r="L35" s="109">
        <f>'NKC2-%'!S45*100</f>
        <v>0</v>
      </c>
      <c r="M35" s="109">
        <f>'NKC2-%'!T45*100</f>
        <v>0</v>
      </c>
      <c r="N35" s="109">
        <f>'NKC2-%'!U45*100</f>
        <v>0</v>
      </c>
      <c r="O35" s="109">
        <f>'NKC2-%'!V45*100</f>
        <v>0</v>
      </c>
      <c r="P35" s="109">
        <f>'NKC2-%'!W45*100</f>
        <v>0</v>
      </c>
      <c r="Q35" s="109">
        <f>'NKC2-%'!X45*100</f>
        <v>0</v>
      </c>
      <c r="R35" s="109">
        <f>'NKC2-%'!Y45*100</f>
        <v>0</v>
      </c>
      <c r="S35" s="109">
        <f>'NKC2-%'!Z45*100</f>
        <v>0</v>
      </c>
      <c r="T35" s="109">
        <f>'NKC2-%'!AA45*100</f>
        <v>0</v>
      </c>
      <c r="U35" s="109">
        <f>'NKC2-%'!AB45*100</f>
        <v>0</v>
      </c>
      <c r="V35" s="109">
        <f>'NKC2-%'!AC45*100</f>
        <v>0</v>
      </c>
      <c r="W35" s="109">
        <f>'NKC2-%'!AD45*100</f>
        <v>0</v>
      </c>
      <c r="X35" s="109">
        <f>'NKC2-%'!AE45*100</f>
        <v>0</v>
      </c>
      <c r="Y35" s="109">
        <f>'NKC2-%'!AF45*100</f>
        <v>0</v>
      </c>
      <c r="Z35" s="109">
        <f>'NKC2-%'!AG45*100</f>
        <v>0</v>
      </c>
      <c r="AA35" s="109">
        <f>'NKC2-%'!AH45*100</f>
        <v>0</v>
      </c>
      <c r="AB35" s="109">
        <f>'NKC2-%'!AI45*100</f>
        <v>0</v>
      </c>
      <c r="AC35" s="109">
        <f>'NKC2-%'!AJ45*100</f>
        <v>0</v>
      </c>
      <c r="AD35" s="109">
        <f>'NKC2-%'!AK45*100</f>
        <v>0</v>
      </c>
      <c r="AE35" s="109">
        <f>'NKC2-%'!AL45*100</f>
        <v>0</v>
      </c>
      <c r="AF35" s="109">
        <f>'NKC2-%'!AM45*100</f>
        <v>0</v>
      </c>
      <c r="AG35" s="109">
        <f>'NKC2-%'!AN45*100</f>
        <v>0</v>
      </c>
      <c r="AH35" s="109">
        <f>'NKC2-%'!AO45*100</f>
        <v>0</v>
      </c>
      <c r="AI35" s="109">
        <f>'NKC2-%'!AP45*100</f>
        <v>0</v>
      </c>
      <c r="AJ35" s="109">
        <f>'NKC2-%'!AQ45*100</f>
        <v>0</v>
      </c>
      <c r="AK35" s="109">
        <f>'NKC2-%'!AR45*100</f>
        <v>0</v>
      </c>
      <c r="AL35" s="109">
        <f>'NKC2-%'!AS45*100</f>
        <v>0.8609859139624062</v>
      </c>
      <c r="AM35" s="109">
        <f>'NKC2-%'!AT45*100</f>
        <v>0.8609859139624062</v>
      </c>
      <c r="AN35" s="109">
        <f>'NKC2-%'!AU45*100</f>
        <v>0</v>
      </c>
      <c r="AO35" s="109">
        <f>'NKC2-%'!AV45*100</f>
        <v>0</v>
      </c>
      <c r="AP35" s="109">
        <f>'NKC2-%'!AW45*100</f>
        <v>0</v>
      </c>
      <c r="AQ35" s="109">
        <f>'NKC2-%'!AX45*100</f>
        <v>0</v>
      </c>
      <c r="AR35" s="109">
        <f>'NKC2-%'!AY45*100</f>
        <v>0</v>
      </c>
      <c r="AS35" s="109">
        <f>'NKC2-%'!AZ45*100</f>
        <v>0</v>
      </c>
      <c r="AT35" s="109">
        <f>'NKC2-%'!BA45*100</f>
        <v>0</v>
      </c>
      <c r="AU35" s="109">
        <f>'NKC2-%'!BB45*100</f>
        <v>0</v>
      </c>
      <c r="AV35" s="109">
        <f>'NKC2-%'!BC45*100</f>
        <v>0</v>
      </c>
      <c r="AW35" s="109">
        <f>'NKC2-%'!BD45*100</f>
        <v>0</v>
      </c>
      <c r="AX35" s="109">
        <f>'NKC2-%'!BE45*100</f>
        <v>0</v>
      </c>
      <c r="AY35" s="109">
        <f>'NKC2-%'!BF45*100</f>
        <v>0</v>
      </c>
      <c r="AZ35" s="109">
        <f>'NKC2-%'!BG45*100</f>
        <v>0</v>
      </c>
      <c r="BA35" s="109">
        <f>'NKC2-%'!BH45*100</f>
        <v>0</v>
      </c>
      <c r="BB35" s="109">
        <f>'NKC2-%'!BI45*100</f>
        <v>0</v>
      </c>
      <c r="BC35" s="109">
        <f>'NKC2-%'!BJ45*100</f>
        <v>0</v>
      </c>
      <c r="BD35" s="109">
        <f>'NKC2-%'!BK45*100</f>
        <v>0</v>
      </c>
      <c r="BE35" s="109">
        <f>'NKC2-%'!BL45*100</f>
        <v>0</v>
      </c>
      <c r="BF35" s="109">
        <f>'NKC2-%'!BM45*100</f>
        <v>0</v>
      </c>
      <c r="BG35" s="109">
        <f>'NKC2-%'!BN45*100</f>
        <v>0</v>
      </c>
      <c r="BH35" s="109">
        <f>'NKC2-%'!BO45*100</f>
        <v>0</v>
      </c>
      <c r="BI35" s="109">
        <f>'NKC2-%'!BP45*100</f>
        <v>0</v>
      </c>
      <c r="BJ35" s="109">
        <f>'NKC2-%'!BQ45*100</f>
        <v>0</v>
      </c>
      <c r="BK35" s="109">
        <f>'NKC2-%'!BR45*100</f>
        <v>0</v>
      </c>
      <c r="BL35" s="109">
        <f>'NKC2-%'!BS45*100</f>
        <v>0</v>
      </c>
      <c r="BM35" s="109">
        <f>'NKC2-%'!BT45*100</f>
        <v>0</v>
      </c>
      <c r="BN35" s="109">
        <f>'NKC2-%'!BU45*100</f>
        <v>0</v>
      </c>
      <c r="BO35" s="109">
        <f>'NKC2-%'!BV45*100</f>
        <v>0</v>
      </c>
      <c r="BP35" s="109">
        <f>'NKC2-%'!BW45*100</f>
        <v>0</v>
      </c>
      <c r="BQ35" s="109">
        <f>'NKC2-%'!BX45*100</f>
        <v>0</v>
      </c>
      <c r="BR35" s="109">
        <f>'NKC2-%'!BY45*100</f>
        <v>0</v>
      </c>
      <c r="BS35" s="109">
        <f>'NKC2-%'!BZ45*100</f>
        <v>0</v>
      </c>
      <c r="BT35" s="109">
        <f>'NKC2-%'!CA45*100</f>
        <v>0</v>
      </c>
      <c r="BU35" s="109">
        <f>'NKC2-%'!CB45*100</f>
        <v>0</v>
      </c>
      <c r="BV35" s="109">
        <f>'NKC2-%'!CC45*100</f>
        <v>0</v>
      </c>
      <c r="BW35" s="109">
        <f>'NKC2-%'!CD45*100</f>
        <v>0</v>
      </c>
      <c r="BX35" s="109">
        <f>'NKC2-%'!CE45*100</f>
        <v>0</v>
      </c>
      <c r="BY35" s="109">
        <f>'NKC2-%'!CF45*100</f>
        <v>0</v>
      </c>
      <c r="BZ35" s="109">
        <f>'NKC2-%'!CG45*100</f>
        <v>0</v>
      </c>
      <c r="CA35" s="109">
        <f>'NKC2-%'!CH45*100</f>
        <v>0</v>
      </c>
      <c r="CB35" s="109">
        <f>'NKC2-%'!CI45*100</f>
        <v>0</v>
      </c>
      <c r="CC35" s="109">
        <f>'NKC2-%'!CJ45*100</f>
        <v>0</v>
      </c>
      <c r="CD35" s="109">
        <f>'NKC2-%'!CK45*100</f>
        <v>0</v>
      </c>
      <c r="CE35" s="109">
        <f>'NKC2-%'!CL45*100</f>
        <v>0</v>
      </c>
      <c r="CF35" s="109">
        <f>'NKC2-%'!CM45*100</f>
        <v>0</v>
      </c>
      <c r="CG35" s="109">
        <f>'NKC2-%'!CN45*100</f>
        <v>0</v>
      </c>
      <c r="CH35" s="109">
        <f>'NKC2-%'!CO45*100</f>
        <v>0</v>
      </c>
      <c r="CI35" s="109">
        <f>'NKC2-%'!CP45*100</f>
        <v>0</v>
      </c>
    </row>
    <row r="36" spans="1:87" x14ac:dyDescent="0.45">
      <c r="A36" s="266" t="str">
        <f>'NKC2-%'!B46</f>
        <v>1.3.1</v>
      </c>
      <c r="B36" t="str">
        <f>'NKC2-%'!D46</f>
        <v>Mansory Work</v>
      </c>
      <c r="C36" s="104">
        <f>'NKC2-%'!F46</f>
        <v>20066.118394370402</v>
      </c>
      <c r="D36" s="87" t="str">
        <f>'NKC2-%'!G46</f>
        <v>P</v>
      </c>
      <c r="E36" s="109">
        <f>'NKC2-%'!K46*100</f>
        <v>100</v>
      </c>
      <c r="F36" s="109">
        <f>'NKC2-%'!M46*100</f>
        <v>0</v>
      </c>
      <c r="G36" s="109">
        <f>'NKC2-%'!N46*100</f>
        <v>0</v>
      </c>
      <c r="H36" s="109">
        <f>'NKC2-%'!O46*100</f>
        <v>0</v>
      </c>
      <c r="I36" s="109">
        <f>'NKC2-%'!P46*100</f>
        <v>0</v>
      </c>
      <c r="J36" s="109">
        <f>'NKC2-%'!Q46*100</f>
        <v>0</v>
      </c>
      <c r="K36" s="109">
        <f>'NKC2-%'!R46*100</f>
        <v>0</v>
      </c>
      <c r="L36" s="109">
        <f>'NKC2-%'!S46*100</f>
        <v>0</v>
      </c>
      <c r="M36" s="109">
        <f>'NKC2-%'!T46*100</f>
        <v>0</v>
      </c>
      <c r="N36" s="109">
        <f>'NKC2-%'!U46*100</f>
        <v>0</v>
      </c>
      <c r="O36" s="109">
        <f>'NKC2-%'!V46*100</f>
        <v>0</v>
      </c>
      <c r="P36" s="109">
        <f>'NKC2-%'!W46*100</f>
        <v>0</v>
      </c>
      <c r="Q36" s="109">
        <f>'NKC2-%'!X46*100</f>
        <v>0</v>
      </c>
      <c r="R36" s="109">
        <f>'NKC2-%'!Y46*100</f>
        <v>0</v>
      </c>
      <c r="S36" s="109">
        <f>'NKC2-%'!Z46*100</f>
        <v>0</v>
      </c>
      <c r="T36" s="109">
        <f>'NKC2-%'!AA46*100</f>
        <v>0</v>
      </c>
      <c r="U36" s="109">
        <f>'NKC2-%'!AB46*100</f>
        <v>0</v>
      </c>
      <c r="V36" s="109">
        <f>'NKC2-%'!AC46*100</f>
        <v>0</v>
      </c>
      <c r="W36" s="109">
        <f>'NKC2-%'!AD46*100</f>
        <v>0</v>
      </c>
      <c r="X36" s="109">
        <f>'NKC2-%'!AE46*100</f>
        <v>0</v>
      </c>
      <c r="Y36" s="109">
        <f>'NKC2-%'!AF46*100</f>
        <v>0</v>
      </c>
      <c r="Z36" s="109">
        <f>'NKC2-%'!AG46*100</f>
        <v>0</v>
      </c>
      <c r="AA36" s="109">
        <f>'NKC2-%'!AH46*100</f>
        <v>0</v>
      </c>
      <c r="AB36" s="109">
        <f>'NKC2-%'!AI46*100</f>
        <v>0</v>
      </c>
      <c r="AC36" s="109">
        <f>'NKC2-%'!AJ46*100</f>
        <v>0</v>
      </c>
      <c r="AD36" s="109">
        <f>'NKC2-%'!AK46*100</f>
        <v>0</v>
      </c>
      <c r="AE36" s="109">
        <f>'NKC2-%'!AL46*100</f>
        <v>0</v>
      </c>
      <c r="AF36" s="109">
        <f>'NKC2-%'!AM46*100</f>
        <v>0</v>
      </c>
      <c r="AG36" s="109">
        <f>'NKC2-%'!AN46*100</f>
        <v>0</v>
      </c>
      <c r="AH36" s="109">
        <f>'NKC2-%'!AO46*100</f>
        <v>0</v>
      </c>
      <c r="AI36" s="109">
        <f>'NKC2-%'!AP46*100</f>
        <v>0</v>
      </c>
      <c r="AJ36" s="109">
        <f>'NKC2-%'!AQ46*100</f>
        <v>25</v>
      </c>
      <c r="AK36" s="109">
        <f>'NKC2-%'!AR46*100</f>
        <v>25</v>
      </c>
      <c r="AL36" s="109">
        <f>'NKC2-%'!AS46*100</f>
        <v>25</v>
      </c>
      <c r="AM36" s="109">
        <f>'NKC2-%'!AT46*100</f>
        <v>25</v>
      </c>
      <c r="AN36" s="109">
        <f>'NKC2-%'!AU46*100</f>
        <v>0</v>
      </c>
      <c r="AO36" s="109">
        <f>'NKC2-%'!AV46*100</f>
        <v>0</v>
      </c>
      <c r="AP36" s="109">
        <f>'NKC2-%'!AW46*100</f>
        <v>0</v>
      </c>
      <c r="AQ36" s="109">
        <f>'NKC2-%'!AX46*100</f>
        <v>0</v>
      </c>
      <c r="AR36" s="109">
        <f>'NKC2-%'!AY46*100</f>
        <v>0</v>
      </c>
      <c r="AS36" s="109">
        <f>'NKC2-%'!AZ46*100</f>
        <v>0</v>
      </c>
      <c r="AT36" s="109">
        <f>'NKC2-%'!BA46*100</f>
        <v>0</v>
      </c>
      <c r="AU36" s="109">
        <f>'NKC2-%'!BB46*100</f>
        <v>0</v>
      </c>
      <c r="AV36" s="109">
        <f>'NKC2-%'!BC46*100</f>
        <v>0</v>
      </c>
      <c r="AW36" s="109">
        <f>'NKC2-%'!BD46*100</f>
        <v>0</v>
      </c>
      <c r="AX36" s="109">
        <f>'NKC2-%'!BE46*100</f>
        <v>0</v>
      </c>
      <c r="AY36" s="109">
        <f>'NKC2-%'!BF46*100</f>
        <v>0</v>
      </c>
      <c r="AZ36" s="109">
        <f>'NKC2-%'!BG46*100</f>
        <v>0</v>
      </c>
      <c r="BA36" s="109">
        <f>'NKC2-%'!BH46*100</f>
        <v>0</v>
      </c>
      <c r="BB36" s="109">
        <f>'NKC2-%'!BI46*100</f>
        <v>0</v>
      </c>
      <c r="BC36" s="109">
        <f>'NKC2-%'!BJ46*100</f>
        <v>0</v>
      </c>
      <c r="BD36" s="109">
        <f>'NKC2-%'!BK46*100</f>
        <v>0</v>
      </c>
      <c r="BE36" s="109">
        <f>'NKC2-%'!BL46*100</f>
        <v>0</v>
      </c>
      <c r="BF36" s="109">
        <f>'NKC2-%'!BM46*100</f>
        <v>0</v>
      </c>
      <c r="BG36" s="109">
        <f>'NKC2-%'!BN46*100</f>
        <v>0</v>
      </c>
      <c r="BH36" s="109">
        <f>'NKC2-%'!BO46*100</f>
        <v>0</v>
      </c>
      <c r="BI36" s="109">
        <f>'NKC2-%'!BP46*100</f>
        <v>0</v>
      </c>
      <c r="BJ36" s="109">
        <f>'NKC2-%'!BQ46*100</f>
        <v>0</v>
      </c>
      <c r="BK36" s="109">
        <f>'NKC2-%'!BR46*100</f>
        <v>0</v>
      </c>
      <c r="BL36" s="109">
        <f>'NKC2-%'!BS46*100</f>
        <v>0</v>
      </c>
      <c r="BM36" s="109">
        <f>'NKC2-%'!BT46*100</f>
        <v>0</v>
      </c>
      <c r="BN36" s="109">
        <f>'NKC2-%'!BU46*100</f>
        <v>0</v>
      </c>
      <c r="BO36" s="109">
        <f>'NKC2-%'!BV46*100</f>
        <v>0</v>
      </c>
      <c r="BP36" s="109">
        <f>'NKC2-%'!BW46*100</f>
        <v>0</v>
      </c>
      <c r="BQ36" s="109">
        <f>'NKC2-%'!BX46*100</f>
        <v>0</v>
      </c>
      <c r="BR36" s="109">
        <f>'NKC2-%'!BY46*100</f>
        <v>0</v>
      </c>
      <c r="BS36" s="109">
        <f>'NKC2-%'!BZ46*100</f>
        <v>0</v>
      </c>
      <c r="BT36" s="109">
        <f>'NKC2-%'!CA46*100</f>
        <v>0</v>
      </c>
      <c r="BU36" s="109">
        <f>'NKC2-%'!CB46*100</f>
        <v>0</v>
      </c>
      <c r="BV36" s="109">
        <f>'NKC2-%'!CC46*100</f>
        <v>0</v>
      </c>
      <c r="BW36" s="109">
        <f>'NKC2-%'!CD46*100</f>
        <v>0</v>
      </c>
      <c r="BX36" s="109">
        <f>'NKC2-%'!CE46*100</f>
        <v>0</v>
      </c>
      <c r="BY36" s="109">
        <f>'NKC2-%'!CF46*100</f>
        <v>0</v>
      </c>
      <c r="BZ36" s="109">
        <f>'NKC2-%'!CG46*100</f>
        <v>0</v>
      </c>
      <c r="CA36" s="109">
        <f>'NKC2-%'!CH46*100</f>
        <v>0</v>
      </c>
      <c r="CB36" s="109">
        <f>'NKC2-%'!CI46*100</f>
        <v>0</v>
      </c>
      <c r="CC36" s="109">
        <f>'NKC2-%'!CJ46*100</f>
        <v>0</v>
      </c>
      <c r="CD36" s="109">
        <f>'NKC2-%'!CK46*100</f>
        <v>0</v>
      </c>
      <c r="CE36" s="109">
        <f>'NKC2-%'!CL46*100</f>
        <v>0</v>
      </c>
      <c r="CF36" s="109">
        <f>'NKC2-%'!CM46*100</f>
        <v>0</v>
      </c>
      <c r="CG36" s="109">
        <f>'NKC2-%'!CN46*100</f>
        <v>0</v>
      </c>
      <c r="CH36" s="109">
        <f>'NKC2-%'!CO46*100</f>
        <v>0</v>
      </c>
      <c r="CI36" s="109">
        <f>'NKC2-%'!CP46*100</f>
        <v>0</v>
      </c>
    </row>
    <row r="37" spans="1:87" x14ac:dyDescent="0.45">
      <c r="A37" s="266" t="str">
        <f>'NKC2-%'!B47</f>
        <v>1.3.1</v>
      </c>
      <c r="B37" t="str">
        <f>'NKC2-%'!D47</f>
        <v>Mansory Work</v>
      </c>
      <c r="C37" s="104">
        <f>'NKC2-%'!F47</f>
        <v>20066.118394370402</v>
      </c>
      <c r="D37" s="87" t="str">
        <f>'NKC2-%'!G47</f>
        <v>A</v>
      </c>
      <c r="E37" s="109">
        <f>'NKC2-%'!K47*100</f>
        <v>30</v>
      </c>
      <c r="F37" s="109">
        <f>'NKC2-%'!M47*100</f>
        <v>0</v>
      </c>
      <c r="G37" s="109">
        <f>'NKC2-%'!N47*100</f>
        <v>0</v>
      </c>
      <c r="H37" s="109">
        <f>'NKC2-%'!O47*100</f>
        <v>0</v>
      </c>
      <c r="I37" s="109">
        <f>'NKC2-%'!P47*100</f>
        <v>0</v>
      </c>
      <c r="J37" s="109">
        <f>'NKC2-%'!Q47*100</f>
        <v>0</v>
      </c>
      <c r="K37" s="109">
        <f>'NKC2-%'!R47*100</f>
        <v>0</v>
      </c>
      <c r="L37" s="109">
        <f>'NKC2-%'!S47*100</f>
        <v>0</v>
      </c>
      <c r="M37" s="109">
        <f>'NKC2-%'!T47*100</f>
        <v>0</v>
      </c>
      <c r="N37" s="109">
        <f>'NKC2-%'!U47*100</f>
        <v>0</v>
      </c>
      <c r="O37" s="109">
        <f>'NKC2-%'!V47*100</f>
        <v>0</v>
      </c>
      <c r="P37" s="109">
        <f>'NKC2-%'!W47*100</f>
        <v>0</v>
      </c>
      <c r="Q37" s="109">
        <f>'NKC2-%'!X47*100</f>
        <v>0</v>
      </c>
      <c r="R37" s="109">
        <f>'NKC2-%'!Y47*100</f>
        <v>0</v>
      </c>
      <c r="S37" s="109">
        <f>'NKC2-%'!Z47*100</f>
        <v>0</v>
      </c>
      <c r="T37" s="109">
        <f>'NKC2-%'!AA47*100</f>
        <v>0</v>
      </c>
      <c r="U37" s="109">
        <f>'NKC2-%'!AB47*100</f>
        <v>0</v>
      </c>
      <c r="V37" s="109">
        <f>'NKC2-%'!AC47*100</f>
        <v>0</v>
      </c>
      <c r="W37" s="109">
        <f>'NKC2-%'!AD47*100</f>
        <v>0</v>
      </c>
      <c r="X37" s="109">
        <f>'NKC2-%'!AE47*100</f>
        <v>0</v>
      </c>
      <c r="Y37" s="109">
        <f>'NKC2-%'!AF47*100</f>
        <v>0</v>
      </c>
      <c r="Z37" s="109">
        <f>'NKC2-%'!AG47*100</f>
        <v>0</v>
      </c>
      <c r="AA37" s="109">
        <f>'NKC2-%'!AH47*100</f>
        <v>0</v>
      </c>
      <c r="AB37" s="109">
        <f>'NKC2-%'!AI47*100</f>
        <v>0</v>
      </c>
      <c r="AC37" s="109">
        <f>'NKC2-%'!AJ47*100</f>
        <v>0</v>
      </c>
      <c r="AD37" s="109">
        <f>'NKC2-%'!AK47*100</f>
        <v>0</v>
      </c>
      <c r="AE37" s="109">
        <f>'NKC2-%'!AL47*100</f>
        <v>0</v>
      </c>
      <c r="AF37" s="109">
        <f>'NKC2-%'!AM47*100</f>
        <v>0</v>
      </c>
      <c r="AG37" s="109">
        <f>'NKC2-%'!AN47*100</f>
        <v>0</v>
      </c>
      <c r="AH37" s="109">
        <f>'NKC2-%'!AO47*100</f>
        <v>0</v>
      </c>
      <c r="AI37" s="109">
        <f>'NKC2-%'!AP47*100</f>
        <v>0</v>
      </c>
      <c r="AJ37" s="109">
        <f>'NKC2-%'!AQ47*100</f>
        <v>0</v>
      </c>
      <c r="AK37" s="109">
        <f>'NKC2-%'!AR47*100</f>
        <v>0</v>
      </c>
      <c r="AL37" s="109">
        <f>'NKC2-%'!AS47*100</f>
        <v>15</v>
      </c>
      <c r="AM37" s="109">
        <f>'NKC2-%'!AT47*100</f>
        <v>15</v>
      </c>
      <c r="AN37" s="109">
        <f>'NKC2-%'!AU47*100</f>
        <v>0</v>
      </c>
      <c r="AO37" s="109">
        <f>'NKC2-%'!AV47*100</f>
        <v>0</v>
      </c>
      <c r="AP37" s="109">
        <f>'NKC2-%'!AW47*100</f>
        <v>0</v>
      </c>
      <c r="AQ37" s="109">
        <f>'NKC2-%'!AX47*100</f>
        <v>0</v>
      </c>
      <c r="AR37" s="109">
        <f>'NKC2-%'!AY47*100</f>
        <v>0</v>
      </c>
      <c r="AS37" s="109">
        <f>'NKC2-%'!AZ47*100</f>
        <v>0</v>
      </c>
      <c r="AT37" s="109">
        <f>'NKC2-%'!BA47*100</f>
        <v>0</v>
      </c>
      <c r="AU37" s="109">
        <f>'NKC2-%'!BB47*100</f>
        <v>0</v>
      </c>
      <c r="AV37" s="109">
        <f>'NKC2-%'!BC47*100</f>
        <v>0</v>
      </c>
      <c r="AW37" s="109">
        <f>'NKC2-%'!BD47*100</f>
        <v>0</v>
      </c>
      <c r="AX37" s="109">
        <f>'NKC2-%'!BE47*100</f>
        <v>0</v>
      </c>
      <c r="AY37" s="109">
        <f>'NKC2-%'!BF47*100</f>
        <v>0</v>
      </c>
      <c r="AZ37" s="109">
        <f>'NKC2-%'!BG47*100</f>
        <v>0</v>
      </c>
      <c r="BA37" s="109">
        <f>'NKC2-%'!BH47*100</f>
        <v>0</v>
      </c>
      <c r="BB37" s="109">
        <f>'NKC2-%'!BI47*100</f>
        <v>0</v>
      </c>
      <c r="BC37" s="109">
        <f>'NKC2-%'!BJ47*100</f>
        <v>0</v>
      </c>
      <c r="BD37" s="109">
        <f>'NKC2-%'!BK47*100</f>
        <v>0</v>
      </c>
      <c r="BE37" s="109">
        <f>'NKC2-%'!BL47*100</f>
        <v>0</v>
      </c>
      <c r="BF37" s="109">
        <f>'NKC2-%'!BM47*100</f>
        <v>0</v>
      </c>
      <c r="BG37" s="109">
        <f>'NKC2-%'!BN47*100</f>
        <v>0</v>
      </c>
      <c r="BH37" s="109">
        <f>'NKC2-%'!BO47*100</f>
        <v>0</v>
      </c>
      <c r="BI37" s="109">
        <f>'NKC2-%'!BP47*100</f>
        <v>0</v>
      </c>
      <c r="BJ37" s="109">
        <f>'NKC2-%'!BQ47*100</f>
        <v>0</v>
      </c>
      <c r="BK37" s="109">
        <f>'NKC2-%'!BR47*100</f>
        <v>0</v>
      </c>
      <c r="BL37" s="109">
        <f>'NKC2-%'!BS47*100</f>
        <v>0</v>
      </c>
      <c r="BM37" s="109">
        <f>'NKC2-%'!BT47*100</f>
        <v>0</v>
      </c>
      <c r="BN37" s="109">
        <f>'NKC2-%'!BU47*100</f>
        <v>0</v>
      </c>
      <c r="BO37" s="109">
        <f>'NKC2-%'!BV47*100</f>
        <v>0</v>
      </c>
      <c r="BP37" s="109">
        <f>'NKC2-%'!BW47*100</f>
        <v>0</v>
      </c>
      <c r="BQ37" s="109">
        <f>'NKC2-%'!BX47*100</f>
        <v>0</v>
      </c>
      <c r="BR37" s="109">
        <f>'NKC2-%'!BY47*100</f>
        <v>0</v>
      </c>
      <c r="BS37" s="109">
        <f>'NKC2-%'!BZ47*100</f>
        <v>0</v>
      </c>
      <c r="BT37" s="109">
        <f>'NKC2-%'!CA47*100</f>
        <v>0</v>
      </c>
      <c r="BU37" s="109">
        <f>'NKC2-%'!CB47*100</f>
        <v>0</v>
      </c>
      <c r="BV37" s="109">
        <f>'NKC2-%'!CC47*100</f>
        <v>0</v>
      </c>
      <c r="BW37" s="109">
        <f>'NKC2-%'!CD47*100</f>
        <v>0</v>
      </c>
      <c r="BX37" s="109">
        <f>'NKC2-%'!CE47*100</f>
        <v>0</v>
      </c>
      <c r="BY37" s="109">
        <f>'NKC2-%'!CF47*100</f>
        <v>0</v>
      </c>
      <c r="BZ37" s="109">
        <f>'NKC2-%'!CG47*100</f>
        <v>0</v>
      </c>
      <c r="CA37" s="109">
        <f>'NKC2-%'!CH47*100</f>
        <v>0</v>
      </c>
      <c r="CB37" s="109">
        <f>'NKC2-%'!CI47*100</f>
        <v>0</v>
      </c>
      <c r="CC37" s="109">
        <f>'NKC2-%'!CJ47*100</f>
        <v>0</v>
      </c>
      <c r="CD37" s="109">
        <f>'NKC2-%'!CK47*100</f>
        <v>0</v>
      </c>
      <c r="CE37" s="109">
        <f>'NKC2-%'!CL47*100</f>
        <v>0</v>
      </c>
      <c r="CF37" s="109">
        <f>'NKC2-%'!CM47*100</f>
        <v>0</v>
      </c>
      <c r="CG37" s="109">
        <f>'NKC2-%'!CN47*100</f>
        <v>0</v>
      </c>
      <c r="CH37" s="109">
        <f>'NKC2-%'!CO47*100</f>
        <v>0</v>
      </c>
      <c r="CI37" s="109">
        <f>'NKC2-%'!CP47*100</f>
        <v>0</v>
      </c>
    </row>
    <row r="38" spans="1:87" x14ac:dyDescent="0.45">
      <c r="A38" s="266" t="str">
        <f>'NKC2-%'!B48</f>
        <v>1.3.2</v>
      </c>
      <c r="B38" t="str">
        <f>'NKC2-%'!D48</f>
        <v>EE/Communication</v>
      </c>
      <c r="C38" s="104">
        <f>'NKC2-%'!F48</f>
        <v>20066.118394370402</v>
      </c>
      <c r="D38" s="87" t="str">
        <f>'NKC2-%'!G48</f>
        <v>P</v>
      </c>
      <c r="E38" s="109">
        <f>'NKC2-%'!K48*100</f>
        <v>100</v>
      </c>
      <c r="F38" s="109">
        <f>'NKC2-%'!M48*100</f>
        <v>0</v>
      </c>
      <c r="G38" s="109">
        <f>'NKC2-%'!N48*100</f>
        <v>0</v>
      </c>
      <c r="H38" s="109">
        <f>'NKC2-%'!O48*100</f>
        <v>0</v>
      </c>
      <c r="I38" s="109">
        <f>'NKC2-%'!P48*100</f>
        <v>0</v>
      </c>
      <c r="J38" s="109">
        <f>'NKC2-%'!Q48*100</f>
        <v>0</v>
      </c>
      <c r="K38" s="109">
        <f>'NKC2-%'!R48*100</f>
        <v>0</v>
      </c>
      <c r="L38" s="109">
        <f>'NKC2-%'!S48*100</f>
        <v>0</v>
      </c>
      <c r="M38" s="109">
        <f>'NKC2-%'!T48*100</f>
        <v>0</v>
      </c>
      <c r="N38" s="109">
        <f>'NKC2-%'!U48*100</f>
        <v>0</v>
      </c>
      <c r="O38" s="109">
        <f>'NKC2-%'!V48*100</f>
        <v>0</v>
      </c>
      <c r="P38" s="109">
        <f>'NKC2-%'!W48*100</f>
        <v>0</v>
      </c>
      <c r="Q38" s="109">
        <f>'NKC2-%'!X48*100</f>
        <v>0</v>
      </c>
      <c r="R38" s="109">
        <f>'NKC2-%'!Y48*100</f>
        <v>0</v>
      </c>
      <c r="S38" s="109">
        <f>'NKC2-%'!Z48*100</f>
        <v>0</v>
      </c>
      <c r="T38" s="109">
        <f>'NKC2-%'!AA48*100</f>
        <v>0</v>
      </c>
      <c r="U38" s="109">
        <f>'NKC2-%'!AB48*100</f>
        <v>0</v>
      </c>
      <c r="V38" s="109">
        <f>'NKC2-%'!AC48*100</f>
        <v>0</v>
      </c>
      <c r="W38" s="109">
        <f>'NKC2-%'!AD48*100</f>
        <v>0</v>
      </c>
      <c r="X38" s="109">
        <f>'NKC2-%'!AE48*100</f>
        <v>0</v>
      </c>
      <c r="Y38" s="109">
        <f>'NKC2-%'!AF48*100</f>
        <v>0</v>
      </c>
      <c r="Z38" s="109">
        <f>'NKC2-%'!AG48*100</f>
        <v>0</v>
      </c>
      <c r="AA38" s="109">
        <f>'NKC2-%'!AH48*100</f>
        <v>0</v>
      </c>
      <c r="AB38" s="109">
        <f>'NKC2-%'!AI48*100</f>
        <v>0</v>
      </c>
      <c r="AC38" s="109">
        <f>'NKC2-%'!AJ48*100</f>
        <v>0</v>
      </c>
      <c r="AD38" s="109">
        <f>'NKC2-%'!AK48*100</f>
        <v>0</v>
      </c>
      <c r="AE38" s="109">
        <f>'NKC2-%'!AL48*100</f>
        <v>0</v>
      </c>
      <c r="AF38" s="109">
        <f>'NKC2-%'!AM48*100</f>
        <v>0</v>
      </c>
      <c r="AG38" s="109">
        <f>'NKC2-%'!AN48*100</f>
        <v>0</v>
      </c>
      <c r="AH38" s="109">
        <f>'NKC2-%'!AO48*100</f>
        <v>0</v>
      </c>
      <c r="AI38" s="109">
        <f>'NKC2-%'!AP48*100</f>
        <v>0</v>
      </c>
      <c r="AJ38" s="109">
        <f>'NKC2-%'!AQ48*100</f>
        <v>0</v>
      </c>
      <c r="AK38" s="109">
        <f>'NKC2-%'!AR48*100</f>
        <v>0</v>
      </c>
      <c r="AL38" s="109">
        <f>'NKC2-%'!AS48*100</f>
        <v>0</v>
      </c>
      <c r="AM38" s="109">
        <f>'NKC2-%'!AT48*100</f>
        <v>10</v>
      </c>
      <c r="AN38" s="109">
        <f>'NKC2-%'!AU48*100</f>
        <v>10</v>
      </c>
      <c r="AO38" s="109">
        <f>'NKC2-%'!AV48*100</f>
        <v>10</v>
      </c>
      <c r="AP38" s="109">
        <f>'NKC2-%'!AW48*100</f>
        <v>10</v>
      </c>
      <c r="AQ38" s="109">
        <f>'NKC2-%'!AX48*100</f>
        <v>10</v>
      </c>
      <c r="AR38" s="109">
        <f>'NKC2-%'!AY48*100</f>
        <v>10</v>
      </c>
      <c r="AS38" s="109">
        <f>'NKC2-%'!AZ48*100</f>
        <v>10</v>
      </c>
      <c r="AT38" s="109">
        <f>'NKC2-%'!BA48*100</f>
        <v>10</v>
      </c>
      <c r="AU38" s="109">
        <f>'NKC2-%'!BB48*100</f>
        <v>5</v>
      </c>
      <c r="AV38" s="109">
        <f>'NKC2-%'!BC48*100</f>
        <v>5</v>
      </c>
      <c r="AW38" s="109">
        <f>'NKC2-%'!BD48*100</f>
        <v>5</v>
      </c>
      <c r="AX38" s="109">
        <f>'NKC2-%'!BE48*100</f>
        <v>5</v>
      </c>
      <c r="AY38" s="109">
        <f>'NKC2-%'!BF48*100</f>
        <v>0</v>
      </c>
      <c r="AZ38" s="109">
        <f>'NKC2-%'!BG48*100</f>
        <v>0</v>
      </c>
      <c r="BA38" s="109">
        <f>'NKC2-%'!BH48*100</f>
        <v>0</v>
      </c>
      <c r="BB38" s="109">
        <f>'NKC2-%'!BI48*100</f>
        <v>0</v>
      </c>
      <c r="BC38" s="109">
        <f>'NKC2-%'!BJ48*100</f>
        <v>0</v>
      </c>
      <c r="BD38" s="109">
        <f>'NKC2-%'!BK48*100</f>
        <v>0</v>
      </c>
      <c r="BE38" s="109">
        <f>'NKC2-%'!BL48*100</f>
        <v>0</v>
      </c>
      <c r="BF38" s="109">
        <f>'NKC2-%'!BM48*100</f>
        <v>0</v>
      </c>
      <c r="BG38" s="109">
        <f>'NKC2-%'!BN48*100</f>
        <v>0</v>
      </c>
      <c r="BH38" s="109">
        <f>'NKC2-%'!BO48*100</f>
        <v>0</v>
      </c>
      <c r="BI38" s="109">
        <f>'NKC2-%'!BP48*100</f>
        <v>0</v>
      </c>
      <c r="BJ38" s="109">
        <f>'NKC2-%'!BQ48*100</f>
        <v>0</v>
      </c>
      <c r="BK38" s="109">
        <f>'NKC2-%'!BR48*100</f>
        <v>0</v>
      </c>
      <c r="BL38" s="109">
        <f>'NKC2-%'!BS48*100</f>
        <v>0</v>
      </c>
      <c r="BM38" s="109">
        <f>'NKC2-%'!BT48*100</f>
        <v>0</v>
      </c>
      <c r="BN38" s="109">
        <f>'NKC2-%'!BU48*100</f>
        <v>0</v>
      </c>
      <c r="BO38" s="109">
        <f>'NKC2-%'!BV48*100</f>
        <v>0</v>
      </c>
      <c r="BP38" s="109">
        <f>'NKC2-%'!BW48*100</f>
        <v>0</v>
      </c>
      <c r="BQ38" s="109">
        <f>'NKC2-%'!BX48*100</f>
        <v>0</v>
      </c>
      <c r="BR38" s="109">
        <f>'NKC2-%'!BY48*100</f>
        <v>0</v>
      </c>
      <c r="BS38" s="109">
        <f>'NKC2-%'!BZ48*100</f>
        <v>0</v>
      </c>
      <c r="BT38" s="109">
        <f>'NKC2-%'!CA48*100</f>
        <v>0</v>
      </c>
      <c r="BU38" s="109">
        <f>'NKC2-%'!CB48*100</f>
        <v>0</v>
      </c>
      <c r="BV38" s="109">
        <f>'NKC2-%'!CC48*100</f>
        <v>0</v>
      </c>
      <c r="BW38" s="109">
        <f>'NKC2-%'!CD48*100</f>
        <v>0</v>
      </c>
      <c r="BX38" s="109">
        <f>'NKC2-%'!CE48*100</f>
        <v>0</v>
      </c>
      <c r="BY38" s="109">
        <f>'NKC2-%'!CF48*100</f>
        <v>0</v>
      </c>
      <c r="BZ38" s="109">
        <f>'NKC2-%'!CG48*100</f>
        <v>0</v>
      </c>
      <c r="CA38" s="109">
        <f>'NKC2-%'!CH48*100</f>
        <v>0</v>
      </c>
      <c r="CB38" s="109">
        <f>'NKC2-%'!CI48*100</f>
        <v>0</v>
      </c>
      <c r="CC38" s="109">
        <f>'NKC2-%'!CJ48*100</f>
        <v>0</v>
      </c>
      <c r="CD38" s="109">
        <f>'NKC2-%'!CK48*100</f>
        <v>0</v>
      </c>
      <c r="CE38" s="109">
        <f>'NKC2-%'!CL48*100</f>
        <v>0</v>
      </c>
      <c r="CF38" s="109">
        <f>'NKC2-%'!CM48*100</f>
        <v>0</v>
      </c>
      <c r="CG38" s="109">
        <f>'NKC2-%'!CN48*100</f>
        <v>0</v>
      </c>
      <c r="CH38" s="109">
        <f>'NKC2-%'!CO48*100</f>
        <v>0</v>
      </c>
      <c r="CI38" s="109">
        <f>'NKC2-%'!CP48*100</f>
        <v>0</v>
      </c>
    </row>
    <row r="39" spans="1:87" x14ac:dyDescent="0.45">
      <c r="A39" s="266" t="str">
        <f>'NKC2-%'!B49</f>
        <v>1.3.2</v>
      </c>
      <c r="B39" t="str">
        <f>'NKC2-%'!D49</f>
        <v>EE/Communication</v>
      </c>
      <c r="C39" s="104">
        <f>'NKC2-%'!F49</f>
        <v>20066.118394370402</v>
      </c>
      <c r="D39" s="87" t="str">
        <f>'NKC2-%'!G49</f>
        <v>A</v>
      </c>
      <c r="E39" s="109">
        <f>'NKC2-%'!K49*100</f>
        <v>0</v>
      </c>
      <c r="F39" s="109">
        <f>'NKC2-%'!M49*100</f>
        <v>0</v>
      </c>
      <c r="G39" s="109">
        <f>'NKC2-%'!N49*100</f>
        <v>0</v>
      </c>
      <c r="H39" s="109">
        <f>'NKC2-%'!O49*100</f>
        <v>0</v>
      </c>
      <c r="I39" s="109">
        <f>'NKC2-%'!P49*100</f>
        <v>0</v>
      </c>
      <c r="J39" s="109">
        <f>'NKC2-%'!Q49*100</f>
        <v>0</v>
      </c>
      <c r="K39" s="109">
        <f>'NKC2-%'!R49*100</f>
        <v>0</v>
      </c>
      <c r="L39" s="109">
        <f>'NKC2-%'!S49*100</f>
        <v>0</v>
      </c>
      <c r="M39" s="109">
        <f>'NKC2-%'!T49*100</f>
        <v>0</v>
      </c>
      <c r="N39" s="109">
        <f>'NKC2-%'!U49*100</f>
        <v>0</v>
      </c>
      <c r="O39" s="109">
        <f>'NKC2-%'!V49*100</f>
        <v>0</v>
      </c>
      <c r="P39" s="109">
        <f>'NKC2-%'!W49*100</f>
        <v>0</v>
      </c>
      <c r="Q39" s="109">
        <f>'NKC2-%'!X49*100</f>
        <v>0</v>
      </c>
      <c r="R39" s="109">
        <f>'NKC2-%'!Y49*100</f>
        <v>0</v>
      </c>
      <c r="S39" s="109">
        <f>'NKC2-%'!Z49*100</f>
        <v>0</v>
      </c>
      <c r="T39" s="109">
        <f>'NKC2-%'!AA49*100</f>
        <v>0</v>
      </c>
      <c r="U39" s="109">
        <f>'NKC2-%'!AB49*100</f>
        <v>0</v>
      </c>
      <c r="V39" s="109">
        <f>'NKC2-%'!AC49*100</f>
        <v>0</v>
      </c>
      <c r="W39" s="109">
        <f>'NKC2-%'!AD49*100</f>
        <v>0</v>
      </c>
      <c r="X39" s="109">
        <f>'NKC2-%'!AE49*100</f>
        <v>0</v>
      </c>
      <c r="Y39" s="109">
        <f>'NKC2-%'!AF49*100</f>
        <v>0</v>
      </c>
      <c r="Z39" s="109">
        <f>'NKC2-%'!AG49*100</f>
        <v>0</v>
      </c>
      <c r="AA39" s="109">
        <f>'NKC2-%'!AH49*100</f>
        <v>0</v>
      </c>
      <c r="AB39" s="109">
        <f>'NKC2-%'!AI49*100</f>
        <v>0</v>
      </c>
      <c r="AC39" s="109">
        <f>'NKC2-%'!AJ49*100</f>
        <v>0</v>
      </c>
      <c r="AD39" s="109">
        <f>'NKC2-%'!AK49*100</f>
        <v>0</v>
      </c>
      <c r="AE39" s="109">
        <f>'NKC2-%'!AL49*100</f>
        <v>0</v>
      </c>
      <c r="AF39" s="109">
        <f>'NKC2-%'!AM49*100</f>
        <v>0</v>
      </c>
      <c r="AG39" s="109">
        <f>'NKC2-%'!AN49*100</f>
        <v>0</v>
      </c>
      <c r="AH39" s="109">
        <f>'NKC2-%'!AO49*100</f>
        <v>0</v>
      </c>
      <c r="AI39" s="109">
        <f>'NKC2-%'!AP49*100</f>
        <v>0</v>
      </c>
      <c r="AJ39" s="109">
        <f>'NKC2-%'!AQ49*100</f>
        <v>0</v>
      </c>
      <c r="AK39" s="109">
        <f>'NKC2-%'!AR49*100</f>
        <v>0</v>
      </c>
      <c r="AL39" s="109">
        <f>'NKC2-%'!AS49*100</f>
        <v>0</v>
      </c>
      <c r="AM39" s="109">
        <f>'NKC2-%'!AT49*100</f>
        <v>0</v>
      </c>
      <c r="AN39" s="109">
        <f>'NKC2-%'!AU49*100</f>
        <v>0</v>
      </c>
      <c r="AO39" s="109">
        <f>'NKC2-%'!AV49*100</f>
        <v>0</v>
      </c>
      <c r="AP39" s="109">
        <f>'NKC2-%'!AW49*100</f>
        <v>0</v>
      </c>
      <c r="AQ39" s="109">
        <f>'NKC2-%'!AX49*100</f>
        <v>0</v>
      </c>
      <c r="AR39" s="109">
        <f>'NKC2-%'!AY49*100</f>
        <v>0</v>
      </c>
      <c r="AS39" s="109">
        <f>'NKC2-%'!AZ49*100</f>
        <v>0</v>
      </c>
      <c r="AT39" s="109">
        <f>'NKC2-%'!BA49*100</f>
        <v>0</v>
      </c>
      <c r="AU39" s="109">
        <f>'NKC2-%'!BB49*100</f>
        <v>0</v>
      </c>
      <c r="AV39" s="109">
        <f>'NKC2-%'!BC49*100</f>
        <v>0</v>
      </c>
      <c r="AW39" s="109">
        <f>'NKC2-%'!BD49*100</f>
        <v>0</v>
      </c>
      <c r="AX39" s="109">
        <f>'NKC2-%'!BE49*100</f>
        <v>0</v>
      </c>
      <c r="AY39" s="109">
        <f>'NKC2-%'!BF49*100</f>
        <v>0</v>
      </c>
      <c r="AZ39" s="109">
        <f>'NKC2-%'!BG49*100</f>
        <v>0</v>
      </c>
      <c r="BA39" s="109">
        <f>'NKC2-%'!BH49*100</f>
        <v>0</v>
      </c>
      <c r="BB39" s="109">
        <f>'NKC2-%'!BI49*100</f>
        <v>0</v>
      </c>
      <c r="BC39" s="109">
        <f>'NKC2-%'!BJ49*100</f>
        <v>0</v>
      </c>
      <c r="BD39" s="109">
        <f>'NKC2-%'!BK49*100</f>
        <v>0</v>
      </c>
      <c r="BE39" s="109">
        <f>'NKC2-%'!BL49*100</f>
        <v>0</v>
      </c>
      <c r="BF39" s="109">
        <f>'NKC2-%'!BM49*100</f>
        <v>0</v>
      </c>
      <c r="BG39" s="109">
        <f>'NKC2-%'!BN49*100</f>
        <v>0</v>
      </c>
      <c r="BH39" s="109">
        <f>'NKC2-%'!BO49*100</f>
        <v>0</v>
      </c>
      <c r="BI39" s="109">
        <f>'NKC2-%'!BP49*100</f>
        <v>0</v>
      </c>
      <c r="BJ39" s="109">
        <f>'NKC2-%'!BQ49*100</f>
        <v>0</v>
      </c>
      <c r="BK39" s="109">
        <f>'NKC2-%'!BR49*100</f>
        <v>0</v>
      </c>
      <c r="BL39" s="109">
        <f>'NKC2-%'!BS49*100</f>
        <v>0</v>
      </c>
      <c r="BM39" s="109">
        <f>'NKC2-%'!BT49*100</f>
        <v>0</v>
      </c>
      <c r="BN39" s="109">
        <f>'NKC2-%'!BU49*100</f>
        <v>0</v>
      </c>
      <c r="BO39" s="109">
        <f>'NKC2-%'!BV49*100</f>
        <v>0</v>
      </c>
      <c r="BP39" s="109">
        <f>'NKC2-%'!BW49*100</f>
        <v>0</v>
      </c>
      <c r="BQ39" s="109">
        <f>'NKC2-%'!BX49*100</f>
        <v>0</v>
      </c>
      <c r="BR39" s="109">
        <f>'NKC2-%'!BY49*100</f>
        <v>0</v>
      </c>
      <c r="BS39" s="109">
        <f>'NKC2-%'!BZ49*100</f>
        <v>0</v>
      </c>
      <c r="BT39" s="109">
        <f>'NKC2-%'!CA49*100</f>
        <v>0</v>
      </c>
      <c r="BU39" s="109">
        <f>'NKC2-%'!CB49*100</f>
        <v>0</v>
      </c>
      <c r="BV39" s="109">
        <f>'NKC2-%'!CC49*100</f>
        <v>0</v>
      </c>
      <c r="BW39" s="109">
        <f>'NKC2-%'!CD49*100</f>
        <v>0</v>
      </c>
      <c r="BX39" s="109">
        <f>'NKC2-%'!CE49*100</f>
        <v>0</v>
      </c>
      <c r="BY39" s="109">
        <f>'NKC2-%'!CF49*100</f>
        <v>0</v>
      </c>
      <c r="BZ39" s="109">
        <f>'NKC2-%'!CG49*100</f>
        <v>0</v>
      </c>
      <c r="CA39" s="109">
        <f>'NKC2-%'!CH49*100</f>
        <v>0</v>
      </c>
      <c r="CB39" s="109">
        <f>'NKC2-%'!CI49*100</f>
        <v>0</v>
      </c>
      <c r="CC39" s="109">
        <f>'NKC2-%'!CJ49*100</f>
        <v>0</v>
      </c>
      <c r="CD39" s="109">
        <f>'NKC2-%'!CK49*100</f>
        <v>0</v>
      </c>
      <c r="CE39" s="109">
        <f>'NKC2-%'!CL49*100</f>
        <v>0</v>
      </c>
      <c r="CF39" s="109">
        <f>'NKC2-%'!CM49*100</f>
        <v>0</v>
      </c>
      <c r="CG39" s="109">
        <f>'NKC2-%'!CN49*100</f>
        <v>0</v>
      </c>
      <c r="CH39" s="109">
        <f>'NKC2-%'!CO49*100</f>
        <v>0</v>
      </c>
      <c r="CI39" s="109">
        <f>'NKC2-%'!CP49*100</f>
        <v>0</v>
      </c>
    </row>
    <row r="40" spans="1:87" x14ac:dyDescent="0.45">
      <c r="A40" s="266" t="str">
        <f>'NKC2-%'!B50</f>
        <v>1.3.3</v>
      </c>
      <c r="B40" t="str">
        <f>'NKC2-%'!D50</f>
        <v>SN/FP</v>
      </c>
      <c r="C40" s="104">
        <f>'NKC2-%'!F50</f>
        <v>252597.187123646</v>
      </c>
      <c r="D40" s="87" t="str">
        <f>'NKC2-%'!G50</f>
        <v>P</v>
      </c>
      <c r="E40" s="109">
        <f>'NKC2-%'!K50*100</f>
        <v>100</v>
      </c>
      <c r="F40" s="109">
        <f>'NKC2-%'!M50*100</f>
        <v>0</v>
      </c>
      <c r="G40" s="109">
        <f>'NKC2-%'!N50*100</f>
        <v>0</v>
      </c>
      <c r="H40" s="109">
        <f>'NKC2-%'!O50*100</f>
        <v>0</v>
      </c>
      <c r="I40" s="109">
        <f>'NKC2-%'!P50*100</f>
        <v>0</v>
      </c>
      <c r="J40" s="109">
        <f>'NKC2-%'!Q50*100</f>
        <v>0</v>
      </c>
      <c r="K40" s="109">
        <f>'NKC2-%'!R50*100</f>
        <v>0</v>
      </c>
      <c r="L40" s="109">
        <f>'NKC2-%'!S50*100</f>
        <v>0</v>
      </c>
      <c r="M40" s="109">
        <f>'NKC2-%'!T50*100</f>
        <v>0</v>
      </c>
      <c r="N40" s="109">
        <f>'NKC2-%'!U50*100</f>
        <v>0</v>
      </c>
      <c r="O40" s="109">
        <f>'NKC2-%'!V50*100</f>
        <v>0</v>
      </c>
      <c r="P40" s="109">
        <f>'NKC2-%'!W50*100</f>
        <v>0</v>
      </c>
      <c r="Q40" s="109">
        <f>'NKC2-%'!X50*100</f>
        <v>0</v>
      </c>
      <c r="R40" s="109">
        <f>'NKC2-%'!Y50*100</f>
        <v>0</v>
      </c>
      <c r="S40" s="109">
        <f>'NKC2-%'!Z50*100</f>
        <v>0</v>
      </c>
      <c r="T40" s="109">
        <f>'NKC2-%'!AA50*100</f>
        <v>0</v>
      </c>
      <c r="U40" s="109">
        <f>'NKC2-%'!AB50*100</f>
        <v>0</v>
      </c>
      <c r="V40" s="109">
        <f>'NKC2-%'!AC50*100</f>
        <v>0</v>
      </c>
      <c r="W40" s="109">
        <f>'NKC2-%'!AD50*100</f>
        <v>0</v>
      </c>
      <c r="X40" s="109">
        <f>'NKC2-%'!AE50*100</f>
        <v>0</v>
      </c>
      <c r="Y40" s="109">
        <f>'NKC2-%'!AF50*100</f>
        <v>0</v>
      </c>
      <c r="Z40" s="109">
        <f>'NKC2-%'!AG50*100</f>
        <v>0</v>
      </c>
      <c r="AA40" s="109">
        <f>'NKC2-%'!AH50*100</f>
        <v>0</v>
      </c>
      <c r="AB40" s="109">
        <f>'NKC2-%'!AI50*100</f>
        <v>0</v>
      </c>
      <c r="AC40" s="109">
        <f>'NKC2-%'!AJ50*100</f>
        <v>0</v>
      </c>
      <c r="AD40" s="109">
        <f>'NKC2-%'!AK50*100</f>
        <v>0</v>
      </c>
      <c r="AE40" s="109">
        <f>'NKC2-%'!AL50*100</f>
        <v>0</v>
      </c>
      <c r="AF40" s="109">
        <f>'NKC2-%'!AM50*100</f>
        <v>0</v>
      </c>
      <c r="AG40" s="109">
        <f>'NKC2-%'!AN50*100</f>
        <v>0</v>
      </c>
      <c r="AH40" s="109">
        <f>'NKC2-%'!AO50*100</f>
        <v>0</v>
      </c>
      <c r="AI40" s="109">
        <f>'NKC2-%'!AP50*100</f>
        <v>0</v>
      </c>
      <c r="AJ40" s="109">
        <f>'NKC2-%'!AQ50*100</f>
        <v>0</v>
      </c>
      <c r="AK40" s="109">
        <f>'NKC2-%'!AR50*100</f>
        <v>0</v>
      </c>
      <c r="AL40" s="109">
        <f>'NKC2-%'!AS50*100</f>
        <v>5</v>
      </c>
      <c r="AM40" s="109">
        <f>'NKC2-%'!AT50*100</f>
        <v>5</v>
      </c>
      <c r="AN40" s="109">
        <f>'NKC2-%'!AU50*100</f>
        <v>10</v>
      </c>
      <c r="AO40" s="109">
        <f>'NKC2-%'!AV50*100</f>
        <v>10</v>
      </c>
      <c r="AP40" s="109">
        <f>'NKC2-%'!AW50*100</f>
        <v>10</v>
      </c>
      <c r="AQ40" s="109">
        <f>'NKC2-%'!AX50*100</f>
        <v>10</v>
      </c>
      <c r="AR40" s="109">
        <f>'NKC2-%'!AY50*100</f>
        <v>10</v>
      </c>
      <c r="AS40" s="109">
        <f>'NKC2-%'!AZ50*100</f>
        <v>10</v>
      </c>
      <c r="AT40" s="109">
        <f>'NKC2-%'!BA50*100</f>
        <v>10</v>
      </c>
      <c r="AU40" s="109">
        <f>'NKC2-%'!BB50*100</f>
        <v>10</v>
      </c>
      <c r="AV40" s="109">
        <f>'NKC2-%'!BC50*100</f>
        <v>5</v>
      </c>
      <c r="AW40" s="109">
        <f>'NKC2-%'!BD50*100</f>
        <v>5</v>
      </c>
      <c r="AX40" s="109">
        <f>'NKC2-%'!BE50*100</f>
        <v>0</v>
      </c>
      <c r="AY40" s="109">
        <f>'NKC2-%'!BF50*100</f>
        <v>0</v>
      </c>
      <c r="AZ40" s="109">
        <f>'NKC2-%'!BG50*100</f>
        <v>0</v>
      </c>
      <c r="BA40" s="109">
        <f>'NKC2-%'!BH50*100</f>
        <v>0</v>
      </c>
      <c r="BB40" s="109">
        <f>'NKC2-%'!BI50*100</f>
        <v>0</v>
      </c>
      <c r="BC40" s="109">
        <f>'NKC2-%'!BJ50*100</f>
        <v>0</v>
      </c>
      <c r="BD40" s="109">
        <f>'NKC2-%'!BK50*100</f>
        <v>0</v>
      </c>
      <c r="BE40" s="109">
        <f>'NKC2-%'!BL50*100</f>
        <v>0</v>
      </c>
      <c r="BF40" s="109">
        <f>'NKC2-%'!BM50*100</f>
        <v>0</v>
      </c>
      <c r="BG40" s="109">
        <f>'NKC2-%'!BN50*100</f>
        <v>0</v>
      </c>
      <c r="BH40" s="109">
        <f>'NKC2-%'!BO50*100</f>
        <v>0</v>
      </c>
      <c r="BI40" s="109">
        <f>'NKC2-%'!BP50*100</f>
        <v>0</v>
      </c>
      <c r="BJ40" s="109">
        <f>'NKC2-%'!BQ50*100</f>
        <v>0</v>
      </c>
      <c r="BK40" s="109">
        <f>'NKC2-%'!BR50*100</f>
        <v>0</v>
      </c>
      <c r="BL40" s="109">
        <f>'NKC2-%'!BS50*100</f>
        <v>0</v>
      </c>
      <c r="BM40" s="109">
        <f>'NKC2-%'!BT50*100</f>
        <v>0</v>
      </c>
      <c r="BN40" s="109">
        <f>'NKC2-%'!BU50*100</f>
        <v>0</v>
      </c>
      <c r="BO40" s="109">
        <f>'NKC2-%'!BV50*100</f>
        <v>0</v>
      </c>
      <c r="BP40" s="109">
        <f>'NKC2-%'!BW50*100</f>
        <v>0</v>
      </c>
      <c r="BQ40" s="109">
        <f>'NKC2-%'!BX50*100</f>
        <v>0</v>
      </c>
      <c r="BR40" s="109">
        <f>'NKC2-%'!BY50*100</f>
        <v>0</v>
      </c>
      <c r="BS40" s="109">
        <f>'NKC2-%'!BZ50*100</f>
        <v>0</v>
      </c>
      <c r="BT40" s="109">
        <f>'NKC2-%'!CA50*100</f>
        <v>0</v>
      </c>
      <c r="BU40" s="109">
        <f>'NKC2-%'!CB50*100</f>
        <v>0</v>
      </c>
      <c r="BV40" s="109">
        <f>'NKC2-%'!CC50*100</f>
        <v>0</v>
      </c>
      <c r="BW40" s="109">
        <f>'NKC2-%'!CD50*100</f>
        <v>0</v>
      </c>
      <c r="BX40" s="109">
        <f>'NKC2-%'!CE50*100</f>
        <v>0</v>
      </c>
      <c r="BY40" s="109">
        <f>'NKC2-%'!CF50*100</f>
        <v>0</v>
      </c>
      <c r="BZ40" s="109">
        <f>'NKC2-%'!CG50*100</f>
        <v>0</v>
      </c>
      <c r="CA40" s="109">
        <f>'NKC2-%'!CH50*100</f>
        <v>0</v>
      </c>
      <c r="CB40" s="109">
        <f>'NKC2-%'!CI50*100</f>
        <v>0</v>
      </c>
      <c r="CC40" s="109">
        <f>'NKC2-%'!CJ50*100</f>
        <v>0</v>
      </c>
      <c r="CD40" s="109">
        <f>'NKC2-%'!CK50*100</f>
        <v>0</v>
      </c>
      <c r="CE40" s="109">
        <f>'NKC2-%'!CL50*100</f>
        <v>0</v>
      </c>
      <c r="CF40" s="109">
        <f>'NKC2-%'!CM50*100</f>
        <v>0</v>
      </c>
      <c r="CG40" s="109">
        <f>'NKC2-%'!CN50*100</f>
        <v>0</v>
      </c>
      <c r="CH40" s="109">
        <f>'NKC2-%'!CO50*100</f>
        <v>0</v>
      </c>
      <c r="CI40" s="109">
        <f>'NKC2-%'!CP50*100</f>
        <v>0</v>
      </c>
    </row>
    <row r="41" spans="1:87" x14ac:dyDescent="0.45">
      <c r="A41" s="266" t="str">
        <f>'NKC2-%'!B51</f>
        <v>1.3.3</v>
      </c>
      <c r="B41" t="str">
        <f>'NKC2-%'!D51</f>
        <v>SN/FP</v>
      </c>
      <c r="C41" s="104">
        <f>'NKC2-%'!F51</f>
        <v>252597.187123646</v>
      </c>
      <c r="D41" s="87" t="str">
        <f>'NKC2-%'!G51</f>
        <v>A</v>
      </c>
      <c r="E41" s="109">
        <f>'NKC2-%'!K51*100</f>
        <v>0</v>
      </c>
      <c r="F41" s="109">
        <f>'NKC2-%'!M51*100</f>
        <v>0</v>
      </c>
      <c r="G41" s="109">
        <f>'NKC2-%'!N51*100</f>
        <v>0</v>
      </c>
      <c r="H41" s="109">
        <f>'NKC2-%'!O51*100</f>
        <v>0</v>
      </c>
      <c r="I41" s="109">
        <f>'NKC2-%'!P51*100</f>
        <v>0</v>
      </c>
      <c r="J41" s="109">
        <f>'NKC2-%'!Q51*100</f>
        <v>0</v>
      </c>
      <c r="K41" s="109">
        <f>'NKC2-%'!R51*100</f>
        <v>0</v>
      </c>
      <c r="L41" s="109">
        <f>'NKC2-%'!S51*100</f>
        <v>0</v>
      </c>
      <c r="M41" s="109">
        <f>'NKC2-%'!T51*100</f>
        <v>0</v>
      </c>
      <c r="N41" s="109">
        <f>'NKC2-%'!U51*100</f>
        <v>0</v>
      </c>
      <c r="O41" s="109">
        <f>'NKC2-%'!V51*100</f>
        <v>0</v>
      </c>
      <c r="P41" s="109">
        <f>'NKC2-%'!W51*100</f>
        <v>0</v>
      </c>
      <c r="Q41" s="109">
        <f>'NKC2-%'!X51*100</f>
        <v>0</v>
      </c>
      <c r="R41" s="109">
        <f>'NKC2-%'!Y51*100</f>
        <v>0</v>
      </c>
      <c r="S41" s="109">
        <f>'NKC2-%'!Z51*100</f>
        <v>0</v>
      </c>
      <c r="T41" s="109">
        <f>'NKC2-%'!AA51*100</f>
        <v>0</v>
      </c>
      <c r="U41" s="109">
        <f>'NKC2-%'!AB51*100</f>
        <v>0</v>
      </c>
      <c r="V41" s="109">
        <f>'NKC2-%'!AC51*100</f>
        <v>0</v>
      </c>
      <c r="W41" s="109">
        <f>'NKC2-%'!AD51*100</f>
        <v>0</v>
      </c>
      <c r="X41" s="109">
        <f>'NKC2-%'!AE51*100</f>
        <v>0</v>
      </c>
      <c r="Y41" s="109">
        <f>'NKC2-%'!AF51*100</f>
        <v>0</v>
      </c>
      <c r="Z41" s="109">
        <f>'NKC2-%'!AG51*100</f>
        <v>0</v>
      </c>
      <c r="AA41" s="109">
        <f>'NKC2-%'!AH51*100</f>
        <v>0</v>
      </c>
      <c r="AB41" s="109">
        <f>'NKC2-%'!AI51*100</f>
        <v>0</v>
      </c>
      <c r="AC41" s="109">
        <f>'NKC2-%'!AJ51*100</f>
        <v>0</v>
      </c>
      <c r="AD41" s="109">
        <f>'NKC2-%'!AK51*100</f>
        <v>0</v>
      </c>
      <c r="AE41" s="109">
        <f>'NKC2-%'!AL51*100</f>
        <v>0</v>
      </c>
      <c r="AF41" s="109">
        <f>'NKC2-%'!AM51*100</f>
        <v>0</v>
      </c>
      <c r="AG41" s="109">
        <f>'NKC2-%'!AN51*100</f>
        <v>0</v>
      </c>
      <c r="AH41" s="109">
        <f>'NKC2-%'!AO51*100</f>
        <v>0</v>
      </c>
      <c r="AI41" s="109">
        <f>'NKC2-%'!AP51*100</f>
        <v>0</v>
      </c>
      <c r="AJ41" s="109">
        <f>'NKC2-%'!AQ51*100</f>
        <v>0</v>
      </c>
      <c r="AK41" s="109">
        <f>'NKC2-%'!AR51*100</f>
        <v>0</v>
      </c>
      <c r="AL41" s="109">
        <f>'NKC2-%'!AS51*100</f>
        <v>0</v>
      </c>
      <c r="AM41" s="109">
        <f>'NKC2-%'!AT51*100</f>
        <v>0</v>
      </c>
      <c r="AN41" s="109">
        <f>'NKC2-%'!AU51*100</f>
        <v>0</v>
      </c>
      <c r="AO41" s="109">
        <f>'NKC2-%'!AV51*100</f>
        <v>0</v>
      </c>
      <c r="AP41" s="109">
        <f>'NKC2-%'!AW51*100</f>
        <v>0</v>
      </c>
      <c r="AQ41" s="109">
        <f>'NKC2-%'!AX51*100</f>
        <v>0</v>
      </c>
      <c r="AR41" s="109">
        <f>'NKC2-%'!AY51*100</f>
        <v>0</v>
      </c>
      <c r="AS41" s="109">
        <f>'NKC2-%'!AZ51*100</f>
        <v>0</v>
      </c>
      <c r="AT41" s="109">
        <f>'NKC2-%'!BA51*100</f>
        <v>0</v>
      </c>
      <c r="AU41" s="109">
        <f>'NKC2-%'!BB51*100</f>
        <v>0</v>
      </c>
      <c r="AV41" s="109">
        <f>'NKC2-%'!BC51*100</f>
        <v>0</v>
      </c>
      <c r="AW41" s="109">
        <f>'NKC2-%'!BD51*100</f>
        <v>0</v>
      </c>
      <c r="AX41" s="109">
        <f>'NKC2-%'!BE51*100</f>
        <v>0</v>
      </c>
      <c r="AY41" s="109">
        <f>'NKC2-%'!BF51*100</f>
        <v>0</v>
      </c>
      <c r="AZ41" s="109">
        <f>'NKC2-%'!BG51*100</f>
        <v>0</v>
      </c>
      <c r="BA41" s="109">
        <f>'NKC2-%'!BH51*100</f>
        <v>0</v>
      </c>
      <c r="BB41" s="109">
        <f>'NKC2-%'!BI51*100</f>
        <v>0</v>
      </c>
      <c r="BC41" s="109">
        <f>'NKC2-%'!BJ51*100</f>
        <v>0</v>
      </c>
      <c r="BD41" s="109">
        <f>'NKC2-%'!BK51*100</f>
        <v>0</v>
      </c>
      <c r="BE41" s="109">
        <f>'NKC2-%'!BL51*100</f>
        <v>0</v>
      </c>
      <c r="BF41" s="109">
        <f>'NKC2-%'!BM51*100</f>
        <v>0</v>
      </c>
      <c r="BG41" s="109">
        <f>'NKC2-%'!BN51*100</f>
        <v>0</v>
      </c>
      <c r="BH41" s="109">
        <f>'NKC2-%'!BO51*100</f>
        <v>0</v>
      </c>
      <c r="BI41" s="109">
        <f>'NKC2-%'!BP51*100</f>
        <v>0</v>
      </c>
      <c r="BJ41" s="109">
        <f>'NKC2-%'!BQ51*100</f>
        <v>0</v>
      </c>
      <c r="BK41" s="109">
        <f>'NKC2-%'!BR51*100</f>
        <v>0</v>
      </c>
      <c r="BL41" s="109">
        <f>'NKC2-%'!BS51*100</f>
        <v>0</v>
      </c>
      <c r="BM41" s="109">
        <f>'NKC2-%'!BT51*100</f>
        <v>0</v>
      </c>
      <c r="BN41" s="109">
        <f>'NKC2-%'!BU51*100</f>
        <v>0</v>
      </c>
      <c r="BO41" s="109">
        <f>'NKC2-%'!BV51*100</f>
        <v>0</v>
      </c>
      <c r="BP41" s="109">
        <f>'NKC2-%'!BW51*100</f>
        <v>0</v>
      </c>
      <c r="BQ41" s="109">
        <f>'NKC2-%'!BX51*100</f>
        <v>0</v>
      </c>
      <c r="BR41" s="109">
        <f>'NKC2-%'!BY51*100</f>
        <v>0</v>
      </c>
      <c r="BS41" s="109">
        <f>'NKC2-%'!BZ51*100</f>
        <v>0</v>
      </c>
      <c r="BT41" s="109">
        <f>'NKC2-%'!CA51*100</f>
        <v>0</v>
      </c>
      <c r="BU41" s="109">
        <f>'NKC2-%'!CB51*100</f>
        <v>0</v>
      </c>
      <c r="BV41" s="109">
        <f>'NKC2-%'!CC51*100</f>
        <v>0</v>
      </c>
      <c r="BW41" s="109">
        <f>'NKC2-%'!CD51*100</f>
        <v>0</v>
      </c>
      <c r="BX41" s="109">
        <f>'NKC2-%'!CE51*100</f>
        <v>0</v>
      </c>
      <c r="BY41" s="109">
        <f>'NKC2-%'!CF51*100</f>
        <v>0</v>
      </c>
      <c r="BZ41" s="109">
        <f>'NKC2-%'!CG51*100</f>
        <v>0</v>
      </c>
      <c r="CA41" s="109">
        <f>'NKC2-%'!CH51*100</f>
        <v>0</v>
      </c>
      <c r="CB41" s="109">
        <f>'NKC2-%'!CI51*100</f>
        <v>0</v>
      </c>
      <c r="CC41" s="109">
        <f>'NKC2-%'!CJ51*100</f>
        <v>0</v>
      </c>
      <c r="CD41" s="109">
        <f>'NKC2-%'!CK51*100</f>
        <v>0</v>
      </c>
      <c r="CE41" s="109">
        <f>'NKC2-%'!CL51*100</f>
        <v>0</v>
      </c>
      <c r="CF41" s="109">
        <f>'NKC2-%'!CM51*100</f>
        <v>0</v>
      </c>
      <c r="CG41" s="109">
        <f>'NKC2-%'!CN51*100</f>
        <v>0</v>
      </c>
      <c r="CH41" s="109">
        <f>'NKC2-%'!CO51*100</f>
        <v>0</v>
      </c>
      <c r="CI41" s="109">
        <f>'NKC2-%'!CP51*100</f>
        <v>0</v>
      </c>
    </row>
    <row r="42" spans="1:87" x14ac:dyDescent="0.45">
      <c r="A42" s="266" t="str">
        <f>'NKC2-%'!B52</f>
        <v>1.3.4</v>
      </c>
      <c r="B42" t="str">
        <f>'NKC2-%'!D52</f>
        <v>AC</v>
      </c>
      <c r="C42" s="104">
        <f>'NKC2-%'!F52</f>
        <v>56860.239558807298</v>
      </c>
      <c r="D42" s="87" t="str">
        <f>'NKC2-%'!G52</f>
        <v>P</v>
      </c>
      <c r="E42" s="109">
        <f>'NKC2-%'!K52*100</f>
        <v>100</v>
      </c>
      <c r="F42" s="109">
        <f>'NKC2-%'!M52*100</f>
        <v>0</v>
      </c>
      <c r="G42" s="109">
        <f>'NKC2-%'!N52*100</f>
        <v>0</v>
      </c>
      <c r="H42" s="109">
        <f>'NKC2-%'!O52*100</f>
        <v>0</v>
      </c>
      <c r="I42" s="109">
        <f>'NKC2-%'!P52*100</f>
        <v>0</v>
      </c>
      <c r="J42" s="109">
        <f>'NKC2-%'!Q52*100</f>
        <v>0</v>
      </c>
      <c r="K42" s="109">
        <f>'NKC2-%'!R52*100</f>
        <v>0</v>
      </c>
      <c r="L42" s="109">
        <f>'NKC2-%'!S52*100</f>
        <v>0</v>
      </c>
      <c r="M42" s="109">
        <f>'NKC2-%'!T52*100</f>
        <v>0</v>
      </c>
      <c r="N42" s="109">
        <f>'NKC2-%'!U52*100</f>
        <v>0</v>
      </c>
      <c r="O42" s="109">
        <f>'NKC2-%'!V52*100</f>
        <v>0</v>
      </c>
      <c r="P42" s="109">
        <f>'NKC2-%'!W52*100</f>
        <v>0</v>
      </c>
      <c r="Q42" s="109">
        <f>'NKC2-%'!X52*100</f>
        <v>0</v>
      </c>
      <c r="R42" s="109">
        <f>'NKC2-%'!Y52*100</f>
        <v>0</v>
      </c>
      <c r="S42" s="109">
        <f>'NKC2-%'!Z52*100</f>
        <v>0</v>
      </c>
      <c r="T42" s="109">
        <f>'NKC2-%'!AA52*100</f>
        <v>0</v>
      </c>
      <c r="U42" s="109">
        <f>'NKC2-%'!AB52*100</f>
        <v>0</v>
      </c>
      <c r="V42" s="109">
        <f>'NKC2-%'!AC52*100</f>
        <v>0</v>
      </c>
      <c r="W42" s="109">
        <f>'NKC2-%'!AD52*100</f>
        <v>0</v>
      </c>
      <c r="X42" s="109">
        <f>'NKC2-%'!AE52*100</f>
        <v>0</v>
      </c>
      <c r="Y42" s="109">
        <f>'NKC2-%'!AF52*100</f>
        <v>0</v>
      </c>
      <c r="Z42" s="109">
        <f>'NKC2-%'!AG52*100</f>
        <v>0</v>
      </c>
      <c r="AA42" s="109">
        <f>'NKC2-%'!AH52*100</f>
        <v>0</v>
      </c>
      <c r="AB42" s="109">
        <f>'NKC2-%'!AI52*100</f>
        <v>0</v>
      </c>
      <c r="AC42" s="109">
        <f>'NKC2-%'!AJ52*100</f>
        <v>0</v>
      </c>
      <c r="AD42" s="109">
        <f>'NKC2-%'!AK52*100</f>
        <v>0</v>
      </c>
      <c r="AE42" s="109">
        <f>'NKC2-%'!AL52*100</f>
        <v>0</v>
      </c>
      <c r="AF42" s="109">
        <f>'NKC2-%'!AM52*100</f>
        <v>0</v>
      </c>
      <c r="AG42" s="109">
        <f>'NKC2-%'!AN52*100</f>
        <v>0</v>
      </c>
      <c r="AH42" s="109">
        <f>'NKC2-%'!AO52*100</f>
        <v>0</v>
      </c>
      <c r="AI42" s="109">
        <f>'NKC2-%'!AP52*100</f>
        <v>0</v>
      </c>
      <c r="AJ42" s="109">
        <f>'NKC2-%'!AQ52*100</f>
        <v>0</v>
      </c>
      <c r="AK42" s="109">
        <f>'NKC2-%'!AR52*100</f>
        <v>0</v>
      </c>
      <c r="AL42" s="109">
        <f>'NKC2-%'!AS52*100</f>
        <v>0</v>
      </c>
      <c r="AM42" s="109">
        <f>'NKC2-%'!AT52*100</f>
        <v>0</v>
      </c>
      <c r="AN42" s="109">
        <f>'NKC2-%'!AU52*100</f>
        <v>5</v>
      </c>
      <c r="AO42" s="109">
        <f>'NKC2-%'!AV52*100</f>
        <v>10</v>
      </c>
      <c r="AP42" s="109">
        <f>'NKC2-%'!AW52*100</f>
        <v>10</v>
      </c>
      <c r="AQ42" s="109">
        <f>'NKC2-%'!AX52*100</f>
        <v>15</v>
      </c>
      <c r="AR42" s="109">
        <f>'NKC2-%'!AY52*100</f>
        <v>15</v>
      </c>
      <c r="AS42" s="109">
        <f>'NKC2-%'!AZ52*100</f>
        <v>10</v>
      </c>
      <c r="AT42" s="109">
        <f>'NKC2-%'!BA52*100</f>
        <v>10</v>
      </c>
      <c r="AU42" s="109">
        <f>'NKC2-%'!BB52*100</f>
        <v>10</v>
      </c>
      <c r="AV42" s="109">
        <f>'NKC2-%'!BC52*100</f>
        <v>10</v>
      </c>
      <c r="AW42" s="109">
        <f>'NKC2-%'!BD52*100</f>
        <v>5</v>
      </c>
      <c r="AX42" s="109">
        <f>'NKC2-%'!BE52*100</f>
        <v>0</v>
      </c>
      <c r="AY42" s="109">
        <f>'NKC2-%'!BF52*100</f>
        <v>0</v>
      </c>
      <c r="AZ42" s="109">
        <f>'NKC2-%'!BG52*100</f>
        <v>0</v>
      </c>
      <c r="BA42" s="109">
        <f>'NKC2-%'!BH52*100</f>
        <v>0</v>
      </c>
      <c r="BB42" s="109">
        <f>'NKC2-%'!BI52*100</f>
        <v>0</v>
      </c>
      <c r="BC42" s="109">
        <f>'NKC2-%'!BJ52*100</f>
        <v>0</v>
      </c>
      <c r="BD42" s="109">
        <f>'NKC2-%'!BK52*100</f>
        <v>0</v>
      </c>
      <c r="BE42" s="109">
        <f>'NKC2-%'!BL52*100</f>
        <v>0</v>
      </c>
      <c r="BF42" s="109">
        <f>'NKC2-%'!BM52*100</f>
        <v>0</v>
      </c>
      <c r="BG42" s="109">
        <f>'NKC2-%'!BN52*100</f>
        <v>0</v>
      </c>
      <c r="BH42" s="109">
        <f>'NKC2-%'!BO52*100</f>
        <v>0</v>
      </c>
      <c r="BI42" s="109">
        <f>'NKC2-%'!BP52*100</f>
        <v>0</v>
      </c>
      <c r="BJ42" s="109">
        <f>'NKC2-%'!BQ52*100</f>
        <v>0</v>
      </c>
      <c r="BK42" s="109">
        <f>'NKC2-%'!BR52*100</f>
        <v>0</v>
      </c>
      <c r="BL42" s="109">
        <f>'NKC2-%'!BS52*100</f>
        <v>0</v>
      </c>
      <c r="BM42" s="109">
        <f>'NKC2-%'!BT52*100</f>
        <v>0</v>
      </c>
      <c r="BN42" s="109">
        <f>'NKC2-%'!BU52*100</f>
        <v>0</v>
      </c>
      <c r="BO42" s="109">
        <f>'NKC2-%'!BV52*100</f>
        <v>0</v>
      </c>
      <c r="BP42" s="109">
        <f>'NKC2-%'!BW52*100</f>
        <v>0</v>
      </c>
      <c r="BQ42" s="109">
        <f>'NKC2-%'!BX52*100</f>
        <v>0</v>
      </c>
      <c r="BR42" s="109">
        <f>'NKC2-%'!BY52*100</f>
        <v>0</v>
      </c>
      <c r="BS42" s="109">
        <f>'NKC2-%'!BZ52*100</f>
        <v>0</v>
      </c>
      <c r="BT42" s="109">
        <f>'NKC2-%'!CA52*100</f>
        <v>0</v>
      </c>
      <c r="BU42" s="109">
        <f>'NKC2-%'!CB52*100</f>
        <v>0</v>
      </c>
      <c r="BV42" s="109">
        <f>'NKC2-%'!CC52*100</f>
        <v>0</v>
      </c>
      <c r="BW42" s="109">
        <f>'NKC2-%'!CD52*100</f>
        <v>0</v>
      </c>
      <c r="BX42" s="109">
        <f>'NKC2-%'!CE52*100</f>
        <v>0</v>
      </c>
      <c r="BY42" s="109">
        <f>'NKC2-%'!CF52*100</f>
        <v>0</v>
      </c>
      <c r="BZ42" s="109">
        <f>'NKC2-%'!CG52*100</f>
        <v>0</v>
      </c>
      <c r="CA42" s="109">
        <f>'NKC2-%'!CH52*100</f>
        <v>0</v>
      </c>
      <c r="CB42" s="109">
        <f>'NKC2-%'!CI52*100</f>
        <v>0</v>
      </c>
      <c r="CC42" s="109">
        <f>'NKC2-%'!CJ52*100</f>
        <v>0</v>
      </c>
      <c r="CD42" s="109">
        <f>'NKC2-%'!CK52*100</f>
        <v>0</v>
      </c>
      <c r="CE42" s="109">
        <f>'NKC2-%'!CL52*100</f>
        <v>0</v>
      </c>
      <c r="CF42" s="109">
        <f>'NKC2-%'!CM52*100</f>
        <v>0</v>
      </c>
      <c r="CG42" s="109">
        <f>'NKC2-%'!CN52*100</f>
        <v>0</v>
      </c>
      <c r="CH42" s="109">
        <f>'NKC2-%'!CO52*100</f>
        <v>0</v>
      </c>
      <c r="CI42" s="109">
        <f>'NKC2-%'!CP52*100</f>
        <v>0</v>
      </c>
    </row>
    <row r="43" spans="1:87" x14ac:dyDescent="0.45">
      <c r="A43" s="266" t="str">
        <f>'NKC2-%'!B53</f>
        <v>1.3.4</v>
      </c>
      <c r="B43" t="str">
        <f>'NKC2-%'!D53</f>
        <v>AC</v>
      </c>
      <c r="C43" s="104">
        <f>'NKC2-%'!F53</f>
        <v>56860.239558807298</v>
      </c>
      <c r="D43" s="87" t="str">
        <f>'NKC2-%'!G53</f>
        <v>A</v>
      </c>
      <c r="E43" s="109">
        <f>'NKC2-%'!K53*100</f>
        <v>0</v>
      </c>
      <c r="F43" s="109">
        <f>'NKC2-%'!M53*100</f>
        <v>0</v>
      </c>
      <c r="G43" s="109">
        <f>'NKC2-%'!N53*100</f>
        <v>0</v>
      </c>
      <c r="H43" s="109">
        <f>'NKC2-%'!O53*100</f>
        <v>0</v>
      </c>
      <c r="I43" s="109">
        <f>'NKC2-%'!P53*100</f>
        <v>0</v>
      </c>
      <c r="J43" s="109">
        <f>'NKC2-%'!Q53*100</f>
        <v>0</v>
      </c>
      <c r="K43" s="109">
        <f>'NKC2-%'!R53*100</f>
        <v>0</v>
      </c>
      <c r="L43" s="109">
        <f>'NKC2-%'!S53*100</f>
        <v>0</v>
      </c>
      <c r="M43" s="109">
        <f>'NKC2-%'!T53*100</f>
        <v>0</v>
      </c>
      <c r="N43" s="109">
        <f>'NKC2-%'!U53*100</f>
        <v>0</v>
      </c>
      <c r="O43" s="109">
        <f>'NKC2-%'!V53*100</f>
        <v>0</v>
      </c>
      <c r="P43" s="109">
        <f>'NKC2-%'!W53*100</f>
        <v>0</v>
      </c>
      <c r="Q43" s="109">
        <f>'NKC2-%'!X53*100</f>
        <v>0</v>
      </c>
      <c r="R43" s="109">
        <f>'NKC2-%'!Y53*100</f>
        <v>0</v>
      </c>
      <c r="S43" s="109">
        <f>'NKC2-%'!Z53*100</f>
        <v>0</v>
      </c>
      <c r="T43" s="109">
        <f>'NKC2-%'!AA53*100</f>
        <v>0</v>
      </c>
      <c r="U43" s="109">
        <f>'NKC2-%'!AB53*100</f>
        <v>0</v>
      </c>
      <c r="V43" s="109">
        <f>'NKC2-%'!AC53*100</f>
        <v>0</v>
      </c>
      <c r="W43" s="109">
        <f>'NKC2-%'!AD53*100</f>
        <v>0</v>
      </c>
      <c r="X43" s="109">
        <f>'NKC2-%'!AE53*100</f>
        <v>0</v>
      </c>
      <c r="Y43" s="109">
        <f>'NKC2-%'!AF53*100</f>
        <v>0</v>
      </c>
      <c r="Z43" s="109">
        <f>'NKC2-%'!AG53*100</f>
        <v>0</v>
      </c>
      <c r="AA43" s="109">
        <f>'NKC2-%'!AH53*100</f>
        <v>0</v>
      </c>
      <c r="AB43" s="109">
        <f>'NKC2-%'!AI53*100</f>
        <v>0</v>
      </c>
      <c r="AC43" s="109">
        <f>'NKC2-%'!AJ53*100</f>
        <v>0</v>
      </c>
      <c r="AD43" s="109">
        <f>'NKC2-%'!AK53*100</f>
        <v>0</v>
      </c>
      <c r="AE43" s="109">
        <f>'NKC2-%'!AL53*100</f>
        <v>0</v>
      </c>
      <c r="AF43" s="109">
        <f>'NKC2-%'!AM53*100</f>
        <v>0</v>
      </c>
      <c r="AG43" s="109">
        <f>'NKC2-%'!AN53*100</f>
        <v>0</v>
      </c>
      <c r="AH43" s="109">
        <f>'NKC2-%'!AO53*100</f>
        <v>0</v>
      </c>
      <c r="AI43" s="109">
        <f>'NKC2-%'!AP53*100</f>
        <v>0</v>
      </c>
      <c r="AJ43" s="109">
        <f>'NKC2-%'!AQ53*100</f>
        <v>0</v>
      </c>
      <c r="AK43" s="109">
        <f>'NKC2-%'!AR53*100</f>
        <v>0</v>
      </c>
      <c r="AL43" s="109">
        <f>'NKC2-%'!AS53*100</f>
        <v>0</v>
      </c>
      <c r="AM43" s="109">
        <f>'NKC2-%'!AT53*100</f>
        <v>0</v>
      </c>
      <c r="AN43" s="109">
        <f>'NKC2-%'!AU53*100</f>
        <v>0</v>
      </c>
      <c r="AO43" s="109">
        <f>'NKC2-%'!AV53*100</f>
        <v>0</v>
      </c>
      <c r="AP43" s="109">
        <f>'NKC2-%'!AW53*100</f>
        <v>0</v>
      </c>
      <c r="AQ43" s="109">
        <f>'NKC2-%'!AX53*100</f>
        <v>0</v>
      </c>
      <c r="AR43" s="109">
        <f>'NKC2-%'!AY53*100</f>
        <v>0</v>
      </c>
      <c r="AS43" s="109">
        <f>'NKC2-%'!AZ53*100</f>
        <v>0</v>
      </c>
      <c r="AT43" s="109">
        <f>'NKC2-%'!BA53*100</f>
        <v>0</v>
      </c>
      <c r="AU43" s="109">
        <f>'NKC2-%'!BB53*100</f>
        <v>0</v>
      </c>
      <c r="AV43" s="109">
        <f>'NKC2-%'!BC53*100</f>
        <v>0</v>
      </c>
      <c r="AW43" s="109">
        <f>'NKC2-%'!BD53*100</f>
        <v>0</v>
      </c>
      <c r="AX43" s="109">
        <f>'NKC2-%'!BE53*100</f>
        <v>0</v>
      </c>
      <c r="AY43" s="109">
        <f>'NKC2-%'!BF53*100</f>
        <v>0</v>
      </c>
      <c r="AZ43" s="109">
        <f>'NKC2-%'!BG53*100</f>
        <v>0</v>
      </c>
      <c r="BA43" s="109">
        <f>'NKC2-%'!BH53*100</f>
        <v>0</v>
      </c>
      <c r="BB43" s="109">
        <f>'NKC2-%'!BI53*100</f>
        <v>0</v>
      </c>
      <c r="BC43" s="109">
        <f>'NKC2-%'!BJ53*100</f>
        <v>0</v>
      </c>
      <c r="BD43" s="109">
        <f>'NKC2-%'!BK53*100</f>
        <v>0</v>
      </c>
      <c r="BE43" s="109">
        <f>'NKC2-%'!BL53*100</f>
        <v>0</v>
      </c>
      <c r="BF43" s="109">
        <f>'NKC2-%'!BM53*100</f>
        <v>0</v>
      </c>
      <c r="BG43" s="109">
        <f>'NKC2-%'!BN53*100</f>
        <v>0</v>
      </c>
      <c r="BH43" s="109">
        <f>'NKC2-%'!BO53*100</f>
        <v>0</v>
      </c>
      <c r="BI43" s="109">
        <f>'NKC2-%'!BP53*100</f>
        <v>0</v>
      </c>
      <c r="BJ43" s="109">
        <f>'NKC2-%'!BQ53*100</f>
        <v>0</v>
      </c>
      <c r="BK43" s="109">
        <f>'NKC2-%'!BR53*100</f>
        <v>0</v>
      </c>
      <c r="BL43" s="109">
        <f>'NKC2-%'!BS53*100</f>
        <v>0</v>
      </c>
      <c r="BM43" s="109">
        <f>'NKC2-%'!BT53*100</f>
        <v>0</v>
      </c>
      <c r="BN43" s="109">
        <f>'NKC2-%'!BU53*100</f>
        <v>0</v>
      </c>
      <c r="BO43" s="109">
        <f>'NKC2-%'!BV53*100</f>
        <v>0</v>
      </c>
      <c r="BP43" s="109">
        <f>'NKC2-%'!BW53*100</f>
        <v>0</v>
      </c>
      <c r="BQ43" s="109">
        <f>'NKC2-%'!BX53*100</f>
        <v>0</v>
      </c>
      <c r="BR43" s="109">
        <f>'NKC2-%'!BY53*100</f>
        <v>0</v>
      </c>
      <c r="BS43" s="109">
        <f>'NKC2-%'!BZ53*100</f>
        <v>0</v>
      </c>
      <c r="BT43" s="109">
        <f>'NKC2-%'!CA53*100</f>
        <v>0</v>
      </c>
      <c r="BU43" s="109">
        <f>'NKC2-%'!CB53*100</f>
        <v>0</v>
      </c>
      <c r="BV43" s="109">
        <f>'NKC2-%'!CC53*100</f>
        <v>0</v>
      </c>
      <c r="BW43" s="109">
        <f>'NKC2-%'!CD53*100</f>
        <v>0</v>
      </c>
      <c r="BX43" s="109">
        <f>'NKC2-%'!CE53*100</f>
        <v>0</v>
      </c>
      <c r="BY43" s="109">
        <f>'NKC2-%'!CF53*100</f>
        <v>0</v>
      </c>
      <c r="BZ43" s="109">
        <f>'NKC2-%'!CG53*100</f>
        <v>0</v>
      </c>
      <c r="CA43" s="109">
        <f>'NKC2-%'!CH53*100</f>
        <v>0</v>
      </c>
      <c r="CB43" s="109">
        <f>'NKC2-%'!CI53*100</f>
        <v>0</v>
      </c>
      <c r="CC43" s="109">
        <f>'NKC2-%'!CJ53*100</f>
        <v>0</v>
      </c>
      <c r="CD43" s="109">
        <f>'NKC2-%'!CK53*100</f>
        <v>0</v>
      </c>
      <c r="CE43" s="109">
        <f>'NKC2-%'!CL53*100</f>
        <v>0</v>
      </c>
      <c r="CF43" s="109">
        <f>'NKC2-%'!CM53*100</f>
        <v>0</v>
      </c>
      <c r="CG43" s="109">
        <f>'NKC2-%'!CN53*100</f>
        <v>0</v>
      </c>
      <c r="CH43" s="109">
        <f>'NKC2-%'!CO53*100</f>
        <v>0</v>
      </c>
      <c r="CI43" s="109">
        <f>'NKC2-%'!CP53*100</f>
        <v>0</v>
      </c>
    </row>
    <row r="44" spans="1:87" x14ac:dyDescent="0.45">
      <c r="A44" s="266">
        <f>'NKC2-%'!B54</f>
        <v>1.4</v>
      </c>
      <c r="B44" t="str">
        <f>'NKC2-%'!D54</f>
        <v>Architectural  |  MEP</v>
      </c>
      <c r="C44" s="104">
        <f>'NKC2-%'!F54</f>
        <v>82272490.458837852</v>
      </c>
      <c r="D44" s="87" t="str">
        <f>'NKC2-%'!G54</f>
        <v>P</v>
      </c>
      <c r="E44" s="109">
        <f>'NKC2-%'!K54*100</f>
        <v>99.999999999999972</v>
      </c>
      <c r="F44" s="109">
        <f>'NKC2-%'!M54*100</f>
        <v>0</v>
      </c>
      <c r="G44" s="109">
        <f>'NKC2-%'!N54*100</f>
        <v>0</v>
      </c>
      <c r="H44" s="109">
        <f>'NKC2-%'!O54*100</f>
        <v>0</v>
      </c>
      <c r="I44" s="109">
        <f>'NKC2-%'!P54*100</f>
        <v>0</v>
      </c>
      <c r="J44" s="109">
        <f>'NKC2-%'!Q54*100</f>
        <v>0</v>
      </c>
      <c r="K44" s="109">
        <f>'NKC2-%'!R54*100</f>
        <v>0</v>
      </c>
      <c r="L44" s="109">
        <f>'NKC2-%'!S54*100</f>
        <v>0</v>
      </c>
      <c r="M44" s="109">
        <f>'NKC2-%'!T54*100</f>
        <v>0</v>
      </c>
      <c r="N44" s="109">
        <f>'NKC2-%'!U54*100</f>
        <v>0</v>
      </c>
      <c r="O44" s="109">
        <f>'NKC2-%'!V54*100</f>
        <v>0</v>
      </c>
      <c r="P44" s="109">
        <f>'NKC2-%'!W54*100</f>
        <v>0</v>
      </c>
      <c r="Q44" s="109">
        <f>'NKC2-%'!X54*100</f>
        <v>0</v>
      </c>
      <c r="R44" s="109">
        <f>'NKC2-%'!Y54*100</f>
        <v>0</v>
      </c>
      <c r="S44" s="109">
        <f>'NKC2-%'!Z54*100</f>
        <v>0</v>
      </c>
      <c r="T44" s="109">
        <f>'NKC2-%'!AA54*100</f>
        <v>0</v>
      </c>
      <c r="U44" s="109">
        <f>'NKC2-%'!AB54*100</f>
        <v>0</v>
      </c>
      <c r="V44" s="109">
        <f>'NKC2-%'!AC54*100</f>
        <v>0</v>
      </c>
      <c r="W44" s="109">
        <f>'NKC2-%'!AD54*100</f>
        <v>0</v>
      </c>
      <c r="X44" s="109">
        <f>'NKC2-%'!AE54*100</f>
        <v>0</v>
      </c>
      <c r="Y44" s="109">
        <f>'NKC2-%'!AF54*100</f>
        <v>0</v>
      </c>
      <c r="Z44" s="109">
        <f>'NKC2-%'!AG54*100</f>
        <v>0</v>
      </c>
      <c r="AA44" s="109">
        <f>'NKC2-%'!AH54*100</f>
        <v>0</v>
      </c>
      <c r="AB44" s="109">
        <f>'NKC2-%'!AI54*100</f>
        <v>0</v>
      </c>
      <c r="AC44" s="109">
        <f>'NKC2-%'!AJ54*100</f>
        <v>0</v>
      </c>
      <c r="AD44" s="109">
        <f>'NKC2-%'!AK54*100</f>
        <v>0</v>
      </c>
      <c r="AE44" s="109">
        <f>'NKC2-%'!AL54*100</f>
        <v>0</v>
      </c>
      <c r="AF44" s="109">
        <f>'NKC2-%'!AM54*100</f>
        <v>0</v>
      </c>
      <c r="AG44" s="109">
        <f>'NKC2-%'!AN54*100</f>
        <v>0</v>
      </c>
      <c r="AH44" s="109">
        <f>'NKC2-%'!AO54*100</f>
        <v>0.42614087245713589</v>
      </c>
      <c r="AI44" s="109">
        <f>'NKC2-%'!AP54*100</f>
        <v>0.42614087245713589</v>
      </c>
      <c r="AJ44" s="109">
        <f>'NKC2-%'!AQ54*100</f>
        <v>0.42614087245713589</v>
      </c>
      <c r="AK44" s="109">
        <f>'NKC2-%'!AR54*100</f>
        <v>0.42614087245713589</v>
      </c>
      <c r="AL44" s="109">
        <f>'NKC2-%'!AS54*100</f>
        <v>0.42614087245713589</v>
      </c>
      <c r="AM44" s="109">
        <f>'NKC2-%'!AT54*100</f>
        <v>0.42614087245713589</v>
      </c>
      <c r="AN44" s="109">
        <f>'NKC2-%'!AU54*100</f>
        <v>0.42614087245713589</v>
      </c>
      <c r="AO44" s="109">
        <f>'NKC2-%'!AV54*100</f>
        <v>2.0452500737738784</v>
      </c>
      <c r="AP44" s="109">
        <f>'NKC2-%'!AW54*100</f>
        <v>2.0452500737738784</v>
      </c>
      <c r="AQ44" s="109">
        <f>'NKC2-%'!AX54*100</f>
        <v>2.0452500737738784</v>
      </c>
      <c r="AR44" s="109">
        <f>'NKC2-%'!AY54*100</f>
        <v>1.6191092013167425</v>
      </c>
      <c r="AS44" s="109">
        <f>'NKC2-%'!AZ54*100</f>
        <v>1.6191092013167425</v>
      </c>
      <c r="AT44" s="109">
        <f>'NKC2-%'!BA54*100</f>
        <v>1.6191092013167425</v>
      </c>
      <c r="AU44" s="109">
        <f>'NKC2-%'!BB54*100</f>
        <v>1.9370176043518408</v>
      </c>
      <c r="AV44" s="109">
        <f>'NKC2-%'!BC54*100</f>
        <v>1.9370176043518408</v>
      </c>
      <c r="AW44" s="109">
        <f>'NKC2-%'!BD54*100</f>
        <v>2.6683276294692928</v>
      </c>
      <c r="AX44" s="109">
        <f>'NKC2-%'!BE54*100</f>
        <v>3.1028829123750783</v>
      </c>
      <c r="AY44" s="109">
        <f>'NKC2-%'!BF54*100</f>
        <v>4.0556030769713143</v>
      </c>
      <c r="AZ44" s="109">
        <f>'NKC2-%'!BG54*100</f>
        <v>4.0556030769713143</v>
      </c>
      <c r="BA44" s="109">
        <f>'NKC2-%'!BH54*100</f>
        <v>4.0556030769713143</v>
      </c>
      <c r="BB44" s="109">
        <f>'NKC2-%'!BI54*100</f>
        <v>5.4539826442856727</v>
      </c>
      <c r="BC44" s="109">
        <f>'NKC2-%'!BJ54*100</f>
        <v>5.4539826442856727</v>
      </c>
      <c r="BD44" s="109">
        <f>'NKC2-%'!BK54*100</f>
        <v>6.7474495375950641</v>
      </c>
      <c r="BE44" s="109">
        <f>'NKC2-%'!BL54*100</f>
        <v>5.737579909596775</v>
      </c>
      <c r="BF44" s="109">
        <f>'NKC2-%'!BM54*100</f>
        <v>5.5713103798669863</v>
      </c>
      <c r="BG44" s="109">
        <f>'NKC2-%'!BN54*100</f>
        <v>6.2158279760134239</v>
      </c>
      <c r="BH44" s="109">
        <f>'NKC2-%'!BO54*100</f>
        <v>5.2666946894018061</v>
      </c>
      <c r="BI44" s="109">
        <f>'NKC2-%'!BP54*100</f>
        <v>4.0737263605422003</v>
      </c>
      <c r="BJ44" s="109">
        <f>'NKC2-%'!BQ54*100</f>
        <v>4.2057318506767682</v>
      </c>
      <c r="BK44" s="109">
        <f>'NKC2-%'!BR54*100</f>
        <v>3.3626024781526596</v>
      </c>
      <c r="BL44" s="109">
        <f>'NKC2-%'!BS54*100</f>
        <v>2.4625079923073656</v>
      </c>
      <c r="BM44" s="109">
        <f>'NKC2-%'!BT54*100</f>
        <v>2.6105424240934481</v>
      </c>
      <c r="BN44" s="109">
        <f>'NKC2-%'!BU54*100</f>
        <v>2.381685828908449</v>
      </c>
      <c r="BO44" s="109">
        <f>'NKC2-%'!BV54*100</f>
        <v>1.2412560941314008</v>
      </c>
      <c r="BP44" s="109">
        <f>'NKC2-%'!BW54*100</f>
        <v>1.1654366574787458</v>
      </c>
      <c r="BQ44" s="109">
        <f>'NKC2-%'!BX54*100</f>
        <v>0.97914293605957659</v>
      </c>
      <c r="BR44" s="109">
        <f>'NKC2-%'!BY54*100</f>
        <v>0.67586518944895757</v>
      </c>
      <c r="BS44" s="109">
        <f>'NKC2-%'!BZ54*100</f>
        <v>0.15163887330530954</v>
      </c>
      <c r="BT44" s="109">
        <f>'NKC2-%'!CA54*100</f>
        <v>0.15163887330530954</v>
      </c>
      <c r="BU44" s="109">
        <f>'NKC2-%'!CB54*100</f>
        <v>0.15163887330530954</v>
      </c>
      <c r="BV44" s="109">
        <f>'NKC2-%'!CC54*100</f>
        <v>0.15163887330530954</v>
      </c>
      <c r="BW44" s="109">
        <f>'NKC2-%'!CD54*100</f>
        <v>0</v>
      </c>
      <c r="BX44" s="109">
        <f>'NKC2-%'!CE54*100</f>
        <v>0</v>
      </c>
      <c r="BY44" s="109">
        <f>'NKC2-%'!CF54*100</f>
        <v>0</v>
      </c>
      <c r="BZ44" s="109">
        <f>'NKC2-%'!CG54*100</f>
        <v>0</v>
      </c>
      <c r="CA44" s="109">
        <f>'NKC2-%'!CH54*100</f>
        <v>0</v>
      </c>
      <c r="CB44" s="109">
        <f>'NKC2-%'!CI54*100</f>
        <v>0</v>
      </c>
      <c r="CC44" s="109">
        <f>'NKC2-%'!CJ54*100</f>
        <v>0</v>
      </c>
      <c r="CD44" s="109">
        <f>'NKC2-%'!CK54*100</f>
        <v>0</v>
      </c>
      <c r="CE44" s="109">
        <f>'NKC2-%'!CL54*100</f>
        <v>0</v>
      </c>
      <c r="CF44" s="109">
        <f>'NKC2-%'!CM54*100</f>
        <v>0</v>
      </c>
      <c r="CG44" s="109">
        <f>'NKC2-%'!CN54*100</f>
        <v>0</v>
      </c>
      <c r="CH44" s="109">
        <f>'NKC2-%'!CO54*100</f>
        <v>0</v>
      </c>
      <c r="CI44" s="109">
        <f>'NKC2-%'!CP54*100</f>
        <v>0</v>
      </c>
    </row>
    <row r="45" spans="1:87" x14ac:dyDescent="0.45">
      <c r="A45" s="266">
        <f>'NKC2-%'!B55</f>
        <v>1.4</v>
      </c>
      <c r="B45" t="str">
        <f>'NKC2-%'!D55</f>
        <v>Architectural  |  MEP</v>
      </c>
      <c r="C45" s="104">
        <f>'NKC2-%'!F55</f>
        <v>82272490.458837852</v>
      </c>
      <c r="D45" s="87" t="str">
        <f>'NKC2-%'!G55</f>
        <v>A</v>
      </c>
      <c r="E45" s="109">
        <f>'NKC2-%'!K55*100</f>
        <v>1.7045634898285436</v>
      </c>
      <c r="F45" s="109">
        <f>'NKC2-%'!M55*100</f>
        <v>0</v>
      </c>
      <c r="G45" s="109">
        <f>'NKC2-%'!N55*100</f>
        <v>0</v>
      </c>
      <c r="H45" s="109">
        <f>'NKC2-%'!O55*100</f>
        <v>0</v>
      </c>
      <c r="I45" s="109">
        <f>'NKC2-%'!P55*100</f>
        <v>0</v>
      </c>
      <c r="J45" s="109">
        <f>'NKC2-%'!Q55*100</f>
        <v>0</v>
      </c>
      <c r="K45" s="109">
        <f>'NKC2-%'!R55*100</f>
        <v>0</v>
      </c>
      <c r="L45" s="109">
        <f>'NKC2-%'!S55*100</f>
        <v>0</v>
      </c>
      <c r="M45" s="109">
        <f>'NKC2-%'!T55*100</f>
        <v>0</v>
      </c>
      <c r="N45" s="109">
        <f>'NKC2-%'!U55*100</f>
        <v>0</v>
      </c>
      <c r="O45" s="109">
        <f>'NKC2-%'!V55*100</f>
        <v>0</v>
      </c>
      <c r="P45" s="109">
        <f>'NKC2-%'!W55*100</f>
        <v>0</v>
      </c>
      <c r="Q45" s="109">
        <f>'NKC2-%'!X55*100</f>
        <v>0</v>
      </c>
      <c r="R45" s="109">
        <f>'NKC2-%'!Y55*100</f>
        <v>0</v>
      </c>
      <c r="S45" s="109">
        <f>'NKC2-%'!Z55*100</f>
        <v>0</v>
      </c>
      <c r="T45" s="109">
        <f>'NKC2-%'!AA55*100</f>
        <v>0</v>
      </c>
      <c r="U45" s="109">
        <f>'NKC2-%'!AB55*100</f>
        <v>0</v>
      </c>
      <c r="V45" s="109">
        <f>'NKC2-%'!AC55*100</f>
        <v>0</v>
      </c>
      <c r="W45" s="109">
        <f>'NKC2-%'!AD55*100</f>
        <v>0</v>
      </c>
      <c r="X45" s="109">
        <f>'NKC2-%'!AE55*100</f>
        <v>0</v>
      </c>
      <c r="Y45" s="109">
        <f>'NKC2-%'!AF55*100</f>
        <v>0</v>
      </c>
      <c r="Z45" s="109">
        <f>'NKC2-%'!AG55*100</f>
        <v>0</v>
      </c>
      <c r="AA45" s="109">
        <f>'NKC2-%'!AH55*100</f>
        <v>0</v>
      </c>
      <c r="AB45" s="109">
        <f>'NKC2-%'!AI55*100</f>
        <v>0</v>
      </c>
      <c r="AC45" s="109">
        <f>'NKC2-%'!AJ55*100</f>
        <v>0</v>
      </c>
      <c r="AD45" s="109">
        <f>'NKC2-%'!AK55*100</f>
        <v>0</v>
      </c>
      <c r="AE45" s="109">
        <f>'NKC2-%'!AL55*100</f>
        <v>0</v>
      </c>
      <c r="AF45" s="109">
        <f>'NKC2-%'!AM55*100</f>
        <v>0</v>
      </c>
      <c r="AG45" s="109">
        <f>'NKC2-%'!AN55*100</f>
        <v>0</v>
      </c>
      <c r="AH45" s="109">
        <f>'NKC2-%'!AO55*100</f>
        <v>0</v>
      </c>
      <c r="AI45" s="109">
        <f>'NKC2-%'!AP55*100</f>
        <v>0</v>
      </c>
      <c r="AJ45" s="109">
        <f>'NKC2-%'!AQ55*100</f>
        <v>0</v>
      </c>
      <c r="AK45" s="109">
        <f>'NKC2-%'!AR55*100</f>
        <v>0</v>
      </c>
      <c r="AL45" s="109">
        <f>'NKC2-%'!AS55*100</f>
        <v>0.85228174491427178</v>
      </c>
      <c r="AM45" s="109">
        <f>'NKC2-%'!AT55*100</f>
        <v>0.85228174491427178</v>
      </c>
      <c r="AN45" s="109">
        <f>'NKC2-%'!AU55*100</f>
        <v>0</v>
      </c>
      <c r="AO45" s="109">
        <f>'NKC2-%'!AV55*100</f>
        <v>0</v>
      </c>
      <c r="AP45" s="109">
        <f>'NKC2-%'!AW55*100</f>
        <v>0</v>
      </c>
      <c r="AQ45" s="109">
        <f>'NKC2-%'!AX55*100</f>
        <v>0</v>
      </c>
      <c r="AR45" s="109">
        <f>'NKC2-%'!AY55*100</f>
        <v>0</v>
      </c>
      <c r="AS45" s="109">
        <f>'NKC2-%'!AZ55*100</f>
        <v>0</v>
      </c>
      <c r="AT45" s="109">
        <f>'NKC2-%'!BA55*100</f>
        <v>0</v>
      </c>
      <c r="AU45" s="109">
        <f>'NKC2-%'!BB55*100</f>
        <v>0</v>
      </c>
      <c r="AV45" s="109">
        <f>'NKC2-%'!BC55*100</f>
        <v>0</v>
      </c>
      <c r="AW45" s="109">
        <f>'NKC2-%'!BD55*100</f>
        <v>0</v>
      </c>
      <c r="AX45" s="109">
        <f>'NKC2-%'!BE55*100</f>
        <v>0</v>
      </c>
      <c r="AY45" s="109">
        <f>'NKC2-%'!BF55*100</f>
        <v>0</v>
      </c>
      <c r="AZ45" s="109">
        <f>'NKC2-%'!BG55*100</f>
        <v>0</v>
      </c>
      <c r="BA45" s="109">
        <f>'NKC2-%'!BH55*100</f>
        <v>0</v>
      </c>
      <c r="BB45" s="109">
        <f>'NKC2-%'!BI55*100</f>
        <v>0</v>
      </c>
      <c r="BC45" s="109">
        <f>'NKC2-%'!BJ55*100</f>
        <v>0</v>
      </c>
      <c r="BD45" s="109">
        <f>'NKC2-%'!BK55*100</f>
        <v>0</v>
      </c>
      <c r="BE45" s="109">
        <f>'NKC2-%'!BL55*100</f>
        <v>0</v>
      </c>
      <c r="BF45" s="109">
        <f>'NKC2-%'!BM55*100</f>
        <v>0</v>
      </c>
      <c r="BG45" s="109">
        <f>'NKC2-%'!BN55*100</f>
        <v>0</v>
      </c>
      <c r="BH45" s="109">
        <f>'NKC2-%'!BO55*100</f>
        <v>0</v>
      </c>
      <c r="BI45" s="109">
        <f>'NKC2-%'!BP55*100</f>
        <v>0</v>
      </c>
      <c r="BJ45" s="109">
        <f>'NKC2-%'!BQ55*100</f>
        <v>0</v>
      </c>
      <c r="BK45" s="109">
        <f>'NKC2-%'!BR55*100</f>
        <v>0</v>
      </c>
      <c r="BL45" s="109">
        <f>'NKC2-%'!BS55*100</f>
        <v>0</v>
      </c>
      <c r="BM45" s="109">
        <f>'NKC2-%'!BT55*100</f>
        <v>0</v>
      </c>
      <c r="BN45" s="109">
        <f>'NKC2-%'!BU55*100</f>
        <v>0</v>
      </c>
      <c r="BO45" s="109">
        <f>'NKC2-%'!BV55*100</f>
        <v>0</v>
      </c>
      <c r="BP45" s="109">
        <f>'NKC2-%'!BW55*100</f>
        <v>0</v>
      </c>
      <c r="BQ45" s="109">
        <f>'NKC2-%'!BX55*100</f>
        <v>0</v>
      </c>
      <c r="BR45" s="109">
        <f>'NKC2-%'!BY55*100</f>
        <v>0</v>
      </c>
      <c r="BS45" s="109">
        <f>'NKC2-%'!BZ55*100</f>
        <v>0</v>
      </c>
      <c r="BT45" s="109">
        <f>'NKC2-%'!CA55*100</f>
        <v>0</v>
      </c>
      <c r="BU45" s="109">
        <f>'NKC2-%'!CB55*100</f>
        <v>0</v>
      </c>
      <c r="BV45" s="109">
        <f>'NKC2-%'!CC55*100</f>
        <v>0</v>
      </c>
      <c r="BW45" s="109">
        <f>'NKC2-%'!CD55*100</f>
        <v>0</v>
      </c>
      <c r="BX45" s="109">
        <f>'NKC2-%'!CE55*100</f>
        <v>0</v>
      </c>
      <c r="BY45" s="109">
        <f>'NKC2-%'!CF55*100</f>
        <v>0</v>
      </c>
      <c r="BZ45" s="109">
        <f>'NKC2-%'!CG55*100</f>
        <v>0</v>
      </c>
      <c r="CA45" s="109">
        <f>'NKC2-%'!CH55*100</f>
        <v>0</v>
      </c>
      <c r="CB45" s="109">
        <f>'NKC2-%'!CI55*100</f>
        <v>0</v>
      </c>
      <c r="CC45" s="109">
        <f>'NKC2-%'!CJ55*100</f>
        <v>0</v>
      </c>
      <c r="CD45" s="109">
        <f>'NKC2-%'!CK55*100</f>
        <v>0</v>
      </c>
      <c r="CE45" s="109">
        <f>'NKC2-%'!CL55*100</f>
        <v>0</v>
      </c>
      <c r="CF45" s="109">
        <f>'NKC2-%'!CM55*100</f>
        <v>0</v>
      </c>
      <c r="CG45" s="109">
        <f>'NKC2-%'!CN55*100</f>
        <v>0</v>
      </c>
      <c r="CH45" s="109">
        <f>'NKC2-%'!CO55*100</f>
        <v>0</v>
      </c>
      <c r="CI45" s="109">
        <f>'NKC2-%'!CP55*100</f>
        <v>0</v>
      </c>
    </row>
    <row r="46" spans="1:87" x14ac:dyDescent="0.45">
      <c r="A46" s="266" t="str">
        <f>'NKC2-%'!B56</f>
        <v>1.4.1</v>
      </c>
      <c r="B46" t="str">
        <f>'NKC2-%'!D56</f>
        <v>Architectural  |  MEP</v>
      </c>
      <c r="C46" s="104">
        <f>'NKC2-%'!F56</f>
        <v>69821579.855337858</v>
      </c>
      <c r="D46" s="87" t="str">
        <f>'NKC2-%'!G56</f>
        <v>P</v>
      </c>
      <c r="E46" s="109">
        <f>'NKC2-%'!K56*100</f>
        <v>100.00000000000003</v>
      </c>
      <c r="F46" s="109">
        <f>'NKC2-%'!M56*100</f>
        <v>0</v>
      </c>
      <c r="G46" s="109">
        <f>'NKC2-%'!N56*100</f>
        <v>0</v>
      </c>
      <c r="H46" s="109">
        <f>'NKC2-%'!O56*100</f>
        <v>0</v>
      </c>
      <c r="I46" s="109">
        <f>'NKC2-%'!P56*100</f>
        <v>0</v>
      </c>
      <c r="J46" s="109">
        <f>'NKC2-%'!Q56*100</f>
        <v>0</v>
      </c>
      <c r="K46" s="109">
        <f>'NKC2-%'!R56*100</f>
        <v>0</v>
      </c>
      <c r="L46" s="109">
        <f>'NKC2-%'!S56*100</f>
        <v>0</v>
      </c>
      <c r="M46" s="109">
        <f>'NKC2-%'!T56*100</f>
        <v>0</v>
      </c>
      <c r="N46" s="109">
        <f>'NKC2-%'!U56*100</f>
        <v>0</v>
      </c>
      <c r="O46" s="109">
        <f>'NKC2-%'!V56*100</f>
        <v>0</v>
      </c>
      <c r="P46" s="109">
        <f>'NKC2-%'!W56*100</f>
        <v>0</v>
      </c>
      <c r="Q46" s="109">
        <f>'NKC2-%'!X56*100</f>
        <v>0</v>
      </c>
      <c r="R46" s="109">
        <f>'NKC2-%'!Y56*100</f>
        <v>0</v>
      </c>
      <c r="S46" s="109">
        <f>'NKC2-%'!Z56*100</f>
        <v>0</v>
      </c>
      <c r="T46" s="109">
        <f>'NKC2-%'!AA56*100</f>
        <v>0</v>
      </c>
      <c r="U46" s="109">
        <f>'NKC2-%'!AB56*100</f>
        <v>0</v>
      </c>
      <c r="V46" s="109">
        <f>'NKC2-%'!AC56*100</f>
        <v>0</v>
      </c>
      <c r="W46" s="109">
        <f>'NKC2-%'!AD56*100</f>
        <v>0</v>
      </c>
      <c r="X46" s="109">
        <f>'NKC2-%'!AE56*100</f>
        <v>0</v>
      </c>
      <c r="Y46" s="109">
        <f>'NKC2-%'!AF56*100</f>
        <v>0</v>
      </c>
      <c r="Z46" s="109">
        <f>'NKC2-%'!AG56*100</f>
        <v>0</v>
      </c>
      <c r="AA46" s="109">
        <f>'NKC2-%'!AH56*100</f>
        <v>0</v>
      </c>
      <c r="AB46" s="109">
        <f>'NKC2-%'!AI56*100</f>
        <v>0</v>
      </c>
      <c r="AC46" s="109">
        <f>'NKC2-%'!AJ56*100</f>
        <v>0</v>
      </c>
      <c r="AD46" s="109">
        <f>'NKC2-%'!AK56*100</f>
        <v>0</v>
      </c>
      <c r="AE46" s="109">
        <f>'NKC2-%'!AL56*100</f>
        <v>0</v>
      </c>
      <c r="AF46" s="109">
        <f>'NKC2-%'!AM56*100</f>
        <v>0</v>
      </c>
      <c r="AG46" s="109">
        <f>'NKC2-%'!AN56*100</f>
        <v>0</v>
      </c>
      <c r="AH46" s="109">
        <f>'NKC2-%'!AO56*100</f>
        <v>0.50213230545613674</v>
      </c>
      <c r="AI46" s="109">
        <f>'NKC2-%'!AP56*100</f>
        <v>0.50213230545613674</v>
      </c>
      <c r="AJ46" s="109">
        <f>'NKC2-%'!AQ56*100</f>
        <v>0.50213230545613674</v>
      </c>
      <c r="AK46" s="109">
        <f>'NKC2-%'!AR56*100</f>
        <v>0.50213230545613674</v>
      </c>
      <c r="AL46" s="109">
        <f>'NKC2-%'!AS56*100</f>
        <v>0.50213230545613674</v>
      </c>
      <c r="AM46" s="109">
        <f>'NKC2-%'!AT56*100</f>
        <v>0.50213230545613674</v>
      </c>
      <c r="AN46" s="109">
        <f>'NKC2-%'!AU56*100</f>
        <v>0.50213230545613674</v>
      </c>
      <c r="AO46" s="109">
        <f>'NKC2-%'!AV56*100</f>
        <v>2.4099686304596668</v>
      </c>
      <c r="AP46" s="109">
        <f>'NKC2-%'!AW56*100</f>
        <v>2.4099686304596668</v>
      </c>
      <c r="AQ46" s="109">
        <f>'NKC2-%'!AX56*100</f>
        <v>2.4099686304596668</v>
      </c>
      <c r="AR46" s="109">
        <f>'NKC2-%'!AY56*100</f>
        <v>1.90783632500353</v>
      </c>
      <c r="AS46" s="109">
        <f>'NKC2-%'!AZ56*100</f>
        <v>1.90783632500353</v>
      </c>
      <c r="AT46" s="109">
        <f>'NKC2-%'!BA56*100</f>
        <v>1.90783632500353</v>
      </c>
      <c r="AU46" s="109">
        <f>'NKC2-%'!BB56*100</f>
        <v>2.2824356409983819</v>
      </c>
      <c r="AV46" s="109">
        <f>'NKC2-%'!BC56*100</f>
        <v>2.2824356409983819</v>
      </c>
      <c r="AW46" s="109">
        <f>'NKC2-%'!BD56*100</f>
        <v>3.14415628937939</v>
      </c>
      <c r="AX46" s="109">
        <f>'NKC2-%'!BE56*100</f>
        <v>3.6562035023009196</v>
      </c>
      <c r="AY46" s="109">
        <f>'NKC2-%'!BF56*100</f>
        <v>4.7788171815400027</v>
      </c>
      <c r="AZ46" s="109">
        <f>'NKC2-%'!BG56*100</f>
        <v>4.7788171815400027</v>
      </c>
      <c r="BA46" s="109">
        <f>'NKC2-%'!BH56*100</f>
        <v>4.7788171815400027</v>
      </c>
      <c r="BB46" s="109">
        <f>'NKC2-%'!BI56*100</f>
        <v>6.2462348718412546</v>
      </c>
      <c r="BC46" s="109">
        <f>'NKC2-%'!BJ56*100</f>
        <v>6.2462348718412546</v>
      </c>
      <c r="BD46" s="109">
        <f>'NKC2-%'!BK56*100</f>
        <v>7.5900313695403341</v>
      </c>
      <c r="BE46" s="109">
        <f>'NKC2-%'!BL56*100</f>
        <v>6.3099133372365097</v>
      </c>
      <c r="BF46" s="109">
        <f>'NKC2-%'!BM56*100</f>
        <v>5.9353140212416573</v>
      </c>
      <c r="BG46" s="109">
        <f>'NKC2-%'!BN56*100</f>
        <v>6.5160851826265258</v>
      </c>
      <c r="BH46" s="109">
        <f>'NKC2-%'!BO56*100</f>
        <v>5.1722886849274463</v>
      </c>
      <c r="BI46" s="109">
        <f>'NKC2-%'!BP56*100</f>
        <v>3.7665846653800532</v>
      </c>
      <c r="BJ46" s="109">
        <f>'NKC2-%'!BQ56*100</f>
        <v>3.3919853493852017</v>
      </c>
      <c r="BK46" s="109">
        <f>'NKC2-%'!BR56*100</f>
        <v>2.6239145300029061</v>
      </c>
      <c r="BL46" s="109">
        <f>'NKC2-%'!BS56*100</f>
        <v>1.3437964976990806</v>
      </c>
      <c r="BM46" s="109">
        <f>'NKC2-%'!BT56*100</f>
        <v>1.3437964976990806</v>
      </c>
      <c r="BN46" s="109">
        <f>'NKC2-%'!BU56*100</f>
        <v>1.3437964976990806</v>
      </c>
      <c r="BO46" s="109">
        <f>'NKC2-%'!BV56*100</f>
        <v>0</v>
      </c>
      <c r="BP46" s="109">
        <f>'NKC2-%'!BW56*100</f>
        <v>0</v>
      </c>
      <c r="BQ46" s="109">
        <f>'NKC2-%'!BX56*100</f>
        <v>0</v>
      </c>
      <c r="BR46" s="109">
        <f>'NKC2-%'!BY56*100</f>
        <v>0</v>
      </c>
      <c r="BS46" s="109">
        <f>'NKC2-%'!BZ56*100</f>
        <v>0</v>
      </c>
      <c r="BT46" s="109">
        <f>'NKC2-%'!CA56*100</f>
        <v>0</v>
      </c>
      <c r="BU46" s="109">
        <f>'NKC2-%'!CB56*100</f>
        <v>0</v>
      </c>
      <c r="BV46" s="109">
        <f>'NKC2-%'!CC56*100</f>
        <v>0</v>
      </c>
      <c r="BW46" s="109">
        <f>'NKC2-%'!CD56*100</f>
        <v>0</v>
      </c>
      <c r="BX46" s="109">
        <f>'NKC2-%'!CE56*100</f>
        <v>0</v>
      </c>
      <c r="BY46" s="109">
        <f>'NKC2-%'!CF56*100</f>
        <v>0</v>
      </c>
      <c r="BZ46" s="109">
        <f>'NKC2-%'!CG56*100</f>
        <v>0</v>
      </c>
      <c r="CA46" s="109">
        <f>'NKC2-%'!CH56*100</f>
        <v>0</v>
      </c>
      <c r="CB46" s="109">
        <f>'NKC2-%'!CI56*100</f>
        <v>0</v>
      </c>
      <c r="CC46" s="109">
        <f>'NKC2-%'!CJ56*100</f>
        <v>0</v>
      </c>
      <c r="CD46" s="109">
        <f>'NKC2-%'!CK56*100</f>
        <v>0</v>
      </c>
      <c r="CE46" s="109">
        <f>'NKC2-%'!CL56*100</f>
        <v>0</v>
      </c>
      <c r="CF46" s="109">
        <f>'NKC2-%'!CM56*100</f>
        <v>0</v>
      </c>
      <c r="CG46" s="109">
        <f>'NKC2-%'!CN56*100</f>
        <v>0</v>
      </c>
      <c r="CH46" s="109">
        <f>'NKC2-%'!CO56*100</f>
        <v>0</v>
      </c>
      <c r="CI46" s="109">
        <f>'NKC2-%'!CP56*100</f>
        <v>0</v>
      </c>
    </row>
    <row r="47" spans="1:87" x14ac:dyDescent="0.45">
      <c r="A47" s="266" t="str">
        <f>'NKC2-%'!B57</f>
        <v>1.4.1</v>
      </c>
      <c r="B47" t="str">
        <f>'NKC2-%'!D57</f>
        <v>Architectural  |  MEP</v>
      </c>
      <c r="C47" s="104">
        <f>'NKC2-%'!F57</f>
        <v>69821579.855337858</v>
      </c>
      <c r="D47" s="87" t="str">
        <f>'NKC2-%'!G57</f>
        <v>A</v>
      </c>
      <c r="E47" s="109">
        <f>'NKC2-%'!K57*100</f>
        <v>2.008529221824547</v>
      </c>
      <c r="F47" s="109">
        <f>'NKC2-%'!M57*100</f>
        <v>0</v>
      </c>
      <c r="G47" s="109">
        <f>'NKC2-%'!N57*100</f>
        <v>0</v>
      </c>
      <c r="H47" s="109">
        <f>'NKC2-%'!O57*100</f>
        <v>0</v>
      </c>
      <c r="I47" s="109">
        <f>'NKC2-%'!P57*100</f>
        <v>0</v>
      </c>
      <c r="J47" s="109">
        <f>'NKC2-%'!Q57*100</f>
        <v>0</v>
      </c>
      <c r="K47" s="109">
        <f>'NKC2-%'!R57*100</f>
        <v>0</v>
      </c>
      <c r="L47" s="109">
        <f>'NKC2-%'!S57*100</f>
        <v>0</v>
      </c>
      <c r="M47" s="109">
        <f>'NKC2-%'!T57*100</f>
        <v>0</v>
      </c>
      <c r="N47" s="109">
        <f>'NKC2-%'!U57*100</f>
        <v>0</v>
      </c>
      <c r="O47" s="109">
        <f>'NKC2-%'!V57*100</f>
        <v>0</v>
      </c>
      <c r="P47" s="109">
        <f>'NKC2-%'!W57*100</f>
        <v>0</v>
      </c>
      <c r="Q47" s="109">
        <f>'NKC2-%'!X57*100</f>
        <v>0</v>
      </c>
      <c r="R47" s="109">
        <f>'NKC2-%'!Y57*100</f>
        <v>0</v>
      </c>
      <c r="S47" s="109">
        <f>'NKC2-%'!Z57*100</f>
        <v>0</v>
      </c>
      <c r="T47" s="109">
        <f>'NKC2-%'!AA57*100</f>
        <v>0</v>
      </c>
      <c r="U47" s="109">
        <f>'NKC2-%'!AB57*100</f>
        <v>0</v>
      </c>
      <c r="V47" s="109">
        <f>'NKC2-%'!AC57*100</f>
        <v>0</v>
      </c>
      <c r="W47" s="109">
        <f>'NKC2-%'!AD57*100</f>
        <v>0</v>
      </c>
      <c r="X47" s="109">
        <f>'NKC2-%'!AE57*100</f>
        <v>0</v>
      </c>
      <c r="Y47" s="109">
        <f>'NKC2-%'!AF57*100</f>
        <v>0</v>
      </c>
      <c r="Z47" s="109">
        <f>'NKC2-%'!AG57*100</f>
        <v>0</v>
      </c>
      <c r="AA47" s="109">
        <f>'NKC2-%'!AH57*100</f>
        <v>0</v>
      </c>
      <c r="AB47" s="109">
        <f>'NKC2-%'!AI57*100</f>
        <v>0</v>
      </c>
      <c r="AC47" s="109">
        <f>'NKC2-%'!AJ57*100</f>
        <v>0</v>
      </c>
      <c r="AD47" s="109">
        <f>'NKC2-%'!AK57*100</f>
        <v>0</v>
      </c>
      <c r="AE47" s="109">
        <f>'NKC2-%'!AL57*100</f>
        <v>0</v>
      </c>
      <c r="AF47" s="109">
        <f>'NKC2-%'!AM57*100</f>
        <v>0</v>
      </c>
      <c r="AG47" s="109">
        <f>'NKC2-%'!AN57*100</f>
        <v>0</v>
      </c>
      <c r="AH47" s="109">
        <f>'NKC2-%'!AO57*100</f>
        <v>0</v>
      </c>
      <c r="AI47" s="109">
        <f>'NKC2-%'!AP57*100</f>
        <v>0</v>
      </c>
      <c r="AJ47" s="109">
        <f>'NKC2-%'!AQ57*100</f>
        <v>0</v>
      </c>
      <c r="AK47" s="109">
        <f>'NKC2-%'!AR57*100</f>
        <v>0</v>
      </c>
      <c r="AL47" s="109">
        <f>'NKC2-%'!AS57*100</f>
        <v>1.0042646109122735</v>
      </c>
      <c r="AM47" s="109">
        <f>'NKC2-%'!AT57*100</f>
        <v>1.0042646109122735</v>
      </c>
      <c r="AN47" s="109">
        <f>'NKC2-%'!AU57*100</f>
        <v>0</v>
      </c>
      <c r="AO47" s="109">
        <f>'NKC2-%'!AV57*100</f>
        <v>0</v>
      </c>
      <c r="AP47" s="109">
        <f>'NKC2-%'!AW57*100</f>
        <v>0</v>
      </c>
      <c r="AQ47" s="109">
        <f>'NKC2-%'!AX57*100</f>
        <v>0</v>
      </c>
      <c r="AR47" s="109">
        <f>'NKC2-%'!AY57*100</f>
        <v>0</v>
      </c>
      <c r="AS47" s="109">
        <f>'NKC2-%'!AZ57*100</f>
        <v>0</v>
      </c>
      <c r="AT47" s="109">
        <f>'NKC2-%'!BA57*100</f>
        <v>0</v>
      </c>
      <c r="AU47" s="109">
        <f>'NKC2-%'!BB57*100</f>
        <v>0</v>
      </c>
      <c r="AV47" s="109">
        <f>'NKC2-%'!BC57*100</f>
        <v>0</v>
      </c>
      <c r="AW47" s="109">
        <f>'NKC2-%'!BD57*100</f>
        <v>0</v>
      </c>
      <c r="AX47" s="109">
        <f>'NKC2-%'!BE57*100</f>
        <v>0</v>
      </c>
      <c r="AY47" s="109">
        <f>'NKC2-%'!BF57*100</f>
        <v>0</v>
      </c>
      <c r="AZ47" s="109">
        <f>'NKC2-%'!BG57*100</f>
        <v>0</v>
      </c>
      <c r="BA47" s="109">
        <f>'NKC2-%'!BH57*100</f>
        <v>0</v>
      </c>
      <c r="BB47" s="109">
        <f>'NKC2-%'!BI57*100</f>
        <v>0</v>
      </c>
      <c r="BC47" s="109">
        <f>'NKC2-%'!BJ57*100</f>
        <v>0</v>
      </c>
      <c r="BD47" s="109">
        <f>'NKC2-%'!BK57*100</f>
        <v>0</v>
      </c>
      <c r="BE47" s="109">
        <f>'NKC2-%'!BL57*100</f>
        <v>0</v>
      </c>
      <c r="BF47" s="109">
        <f>'NKC2-%'!BM57*100</f>
        <v>0</v>
      </c>
      <c r="BG47" s="109">
        <f>'NKC2-%'!BN57*100</f>
        <v>0</v>
      </c>
      <c r="BH47" s="109">
        <f>'NKC2-%'!BO57*100</f>
        <v>0</v>
      </c>
      <c r="BI47" s="109">
        <f>'NKC2-%'!BP57*100</f>
        <v>0</v>
      </c>
      <c r="BJ47" s="109">
        <f>'NKC2-%'!BQ57*100</f>
        <v>0</v>
      </c>
      <c r="BK47" s="109">
        <f>'NKC2-%'!BR57*100</f>
        <v>0</v>
      </c>
      <c r="BL47" s="109">
        <f>'NKC2-%'!BS57*100</f>
        <v>0</v>
      </c>
      <c r="BM47" s="109">
        <f>'NKC2-%'!BT57*100</f>
        <v>0</v>
      </c>
      <c r="BN47" s="109">
        <f>'NKC2-%'!BU57*100</f>
        <v>0</v>
      </c>
      <c r="BO47" s="109">
        <f>'NKC2-%'!BV57*100</f>
        <v>0</v>
      </c>
      <c r="BP47" s="109">
        <f>'NKC2-%'!BW57*100</f>
        <v>0</v>
      </c>
      <c r="BQ47" s="109">
        <f>'NKC2-%'!BX57*100</f>
        <v>0</v>
      </c>
      <c r="BR47" s="109">
        <f>'NKC2-%'!BY57*100</f>
        <v>0</v>
      </c>
      <c r="BS47" s="109">
        <f>'NKC2-%'!BZ57*100</f>
        <v>0</v>
      </c>
      <c r="BT47" s="109">
        <f>'NKC2-%'!CA57*100</f>
        <v>0</v>
      </c>
      <c r="BU47" s="109">
        <f>'NKC2-%'!CB57*100</f>
        <v>0</v>
      </c>
      <c r="BV47" s="109">
        <f>'NKC2-%'!CC57*100</f>
        <v>0</v>
      </c>
      <c r="BW47" s="109">
        <f>'NKC2-%'!CD57*100</f>
        <v>0</v>
      </c>
      <c r="BX47" s="109">
        <f>'NKC2-%'!CE57*100</f>
        <v>0</v>
      </c>
      <c r="BY47" s="109">
        <f>'NKC2-%'!CF57*100</f>
        <v>0</v>
      </c>
      <c r="BZ47" s="109">
        <f>'NKC2-%'!CG57*100</f>
        <v>0</v>
      </c>
      <c r="CA47" s="109">
        <f>'NKC2-%'!CH57*100</f>
        <v>0</v>
      </c>
      <c r="CB47" s="109">
        <f>'NKC2-%'!CI57*100</f>
        <v>0</v>
      </c>
      <c r="CC47" s="109">
        <f>'NKC2-%'!CJ57*100</f>
        <v>0</v>
      </c>
      <c r="CD47" s="109">
        <f>'NKC2-%'!CK57*100</f>
        <v>0</v>
      </c>
      <c r="CE47" s="109">
        <f>'NKC2-%'!CL57*100</f>
        <v>0</v>
      </c>
      <c r="CF47" s="109">
        <f>'NKC2-%'!CM57*100</f>
        <v>0</v>
      </c>
      <c r="CG47" s="109">
        <f>'NKC2-%'!CN57*100</f>
        <v>0</v>
      </c>
      <c r="CH47" s="109">
        <f>'NKC2-%'!CO57*100</f>
        <v>0</v>
      </c>
      <c r="CI47" s="109">
        <f>'NKC2-%'!CP57*100</f>
        <v>0</v>
      </c>
    </row>
    <row r="48" spans="1:87" x14ac:dyDescent="0.45">
      <c r="A48" s="266" t="str">
        <f>'NKC2-%'!B58</f>
        <v>1.4.1.1</v>
      </c>
      <c r="B48" t="str">
        <f>'NKC2-%'!D58</f>
        <v xml:space="preserve">            Roof</v>
      </c>
      <c r="C48" s="104">
        <f>'NKC2-%'!F58</f>
        <v>7011934.1726701101</v>
      </c>
      <c r="D48" s="87" t="str">
        <f>'NKC2-%'!G58</f>
        <v>P</v>
      </c>
      <c r="E48" s="109">
        <f>'NKC2-%'!K58*100</f>
        <v>100.00000000000003</v>
      </c>
      <c r="F48" s="109">
        <f>'NKC2-%'!M58*100</f>
        <v>0</v>
      </c>
      <c r="G48" s="109">
        <f>'NKC2-%'!N58*100</f>
        <v>0</v>
      </c>
      <c r="H48" s="109">
        <f>'NKC2-%'!O58*100</f>
        <v>0</v>
      </c>
      <c r="I48" s="109">
        <f>'NKC2-%'!P58*100</f>
        <v>0</v>
      </c>
      <c r="J48" s="109">
        <f>'NKC2-%'!Q58*100</f>
        <v>0</v>
      </c>
      <c r="K48" s="109">
        <f>'NKC2-%'!R58*100</f>
        <v>0</v>
      </c>
      <c r="L48" s="109">
        <f>'NKC2-%'!S58*100</f>
        <v>0</v>
      </c>
      <c r="M48" s="109">
        <f>'NKC2-%'!T58*100</f>
        <v>0</v>
      </c>
      <c r="N48" s="109">
        <f>'NKC2-%'!U58*100</f>
        <v>0</v>
      </c>
      <c r="O48" s="109">
        <f>'NKC2-%'!V58*100</f>
        <v>0</v>
      </c>
      <c r="P48" s="109">
        <f>'NKC2-%'!W58*100</f>
        <v>0</v>
      </c>
      <c r="Q48" s="109">
        <f>'NKC2-%'!X58*100</f>
        <v>0</v>
      </c>
      <c r="R48" s="109">
        <f>'NKC2-%'!Y58*100</f>
        <v>0</v>
      </c>
      <c r="S48" s="109">
        <f>'NKC2-%'!Z58*100</f>
        <v>0</v>
      </c>
      <c r="T48" s="109">
        <f>'NKC2-%'!AA58*100</f>
        <v>0</v>
      </c>
      <c r="U48" s="109">
        <f>'NKC2-%'!AB58*100</f>
        <v>0</v>
      </c>
      <c r="V48" s="109">
        <f>'NKC2-%'!AC58*100</f>
        <v>0</v>
      </c>
      <c r="W48" s="109">
        <f>'NKC2-%'!AD58*100</f>
        <v>0</v>
      </c>
      <c r="X48" s="109">
        <f>'NKC2-%'!AE58*100</f>
        <v>0</v>
      </c>
      <c r="Y48" s="109">
        <f>'NKC2-%'!AF58*100</f>
        <v>0</v>
      </c>
      <c r="Z48" s="109">
        <f>'NKC2-%'!AG58*100</f>
        <v>0</v>
      </c>
      <c r="AA48" s="109">
        <f>'NKC2-%'!AH58*100</f>
        <v>0</v>
      </c>
      <c r="AB48" s="109">
        <f>'NKC2-%'!AI58*100</f>
        <v>0</v>
      </c>
      <c r="AC48" s="109">
        <f>'NKC2-%'!AJ58*100</f>
        <v>0</v>
      </c>
      <c r="AD48" s="109">
        <f>'NKC2-%'!AK58*100</f>
        <v>0</v>
      </c>
      <c r="AE48" s="109">
        <f>'NKC2-%'!AL58*100</f>
        <v>0</v>
      </c>
      <c r="AF48" s="109">
        <f>'NKC2-%'!AM58*100</f>
        <v>0</v>
      </c>
      <c r="AG48" s="109">
        <f>'NKC2-%'!AN58*100</f>
        <v>0</v>
      </c>
      <c r="AH48" s="109">
        <f>'NKC2-%'!AO58*100</f>
        <v>5</v>
      </c>
      <c r="AI48" s="109">
        <f>'NKC2-%'!AP58*100</f>
        <v>5</v>
      </c>
      <c r="AJ48" s="109">
        <f>'NKC2-%'!AQ58*100</f>
        <v>5</v>
      </c>
      <c r="AK48" s="109">
        <f>'NKC2-%'!AR58*100</f>
        <v>5</v>
      </c>
      <c r="AL48" s="109">
        <f>'NKC2-%'!AS58*100</f>
        <v>5</v>
      </c>
      <c r="AM48" s="109">
        <f>'NKC2-%'!AT58*100</f>
        <v>5</v>
      </c>
      <c r="AN48" s="109">
        <f>'NKC2-%'!AU58*100</f>
        <v>5</v>
      </c>
      <c r="AO48" s="109">
        <f>'NKC2-%'!AV58*100</f>
        <v>10</v>
      </c>
      <c r="AP48" s="109">
        <f>'NKC2-%'!AW58*100</f>
        <v>10</v>
      </c>
      <c r="AQ48" s="109">
        <f>'NKC2-%'!AX58*100</f>
        <v>10</v>
      </c>
      <c r="AR48" s="109">
        <f>'NKC2-%'!AY58*100</f>
        <v>5</v>
      </c>
      <c r="AS48" s="109">
        <f>'NKC2-%'!AZ58*100</f>
        <v>5</v>
      </c>
      <c r="AT48" s="109">
        <f>'NKC2-%'!BA58*100</f>
        <v>5</v>
      </c>
      <c r="AU48" s="109">
        <f>'NKC2-%'!BB58*100</f>
        <v>5</v>
      </c>
      <c r="AV48" s="109">
        <f>'NKC2-%'!BC58*100</f>
        <v>5</v>
      </c>
      <c r="AW48" s="109">
        <f>'NKC2-%'!BD58*100</f>
        <v>5</v>
      </c>
      <c r="AX48" s="109">
        <f>'NKC2-%'!BE58*100</f>
        <v>5</v>
      </c>
      <c r="AY48" s="109">
        <f>'NKC2-%'!BF58*100</f>
        <v>0</v>
      </c>
      <c r="AZ48" s="109">
        <f>'NKC2-%'!BG58*100</f>
        <v>0</v>
      </c>
      <c r="BA48" s="109">
        <f>'NKC2-%'!BH58*100</f>
        <v>0</v>
      </c>
      <c r="BB48" s="109">
        <f>'NKC2-%'!BI58*100</f>
        <v>0</v>
      </c>
      <c r="BC48" s="109">
        <f>'NKC2-%'!BJ58*100</f>
        <v>0</v>
      </c>
      <c r="BD48" s="109">
        <f>'NKC2-%'!BK58*100</f>
        <v>0</v>
      </c>
      <c r="BE48" s="109">
        <f>'NKC2-%'!BL58*100</f>
        <v>0</v>
      </c>
      <c r="BF48" s="109">
        <f>'NKC2-%'!BM58*100</f>
        <v>0</v>
      </c>
      <c r="BG48" s="109">
        <f>'NKC2-%'!BN58*100</f>
        <v>0</v>
      </c>
      <c r="BH48" s="109">
        <f>'NKC2-%'!BO58*100</f>
        <v>0</v>
      </c>
      <c r="BI48" s="109">
        <f>'NKC2-%'!BP58*100</f>
        <v>0</v>
      </c>
      <c r="BJ48" s="109">
        <f>'NKC2-%'!BQ58*100</f>
        <v>0</v>
      </c>
      <c r="BK48" s="109">
        <f>'NKC2-%'!BR58*100</f>
        <v>0</v>
      </c>
      <c r="BL48" s="109">
        <f>'NKC2-%'!BS58*100</f>
        <v>0</v>
      </c>
      <c r="BM48" s="109">
        <f>'NKC2-%'!BT58*100</f>
        <v>0</v>
      </c>
      <c r="BN48" s="109">
        <f>'NKC2-%'!BU58*100</f>
        <v>0</v>
      </c>
      <c r="BO48" s="109">
        <f>'NKC2-%'!BV58*100</f>
        <v>0</v>
      </c>
      <c r="BP48" s="109">
        <f>'NKC2-%'!BW58*100</f>
        <v>0</v>
      </c>
      <c r="BQ48" s="109">
        <f>'NKC2-%'!BX58*100</f>
        <v>0</v>
      </c>
      <c r="BR48" s="109">
        <f>'NKC2-%'!BY58*100</f>
        <v>0</v>
      </c>
      <c r="BS48" s="109">
        <f>'NKC2-%'!BZ58*100</f>
        <v>0</v>
      </c>
      <c r="BT48" s="109">
        <f>'NKC2-%'!CA58*100</f>
        <v>0</v>
      </c>
      <c r="BU48" s="109">
        <f>'NKC2-%'!CB58*100</f>
        <v>0</v>
      </c>
      <c r="BV48" s="109">
        <f>'NKC2-%'!CC58*100</f>
        <v>0</v>
      </c>
      <c r="BW48" s="109">
        <f>'NKC2-%'!CD58*100</f>
        <v>0</v>
      </c>
      <c r="BX48" s="109">
        <f>'NKC2-%'!CE58*100</f>
        <v>0</v>
      </c>
      <c r="BY48" s="109">
        <f>'NKC2-%'!CF58*100</f>
        <v>0</v>
      </c>
      <c r="BZ48" s="109">
        <f>'NKC2-%'!CG58*100</f>
        <v>0</v>
      </c>
      <c r="CA48" s="109">
        <f>'NKC2-%'!CH58*100</f>
        <v>0</v>
      </c>
      <c r="CB48" s="109">
        <f>'NKC2-%'!CI58*100</f>
        <v>0</v>
      </c>
      <c r="CC48" s="109">
        <f>'NKC2-%'!CJ58*100</f>
        <v>0</v>
      </c>
      <c r="CD48" s="109">
        <f>'NKC2-%'!CK58*100</f>
        <v>0</v>
      </c>
      <c r="CE48" s="109">
        <f>'NKC2-%'!CL58*100</f>
        <v>0</v>
      </c>
      <c r="CF48" s="109">
        <f>'NKC2-%'!CM58*100</f>
        <v>0</v>
      </c>
      <c r="CG48" s="109">
        <f>'NKC2-%'!CN58*100</f>
        <v>0</v>
      </c>
      <c r="CH48" s="109">
        <f>'NKC2-%'!CO58*100</f>
        <v>0</v>
      </c>
      <c r="CI48" s="109">
        <f>'NKC2-%'!CP58*100</f>
        <v>0</v>
      </c>
    </row>
    <row r="49" spans="1:87" x14ac:dyDescent="0.45">
      <c r="A49" s="266" t="str">
        <f>'NKC2-%'!B59</f>
        <v>1.4.1.1</v>
      </c>
      <c r="B49" t="str">
        <f>'NKC2-%'!D59</f>
        <v xml:space="preserve">            Roof</v>
      </c>
      <c r="C49" s="104">
        <f>'NKC2-%'!F59</f>
        <v>7011934.1726701101</v>
      </c>
      <c r="D49" s="87" t="str">
        <f>'NKC2-%'!G59</f>
        <v>A</v>
      </c>
      <c r="E49" s="109">
        <f>'NKC2-%'!K59*100</f>
        <v>20</v>
      </c>
      <c r="F49" s="109">
        <f>'NKC2-%'!M59*100</f>
        <v>0</v>
      </c>
      <c r="G49" s="109">
        <f>'NKC2-%'!N59*100</f>
        <v>0</v>
      </c>
      <c r="H49" s="109">
        <f>'NKC2-%'!O59*100</f>
        <v>0</v>
      </c>
      <c r="I49" s="109">
        <f>'NKC2-%'!P59*100</f>
        <v>0</v>
      </c>
      <c r="J49" s="109">
        <f>'NKC2-%'!Q59*100</f>
        <v>0</v>
      </c>
      <c r="K49" s="109">
        <f>'NKC2-%'!R59*100</f>
        <v>0</v>
      </c>
      <c r="L49" s="109">
        <f>'NKC2-%'!S59*100</f>
        <v>0</v>
      </c>
      <c r="M49" s="109">
        <f>'NKC2-%'!T59*100</f>
        <v>0</v>
      </c>
      <c r="N49" s="109">
        <f>'NKC2-%'!U59*100</f>
        <v>0</v>
      </c>
      <c r="O49" s="109">
        <f>'NKC2-%'!V59*100</f>
        <v>0</v>
      </c>
      <c r="P49" s="109">
        <f>'NKC2-%'!W59*100</f>
        <v>0</v>
      </c>
      <c r="Q49" s="109">
        <f>'NKC2-%'!X59*100</f>
        <v>0</v>
      </c>
      <c r="R49" s="109">
        <f>'NKC2-%'!Y59*100</f>
        <v>0</v>
      </c>
      <c r="S49" s="109">
        <f>'NKC2-%'!Z59*100</f>
        <v>0</v>
      </c>
      <c r="T49" s="109">
        <f>'NKC2-%'!AA59*100</f>
        <v>0</v>
      </c>
      <c r="U49" s="109">
        <f>'NKC2-%'!AB59*100</f>
        <v>0</v>
      </c>
      <c r="V49" s="109">
        <f>'NKC2-%'!AC59*100</f>
        <v>0</v>
      </c>
      <c r="W49" s="109">
        <f>'NKC2-%'!AD59*100</f>
        <v>0</v>
      </c>
      <c r="X49" s="109">
        <f>'NKC2-%'!AE59*100</f>
        <v>0</v>
      </c>
      <c r="Y49" s="109">
        <f>'NKC2-%'!AF59*100</f>
        <v>0</v>
      </c>
      <c r="Z49" s="109">
        <f>'NKC2-%'!AG59*100</f>
        <v>0</v>
      </c>
      <c r="AA49" s="109">
        <f>'NKC2-%'!AH59*100</f>
        <v>0</v>
      </c>
      <c r="AB49" s="109">
        <f>'NKC2-%'!AI59*100</f>
        <v>0</v>
      </c>
      <c r="AC49" s="109">
        <f>'NKC2-%'!AJ59*100</f>
        <v>0</v>
      </c>
      <c r="AD49" s="109">
        <f>'NKC2-%'!AK59*100</f>
        <v>0</v>
      </c>
      <c r="AE49" s="109">
        <f>'NKC2-%'!AL59*100</f>
        <v>0</v>
      </c>
      <c r="AF49" s="109">
        <f>'NKC2-%'!AM59*100</f>
        <v>0</v>
      </c>
      <c r="AG49" s="109">
        <f>'NKC2-%'!AN59*100</f>
        <v>0</v>
      </c>
      <c r="AH49" s="109">
        <f>'NKC2-%'!AO59*100</f>
        <v>0</v>
      </c>
      <c r="AI49" s="109">
        <f>'NKC2-%'!AP59*100</f>
        <v>0</v>
      </c>
      <c r="AJ49" s="109">
        <f>'NKC2-%'!AQ59*100</f>
        <v>0</v>
      </c>
      <c r="AK49" s="109">
        <f>'NKC2-%'!AR59*100</f>
        <v>0</v>
      </c>
      <c r="AL49" s="109">
        <f>'NKC2-%'!AS59*100</f>
        <v>10</v>
      </c>
      <c r="AM49" s="109">
        <f>'NKC2-%'!AT59*100</f>
        <v>10</v>
      </c>
      <c r="AN49" s="109">
        <f>'NKC2-%'!AU59*100</f>
        <v>0</v>
      </c>
      <c r="AO49" s="109">
        <f>'NKC2-%'!AV59*100</f>
        <v>0</v>
      </c>
      <c r="AP49" s="109">
        <f>'NKC2-%'!AW59*100</f>
        <v>0</v>
      </c>
      <c r="AQ49" s="109">
        <f>'NKC2-%'!AX59*100</f>
        <v>0</v>
      </c>
      <c r="AR49" s="109">
        <f>'NKC2-%'!AY59*100</f>
        <v>0</v>
      </c>
      <c r="AS49" s="109">
        <f>'NKC2-%'!AZ59*100</f>
        <v>0</v>
      </c>
      <c r="AT49" s="109">
        <f>'NKC2-%'!BA59*100</f>
        <v>0</v>
      </c>
      <c r="AU49" s="109">
        <f>'NKC2-%'!BB59*100</f>
        <v>0</v>
      </c>
      <c r="AV49" s="109">
        <f>'NKC2-%'!BC59*100</f>
        <v>0</v>
      </c>
      <c r="AW49" s="109">
        <f>'NKC2-%'!BD59*100</f>
        <v>0</v>
      </c>
      <c r="AX49" s="109">
        <f>'NKC2-%'!BE59*100</f>
        <v>0</v>
      </c>
      <c r="AY49" s="109">
        <f>'NKC2-%'!BF59*100</f>
        <v>0</v>
      </c>
      <c r="AZ49" s="109">
        <f>'NKC2-%'!BG59*100</f>
        <v>0</v>
      </c>
      <c r="BA49" s="109">
        <f>'NKC2-%'!BH59*100</f>
        <v>0</v>
      </c>
      <c r="BB49" s="109">
        <f>'NKC2-%'!BI59*100</f>
        <v>0</v>
      </c>
      <c r="BC49" s="109">
        <f>'NKC2-%'!BJ59*100</f>
        <v>0</v>
      </c>
      <c r="BD49" s="109">
        <f>'NKC2-%'!BK59*100</f>
        <v>0</v>
      </c>
      <c r="BE49" s="109">
        <f>'NKC2-%'!BL59*100</f>
        <v>0</v>
      </c>
      <c r="BF49" s="109">
        <f>'NKC2-%'!BM59*100</f>
        <v>0</v>
      </c>
      <c r="BG49" s="109">
        <f>'NKC2-%'!BN59*100</f>
        <v>0</v>
      </c>
      <c r="BH49" s="109">
        <f>'NKC2-%'!BO59*100</f>
        <v>0</v>
      </c>
      <c r="BI49" s="109">
        <f>'NKC2-%'!BP59*100</f>
        <v>0</v>
      </c>
      <c r="BJ49" s="109">
        <f>'NKC2-%'!BQ59*100</f>
        <v>0</v>
      </c>
      <c r="BK49" s="109">
        <f>'NKC2-%'!BR59*100</f>
        <v>0</v>
      </c>
      <c r="BL49" s="109">
        <f>'NKC2-%'!BS59*100</f>
        <v>0</v>
      </c>
      <c r="BM49" s="109">
        <f>'NKC2-%'!BT59*100</f>
        <v>0</v>
      </c>
      <c r="BN49" s="109">
        <f>'NKC2-%'!BU59*100</f>
        <v>0</v>
      </c>
      <c r="BO49" s="109">
        <f>'NKC2-%'!BV59*100</f>
        <v>0</v>
      </c>
      <c r="BP49" s="109">
        <f>'NKC2-%'!BW59*100</f>
        <v>0</v>
      </c>
      <c r="BQ49" s="109">
        <f>'NKC2-%'!BX59*100</f>
        <v>0</v>
      </c>
      <c r="BR49" s="109">
        <f>'NKC2-%'!BY59*100</f>
        <v>0</v>
      </c>
      <c r="BS49" s="109">
        <f>'NKC2-%'!BZ59*100</f>
        <v>0</v>
      </c>
      <c r="BT49" s="109">
        <f>'NKC2-%'!CA59*100</f>
        <v>0</v>
      </c>
      <c r="BU49" s="109">
        <f>'NKC2-%'!CB59*100</f>
        <v>0</v>
      </c>
      <c r="BV49" s="109">
        <f>'NKC2-%'!CC59*100</f>
        <v>0</v>
      </c>
      <c r="BW49" s="109">
        <f>'NKC2-%'!CD59*100</f>
        <v>0</v>
      </c>
      <c r="BX49" s="109">
        <f>'NKC2-%'!CE59*100</f>
        <v>0</v>
      </c>
      <c r="BY49" s="109">
        <f>'NKC2-%'!CF59*100</f>
        <v>0</v>
      </c>
      <c r="BZ49" s="109">
        <f>'NKC2-%'!CG59*100</f>
        <v>0</v>
      </c>
      <c r="CA49" s="109">
        <f>'NKC2-%'!CH59*100</f>
        <v>0</v>
      </c>
      <c r="CB49" s="109">
        <f>'NKC2-%'!CI59*100</f>
        <v>0</v>
      </c>
      <c r="CC49" s="109">
        <f>'NKC2-%'!CJ59*100</f>
        <v>0</v>
      </c>
      <c r="CD49" s="109">
        <f>'NKC2-%'!CK59*100</f>
        <v>0</v>
      </c>
      <c r="CE49" s="109">
        <f>'NKC2-%'!CL59*100</f>
        <v>0</v>
      </c>
      <c r="CF49" s="109">
        <f>'NKC2-%'!CM59*100</f>
        <v>0</v>
      </c>
      <c r="CG49" s="109">
        <f>'NKC2-%'!CN59*100</f>
        <v>0</v>
      </c>
      <c r="CH49" s="109">
        <f>'NKC2-%'!CO59*100</f>
        <v>0</v>
      </c>
      <c r="CI49" s="109">
        <f>'NKC2-%'!CP59*100</f>
        <v>0</v>
      </c>
    </row>
    <row r="50" spans="1:87" x14ac:dyDescent="0.45">
      <c r="A50" s="266" t="str">
        <f>'NKC2-%'!B60</f>
        <v>1.4.1.2</v>
      </c>
      <c r="B50" t="str">
        <f>'NKC2-%'!D60</f>
        <v xml:space="preserve">            3rd Floor</v>
      </c>
      <c r="C50" s="104">
        <f>'NKC2-%'!F60</f>
        <v>18765198.894683938</v>
      </c>
      <c r="D50" s="87" t="str">
        <f>'NKC2-%'!G60</f>
        <v>P</v>
      </c>
      <c r="E50" s="109">
        <f>'NKC2-%'!K60*100</f>
        <v>100.00000000000003</v>
      </c>
      <c r="F50" s="109">
        <f>'NKC2-%'!M60*100</f>
        <v>0</v>
      </c>
      <c r="G50" s="109">
        <f>'NKC2-%'!N60*100</f>
        <v>0</v>
      </c>
      <c r="H50" s="109">
        <f>'NKC2-%'!O60*100</f>
        <v>0</v>
      </c>
      <c r="I50" s="109">
        <f>'NKC2-%'!P60*100</f>
        <v>0</v>
      </c>
      <c r="J50" s="109">
        <f>'NKC2-%'!Q60*100</f>
        <v>0</v>
      </c>
      <c r="K50" s="109">
        <f>'NKC2-%'!R60*100</f>
        <v>0</v>
      </c>
      <c r="L50" s="109">
        <f>'NKC2-%'!S60*100</f>
        <v>0</v>
      </c>
      <c r="M50" s="109">
        <f>'NKC2-%'!T60*100</f>
        <v>0</v>
      </c>
      <c r="N50" s="109">
        <f>'NKC2-%'!U60*100</f>
        <v>0</v>
      </c>
      <c r="O50" s="109">
        <f>'NKC2-%'!V60*100</f>
        <v>0</v>
      </c>
      <c r="P50" s="109">
        <f>'NKC2-%'!W60*100</f>
        <v>0</v>
      </c>
      <c r="Q50" s="109">
        <f>'NKC2-%'!X60*100</f>
        <v>0</v>
      </c>
      <c r="R50" s="109">
        <f>'NKC2-%'!Y60*100</f>
        <v>0</v>
      </c>
      <c r="S50" s="109">
        <f>'NKC2-%'!Z60*100</f>
        <v>0</v>
      </c>
      <c r="T50" s="109">
        <f>'NKC2-%'!AA60*100</f>
        <v>0</v>
      </c>
      <c r="U50" s="109">
        <f>'NKC2-%'!AB60*100</f>
        <v>0</v>
      </c>
      <c r="V50" s="109">
        <f>'NKC2-%'!AC60*100</f>
        <v>0</v>
      </c>
      <c r="W50" s="109">
        <f>'NKC2-%'!AD60*100</f>
        <v>0</v>
      </c>
      <c r="X50" s="109">
        <f>'NKC2-%'!AE60*100</f>
        <v>0</v>
      </c>
      <c r="Y50" s="109">
        <f>'NKC2-%'!AF60*100</f>
        <v>0</v>
      </c>
      <c r="Z50" s="109">
        <f>'NKC2-%'!AG60*100</f>
        <v>0</v>
      </c>
      <c r="AA50" s="109">
        <f>'NKC2-%'!AH60*100</f>
        <v>0</v>
      </c>
      <c r="AB50" s="109">
        <f>'NKC2-%'!AI60*100</f>
        <v>0</v>
      </c>
      <c r="AC50" s="109">
        <f>'NKC2-%'!AJ60*100</f>
        <v>0</v>
      </c>
      <c r="AD50" s="109">
        <f>'NKC2-%'!AK60*100</f>
        <v>0</v>
      </c>
      <c r="AE50" s="109">
        <f>'NKC2-%'!AL60*100</f>
        <v>0</v>
      </c>
      <c r="AF50" s="109">
        <f>'NKC2-%'!AM60*100</f>
        <v>0</v>
      </c>
      <c r="AG50" s="109">
        <f>'NKC2-%'!AN60*100</f>
        <v>0</v>
      </c>
      <c r="AH50" s="109">
        <f>'NKC2-%'!AO60*100</f>
        <v>0</v>
      </c>
      <c r="AI50" s="109">
        <f>'NKC2-%'!AP60*100</f>
        <v>0</v>
      </c>
      <c r="AJ50" s="109">
        <f>'NKC2-%'!AQ60*100</f>
        <v>0</v>
      </c>
      <c r="AK50" s="109">
        <f>'NKC2-%'!AR60*100</f>
        <v>0</v>
      </c>
      <c r="AL50" s="109">
        <f>'NKC2-%'!AS60*100</f>
        <v>0</v>
      </c>
      <c r="AM50" s="109">
        <f>'NKC2-%'!AT60*100</f>
        <v>0</v>
      </c>
      <c r="AN50" s="109">
        <f>'NKC2-%'!AU60*100</f>
        <v>0</v>
      </c>
      <c r="AO50" s="109">
        <f>'NKC2-%'!AV60*100</f>
        <v>0</v>
      </c>
      <c r="AP50" s="109">
        <f>'NKC2-%'!AW60*100</f>
        <v>0</v>
      </c>
      <c r="AQ50" s="109">
        <f>'NKC2-%'!AX60*100</f>
        <v>0</v>
      </c>
      <c r="AR50" s="109">
        <f>'NKC2-%'!AY60*100</f>
        <v>0</v>
      </c>
      <c r="AS50" s="109">
        <f>'NKC2-%'!AZ60*100</f>
        <v>0</v>
      </c>
      <c r="AT50" s="109">
        <f>'NKC2-%'!BA60*100</f>
        <v>0</v>
      </c>
      <c r="AU50" s="109">
        <f>'NKC2-%'!BB60*100</f>
        <v>0</v>
      </c>
      <c r="AV50" s="109">
        <f>'NKC2-%'!BC60*100</f>
        <v>0</v>
      </c>
      <c r="AW50" s="109">
        <f>'NKC2-%'!BD60*100</f>
        <v>0</v>
      </c>
      <c r="AX50" s="109">
        <f>'NKC2-%'!BE60*100</f>
        <v>0</v>
      </c>
      <c r="AY50" s="109">
        <f>'NKC2-%'!BF60*100</f>
        <v>5</v>
      </c>
      <c r="AZ50" s="109">
        <f>'NKC2-%'!BG60*100</f>
        <v>5</v>
      </c>
      <c r="BA50" s="109">
        <f>'NKC2-%'!BH60*100</f>
        <v>5</v>
      </c>
      <c r="BB50" s="109">
        <f>'NKC2-%'!BI60*100</f>
        <v>5</v>
      </c>
      <c r="BC50" s="109">
        <f>'NKC2-%'!BJ60*100</f>
        <v>5</v>
      </c>
      <c r="BD50" s="109">
        <f>'NKC2-%'!BK60*100</f>
        <v>10</v>
      </c>
      <c r="BE50" s="109">
        <f>'NKC2-%'!BL60*100</f>
        <v>10</v>
      </c>
      <c r="BF50" s="109">
        <f>'NKC2-%'!BM60*100</f>
        <v>10</v>
      </c>
      <c r="BG50" s="109">
        <f>'NKC2-%'!BN60*100</f>
        <v>10</v>
      </c>
      <c r="BH50" s="109">
        <f>'NKC2-%'!BO60*100</f>
        <v>5</v>
      </c>
      <c r="BI50" s="109">
        <f>'NKC2-%'!BP60*100</f>
        <v>5</v>
      </c>
      <c r="BJ50" s="109">
        <f>'NKC2-%'!BQ60*100</f>
        <v>5</v>
      </c>
      <c r="BK50" s="109">
        <f>'NKC2-%'!BR60*100</f>
        <v>5</v>
      </c>
      <c r="BL50" s="109">
        <f>'NKC2-%'!BS60*100</f>
        <v>5</v>
      </c>
      <c r="BM50" s="109">
        <f>'NKC2-%'!BT60*100</f>
        <v>5</v>
      </c>
      <c r="BN50" s="109">
        <f>'NKC2-%'!BU60*100</f>
        <v>5</v>
      </c>
      <c r="BO50" s="109">
        <f>'NKC2-%'!BV60*100</f>
        <v>0</v>
      </c>
      <c r="BP50" s="109">
        <f>'NKC2-%'!BW60*100</f>
        <v>0</v>
      </c>
      <c r="BQ50" s="109">
        <f>'NKC2-%'!BX60*100</f>
        <v>0</v>
      </c>
      <c r="BR50" s="109">
        <f>'NKC2-%'!BY60*100</f>
        <v>0</v>
      </c>
      <c r="BS50" s="109">
        <f>'NKC2-%'!BZ60*100</f>
        <v>0</v>
      </c>
      <c r="BT50" s="109">
        <f>'NKC2-%'!CA60*100</f>
        <v>0</v>
      </c>
      <c r="BU50" s="109">
        <f>'NKC2-%'!CB60*100</f>
        <v>0</v>
      </c>
      <c r="BV50" s="109">
        <f>'NKC2-%'!CC60*100</f>
        <v>0</v>
      </c>
      <c r="BW50" s="109">
        <f>'NKC2-%'!CD60*100</f>
        <v>0</v>
      </c>
      <c r="BX50" s="109">
        <f>'NKC2-%'!CE60*100</f>
        <v>0</v>
      </c>
      <c r="BY50" s="109">
        <f>'NKC2-%'!CF60*100</f>
        <v>0</v>
      </c>
      <c r="BZ50" s="109">
        <f>'NKC2-%'!CG60*100</f>
        <v>0</v>
      </c>
      <c r="CA50" s="109">
        <f>'NKC2-%'!CH60*100</f>
        <v>0</v>
      </c>
      <c r="CB50" s="109">
        <f>'NKC2-%'!CI60*100</f>
        <v>0</v>
      </c>
      <c r="CC50" s="109">
        <f>'NKC2-%'!CJ60*100</f>
        <v>0</v>
      </c>
      <c r="CD50" s="109">
        <f>'NKC2-%'!CK60*100</f>
        <v>0</v>
      </c>
      <c r="CE50" s="109">
        <f>'NKC2-%'!CL60*100</f>
        <v>0</v>
      </c>
      <c r="CF50" s="109">
        <f>'NKC2-%'!CM60*100</f>
        <v>0</v>
      </c>
      <c r="CG50" s="109">
        <f>'NKC2-%'!CN60*100</f>
        <v>0</v>
      </c>
      <c r="CH50" s="109">
        <f>'NKC2-%'!CO60*100</f>
        <v>0</v>
      </c>
      <c r="CI50" s="109">
        <f>'NKC2-%'!CP60*100</f>
        <v>0</v>
      </c>
    </row>
    <row r="51" spans="1:87" x14ac:dyDescent="0.45">
      <c r="A51" s="266" t="str">
        <f>'NKC2-%'!B61</f>
        <v>1.4.1.2</v>
      </c>
      <c r="B51" t="str">
        <f>'NKC2-%'!D61</f>
        <v xml:space="preserve">            3rd Floor</v>
      </c>
      <c r="C51" s="104">
        <f>'NKC2-%'!F61</f>
        <v>18765198.894683938</v>
      </c>
      <c r="D51" s="87" t="str">
        <f>'NKC2-%'!G61</f>
        <v>A</v>
      </c>
      <c r="E51" s="109">
        <f>'NKC2-%'!K61*100</f>
        <v>0</v>
      </c>
      <c r="F51" s="109">
        <f>'NKC2-%'!M61*100</f>
        <v>0</v>
      </c>
      <c r="G51" s="109">
        <f>'NKC2-%'!N61*100</f>
        <v>0</v>
      </c>
      <c r="H51" s="109">
        <f>'NKC2-%'!O61*100</f>
        <v>0</v>
      </c>
      <c r="I51" s="109">
        <f>'NKC2-%'!P61*100</f>
        <v>0</v>
      </c>
      <c r="J51" s="109">
        <f>'NKC2-%'!Q61*100</f>
        <v>0</v>
      </c>
      <c r="K51" s="109">
        <f>'NKC2-%'!R61*100</f>
        <v>0</v>
      </c>
      <c r="L51" s="109">
        <f>'NKC2-%'!S61*100</f>
        <v>0</v>
      </c>
      <c r="M51" s="109">
        <f>'NKC2-%'!T61*100</f>
        <v>0</v>
      </c>
      <c r="N51" s="109">
        <f>'NKC2-%'!U61*100</f>
        <v>0</v>
      </c>
      <c r="O51" s="109">
        <f>'NKC2-%'!V61*100</f>
        <v>0</v>
      </c>
      <c r="P51" s="109">
        <f>'NKC2-%'!W61*100</f>
        <v>0</v>
      </c>
      <c r="Q51" s="109">
        <f>'NKC2-%'!X61*100</f>
        <v>0</v>
      </c>
      <c r="R51" s="109">
        <f>'NKC2-%'!Y61*100</f>
        <v>0</v>
      </c>
      <c r="S51" s="109">
        <f>'NKC2-%'!Z61*100</f>
        <v>0</v>
      </c>
      <c r="T51" s="109">
        <f>'NKC2-%'!AA61*100</f>
        <v>0</v>
      </c>
      <c r="U51" s="109">
        <f>'NKC2-%'!AB61*100</f>
        <v>0</v>
      </c>
      <c r="V51" s="109">
        <f>'NKC2-%'!AC61*100</f>
        <v>0</v>
      </c>
      <c r="W51" s="109">
        <f>'NKC2-%'!AD61*100</f>
        <v>0</v>
      </c>
      <c r="X51" s="109">
        <f>'NKC2-%'!AE61*100</f>
        <v>0</v>
      </c>
      <c r="Y51" s="109">
        <f>'NKC2-%'!AF61*100</f>
        <v>0</v>
      </c>
      <c r="Z51" s="109">
        <f>'NKC2-%'!AG61*100</f>
        <v>0</v>
      </c>
      <c r="AA51" s="109">
        <f>'NKC2-%'!AH61*100</f>
        <v>0</v>
      </c>
      <c r="AB51" s="109">
        <f>'NKC2-%'!AI61*100</f>
        <v>0</v>
      </c>
      <c r="AC51" s="109">
        <f>'NKC2-%'!AJ61*100</f>
        <v>0</v>
      </c>
      <c r="AD51" s="109">
        <f>'NKC2-%'!AK61*100</f>
        <v>0</v>
      </c>
      <c r="AE51" s="109">
        <f>'NKC2-%'!AL61*100</f>
        <v>0</v>
      </c>
      <c r="AF51" s="109">
        <f>'NKC2-%'!AM61*100</f>
        <v>0</v>
      </c>
      <c r="AG51" s="109">
        <f>'NKC2-%'!AN61*100</f>
        <v>0</v>
      </c>
      <c r="AH51" s="109">
        <f>'NKC2-%'!AO61*100</f>
        <v>0</v>
      </c>
      <c r="AI51" s="109">
        <f>'NKC2-%'!AP61*100</f>
        <v>0</v>
      </c>
      <c r="AJ51" s="109">
        <f>'NKC2-%'!AQ61*100</f>
        <v>0</v>
      </c>
      <c r="AK51" s="109">
        <f>'NKC2-%'!AR61*100</f>
        <v>0</v>
      </c>
      <c r="AL51" s="109">
        <f>'NKC2-%'!AS61*100</f>
        <v>0</v>
      </c>
      <c r="AM51" s="109">
        <f>'NKC2-%'!AT61*100</f>
        <v>0</v>
      </c>
      <c r="AN51" s="109">
        <f>'NKC2-%'!AU61*100</f>
        <v>0</v>
      </c>
      <c r="AO51" s="109">
        <f>'NKC2-%'!AV61*100</f>
        <v>0</v>
      </c>
      <c r="AP51" s="109">
        <f>'NKC2-%'!AW61*100</f>
        <v>0</v>
      </c>
      <c r="AQ51" s="109">
        <f>'NKC2-%'!AX61*100</f>
        <v>0</v>
      </c>
      <c r="AR51" s="109">
        <f>'NKC2-%'!AY61*100</f>
        <v>0</v>
      </c>
      <c r="AS51" s="109">
        <f>'NKC2-%'!AZ61*100</f>
        <v>0</v>
      </c>
      <c r="AT51" s="109">
        <f>'NKC2-%'!BA61*100</f>
        <v>0</v>
      </c>
      <c r="AU51" s="109">
        <f>'NKC2-%'!BB61*100</f>
        <v>0</v>
      </c>
      <c r="AV51" s="109">
        <f>'NKC2-%'!BC61*100</f>
        <v>0</v>
      </c>
      <c r="AW51" s="109">
        <f>'NKC2-%'!BD61*100</f>
        <v>0</v>
      </c>
      <c r="AX51" s="109">
        <f>'NKC2-%'!BE61*100</f>
        <v>0</v>
      </c>
      <c r="AY51" s="109">
        <f>'NKC2-%'!BF61*100</f>
        <v>0</v>
      </c>
      <c r="AZ51" s="109">
        <f>'NKC2-%'!BG61*100</f>
        <v>0</v>
      </c>
      <c r="BA51" s="109">
        <f>'NKC2-%'!BH61*100</f>
        <v>0</v>
      </c>
      <c r="BB51" s="109">
        <f>'NKC2-%'!BI61*100</f>
        <v>0</v>
      </c>
      <c r="BC51" s="109">
        <f>'NKC2-%'!BJ61*100</f>
        <v>0</v>
      </c>
      <c r="BD51" s="109">
        <f>'NKC2-%'!BK61*100</f>
        <v>0</v>
      </c>
      <c r="BE51" s="109">
        <f>'NKC2-%'!BL61*100</f>
        <v>0</v>
      </c>
      <c r="BF51" s="109">
        <f>'NKC2-%'!BM61*100</f>
        <v>0</v>
      </c>
      <c r="BG51" s="109">
        <f>'NKC2-%'!BN61*100</f>
        <v>0</v>
      </c>
      <c r="BH51" s="109">
        <f>'NKC2-%'!BO61*100</f>
        <v>0</v>
      </c>
      <c r="BI51" s="109">
        <f>'NKC2-%'!BP61*100</f>
        <v>0</v>
      </c>
      <c r="BJ51" s="109">
        <f>'NKC2-%'!BQ61*100</f>
        <v>0</v>
      </c>
      <c r="BK51" s="109">
        <f>'NKC2-%'!BR61*100</f>
        <v>0</v>
      </c>
      <c r="BL51" s="109">
        <f>'NKC2-%'!BS61*100</f>
        <v>0</v>
      </c>
      <c r="BM51" s="109">
        <f>'NKC2-%'!BT61*100</f>
        <v>0</v>
      </c>
      <c r="BN51" s="109">
        <f>'NKC2-%'!BU61*100</f>
        <v>0</v>
      </c>
      <c r="BO51" s="109">
        <f>'NKC2-%'!BV61*100</f>
        <v>0</v>
      </c>
      <c r="BP51" s="109">
        <f>'NKC2-%'!BW61*100</f>
        <v>0</v>
      </c>
      <c r="BQ51" s="109">
        <f>'NKC2-%'!BX61*100</f>
        <v>0</v>
      </c>
      <c r="BR51" s="109">
        <f>'NKC2-%'!BY61*100</f>
        <v>0</v>
      </c>
      <c r="BS51" s="109">
        <f>'NKC2-%'!BZ61*100</f>
        <v>0</v>
      </c>
      <c r="BT51" s="109">
        <f>'NKC2-%'!CA61*100</f>
        <v>0</v>
      </c>
      <c r="BU51" s="109">
        <f>'NKC2-%'!CB61*100</f>
        <v>0</v>
      </c>
      <c r="BV51" s="109">
        <f>'NKC2-%'!CC61*100</f>
        <v>0</v>
      </c>
      <c r="BW51" s="109">
        <f>'NKC2-%'!CD61*100</f>
        <v>0</v>
      </c>
      <c r="BX51" s="109">
        <f>'NKC2-%'!CE61*100</f>
        <v>0</v>
      </c>
      <c r="BY51" s="109">
        <f>'NKC2-%'!CF61*100</f>
        <v>0</v>
      </c>
      <c r="BZ51" s="109">
        <f>'NKC2-%'!CG61*100</f>
        <v>0</v>
      </c>
      <c r="CA51" s="109">
        <f>'NKC2-%'!CH61*100</f>
        <v>0</v>
      </c>
      <c r="CB51" s="109">
        <f>'NKC2-%'!CI61*100</f>
        <v>0</v>
      </c>
      <c r="CC51" s="109">
        <f>'NKC2-%'!CJ61*100</f>
        <v>0</v>
      </c>
      <c r="CD51" s="109">
        <f>'NKC2-%'!CK61*100</f>
        <v>0</v>
      </c>
      <c r="CE51" s="109">
        <f>'NKC2-%'!CL61*100</f>
        <v>0</v>
      </c>
      <c r="CF51" s="109">
        <f>'NKC2-%'!CM61*100</f>
        <v>0</v>
      </c>
      <c r="CG51" s="109">
        <f>'NKC2-%'!CN61*100</f>
        <v>0</v>
      </c>
      <c r="CH51" s="109">
        <f>'NKC2-%'!CO61*100</f>
        <v>0</v>
      </c>
      <c r="CI51" s="109">
        <f>'NKC2-%'!CP61*100</f>
        <v>0</v>
      </c>
    </row>
    <row r="52" spans="1:87" x14ac:dyDescent="0.45">
      <c r="A52" s="266" t="str">
        <f>'NKC2-%'!B62</f>
        <v>1.4.1.3</v>
      </c>
      <c r="B52" t="str">
        <f>'NKC2-%'!D62</f>
        <v xml:space="preserve">            2nd Floor</v>
      </c>
      <c r="C52" s="104">
        <f>'NKC2-%'!F62</f>
        <v>17875972.6833519</v>
      </c>
      <c r="D52" s="87" t="str">
        <f>'NKC2-%'!G62</f>
        <v>P</v>
      </c>
      <c r="E52" s="109">
        <f>'NKC2-%'!K62*100</f>
        <v>99.999999999999986</v>
      </c>
      <c r="F52" s="109">
        <f>'NKC2-%'!M62*100</f>
        <v>0</v>
      </c>
      <c r="G52" s="109">
        <f>'NKC2-%'!N62*100</f>
        <v>0</v>
      </c>
      <c r="H52" s="109">
        <f>'NKC2-%'!O62*100</f>
        <v>0</v>
      </c>
      <c r="I52" s="109">
        <f>'NKC2-%'!P62*100</f>
        <v>0</v>
      </c>
      <c r="J52" s="109">
        <f>'NKC2-%'!Q62*100</f>
        <v>0</v>
      </c>
      <c r="K52" s="109">
        <f>'NKC2-%'!R62*100</f>
        <v>0</v>
      </c>
      <c r="L52" s="109">
        <f>'NKC2-%'!S62*100</f>
        <v>0</v>
      </c>
      <c r="M52" s="109">
        <f>'NKC2-%'!T62*100</f>
        <v>0</v>
      </c>
      <c r="N52" s="109">
        <f>'NKC2-%'!U62*100</f>
        <v>0</v>
      </c>
      <c r="O52" s="109">
        <f>'NKC2-%'!V62*100</f>
        <v>0</v>
      </c>
      <c r="P52" s="109">
        <f>'NKC2-%'!W62*100</f>
        <v>0</v>
      </c>
      <c r="Q52" s="109">
        <f>'NKC2-%'!X62*100</f>
        <v>0</v>
      </c>
      <c r="R52" s="109">
        <f>'NKC2-%'!Y62*100</f>
        <v>0</v>
      </c>
      <c r="S52" s="109">
        <f>'NKC2-%'!Z62*100</f>
        <v>0</v>
      </c>
      <c r="T52" s="109">
        <f>'NKC2-%'!AA62*100</f>
        <v>0</v>
      </c>
      <c r="U52" s="109">
        <f>'NKC2-%'!AB62*100</f>
        <v>0</v>
      </c>
      <c r="V52" s="109">
        <f>'NKC2-%'!AC62*100</f>
        <v>0</v>
      </c>
      <c r="W52" s="109">
        <f>'NKC2-%'!AD62*100</f>
        <v>0</v>
      </c>
      <c r="X52" s="109">
        <f>'NKC2-%'!AE62*100</f>
        <v>0</v>
      </c>
      <c r="Y52" s="109">
        <f>'NKC2-%'!AF62*100</f>
        <v>0</v>
      </c>
      <c r="Z52" s="109">
        <f>'NKC2-%'!AG62*100</f>
        <v>0</v>
      </c>
      <c r="AA52" s="109">
        <f>'NKC2-%'!AH62*100</f>
        <v>0</v>
      </c>
      <c r="AB52" s="109">
        <f>'NKC2-%'!AI62*100</f>
        <v>0</v>
      </c>
      <c r="AC52" s="109">
        <f>'NKC2-%'!AJ62*100</f>
        <v>0</v>
      </c>
      <c r="AD52" s="109">
        <f>'NKC2-%'!AK62*100</f>
        <v>0</v>
      </c>
      <c r="AE52" s="109">
        <f>'NKC2-%'!AL62*100</f>
        <v>0</v>
      </c>
      <c r="AF52" s="109">
        <f>'NKC2-%'!AM62*100</f>
        <v>0</v>
      </c>
      <c r="AG52" s="109">
        <f>'NKC2-%'!AN62*100</f>
        <v>0</v>
      </c>
      <c r="AH52" s="109">
        <f>'NKC2-%'!AO62*100</f>
        <v>0</v>
      </c>
      <c r="AI52" s="109">
        <f>'NKC2-%'!AP62*100</f>
        <v>0</v>
      </c>
      <c r="AJ52" s="109">
        <f>'NKC2-%'!AQ62*100</f>
        <v>0</v>
      </c>
      <c r="AK52" s="109">
        <f>'NKC2-%'!AR62*100</f>
        <v>0</v>
      </c>
      <c r="AL52" s="109">
        <f>'NKC2-%'!AS62*100</f>
        <v>0</v>
      </c>
      <c r="AM52" s="109">
        <f>'NKC2-%'!AT62*100</f>
        <v>0</v>
      </c>
      <c r="AN52" s="109">
        <f>'NKC2-%'!AU62*100</f>
        <v>0</v>
      </c>
      <c r="AO52" s="109">
        <f>'NKC2-%'!AV62*100</f>
        <v>0</v>
      </c>
      <c r="AP52" s="109">
        <f>'NKC2-%'!AW62*100</f>
        <v>0</v>
      </c>
      <c r="AQ52" s="109">
        <f>'NKC2-%'!AX62*100</f>
        <v>0</v>
      </c>
      <c r="AR52" s="109">
        <f>'NKC2-%'!AY62*100</f>
        <v>0</v>
      </c>
      <c r="AS52" s="109">
        <f>'NKC2-%'!AZ62*100</f>
        <v>0</v>
      </c>
      <c r="AT52" s="109">
        <f>'NKC2-%'!BA62*100</f>
        <v>0</v>
      </c>
      <c r="AU52" s="109">
        <f>'NKC2-%'!BB62*100</f>
        <v>0</v>
      </c>
      <c r="AV52" s="109">
        <f>'NKC2-%'!BC62*100</f>
        <v>0</v>
      </c>
      <c r="AW52" s="109">
        <f>'NKC2-%'!BD62*100</f>
        <v>3</v>
      </c>
      <c r="AX52" s="109">
        <f>'NKC2-%'!BE62*100</f>
        <v>5</v>
      </c>
      <c r="AY52" s="109">
        <f>'NKC2-%'!BF62*100</f>
        <v>5</v>
      </c>
      <c r="AZ52" s="109">
        <f>'NKC2-%'!BG62*100</f>
        <v>5</v>
      </c>
      <c r="BA52" s="109">
        <f>'NKC2-%'!BH62*100</f>
        <v>5</v>
      </c>
      <c r="BB52" s="109">
        <f>'NKC2-%'!BI62*100</f>
        <v>10</v>
      </c>
      <c r="BC52" s="109">
        <f>'NKC2-%'!BJ62*100</f>
        <v>10</v>
      </c>
      <c r="BD52" s="109">
        <f>'NKC2-%'!BK62*100</f>
        <v>10</v>
      </c>
      <c r="BE52" s="109">
        <f>'NKC2-%'!BL62*100</f>
        <v>5</v>
      </c>
      <c r="BF52" s="109">
        <f>'NKC2-%'!BM62*100</f>
        <v>5</v>
      </c>
      <c r="BG52" s="109">
        <f>'NKC2-%'!BN62*100</f>
        <v>8</v>
      </c>
      <c r="BH52" s="109">
        <f>'NKC2-%'!BO62*100</f>
        <v>8</v>
      </c>
      <c r="BI52" s="109">
        <f>'NKC2-%'!BP62*100</f>
        <v>8</v>
      </c>
      <c r="BJ52" s="109">
        <f>'NKC2-%'!BQ62*100</f>
        <v>8</v>
      </c>
      <c r="BK52" s="109">
        <f>'NKC2-%'!BR62*100</f>
        <v>5</v>
      </c>
      <c r="BL52" s="109">
        <f>'NKC2-%'!BS62*100</f>
        <v>0</v>
      </c>
      <c r="BM52" s="109">
        <f>'NKC2-%'!BT62*100</f>
        <v>0</v>
      </c>
      <c r="BN52" s="109">
        <f>'NKC2-%'!BU62*100</f>
        <v>0</v>
      </c>
      <c r="BO52" s="109">
        <f>'NKC2-%'!BV62*100</f>
        <v>0</v>
      </c>
      <c r="BP52" s="109">
        <f>'NKC2-%'!BW62*100</f>
        <v>0</v>
      </c>
      <c r="BQ52" s="109">
        <f>'NKC2-%'!BX62*100</f>
        <v>0</v>
      </c>
      <c r="BR52" s="109">
        <f>'NKC2-%'!BY62*100</f>
        <v>0</v>
      </c>
      <c r="BS52" s="109">
        <f>'NKC2-%'!BZ62*100</f>
        <v>0</v>
      </c>
      <c r="BT52" s="109">
        <f>'NKC2-%'!CA62*100</f>
        <v>0</v>
      </c>
      <c r="BU52" s="109">
        <f>'NKC2-%'!CB62*100</f>
        <v>0</v>
      </c>
      <c r="BV52" s="109">
        <f>'NKC2-%'!CC62*100</f>
        <v>0</v>
      </c>
      <c r="BW52" s="109">
        <f>'NKC2-%'!CD62*100</f>
        <v>0</v>
      </c>
      <c r="BX52" s="109">
        <f>'NKC2-%'!CE62*100</f>
        <v>0</v>
      </c>
      <c r="BY52" s="109">
        <f>'NKC2-%'!CF62*100</f>
        <v>0</v>
      </c>
      <c r="BZ52" s="109">
        <f>'NKC2-%'!CG62*100</f>
        <v>0</v>
      </c>
      <c r="CA52" s="109">
        <f>'NKC2-%'!CH62*100</f>
        <v>0</v>
      </c>
      <c r="CB52" s="109">
        <f>'NKC2-%'!CI62*100</f>
        <v>0</v>
      </c>
      <c r="CC52" s="109">
        <f>'NKC2-%'!CJ62*100</f>
        <v>0</v>
      </c>
      <c r="CD52" s="109">
        <f>'NKC2-%'!CK62*100</f>
        <v>0</v>
      </c>
      <c r="CE52" s="109">
        <f>'NKC2-%'!CL62*100</f>
        <v>0</v>
      </c>
      <c r="CF52" s="109">
        <f>'NKC2-%'!CM62*100</f>
        <v>0</v>
      </c>
      <c r="CG52" s="109">
        <f>'NKC2-%'!CN62*100</f>
        <v>0</v>
      </c>
      <c r="CH52" s="109">
        <f>'NKC2-%'!CO62*100</f>
        <v>0</v>
      </c>
      <c r="CI52" s="109">
        <f>'NKC2-%'!CP62*100</f>
        <v>0</v>
      </c>
    </row>
    <row r="53" spans="1:87" x14ac:dyDescent="0.45">
      <c r="A53" s="266" t="str">
        <f>'NKC2-%'!B63</f>
        <v>1.4.1.3</v>
      </c>
      <c r="B53" t="str">
        <f>'NKC2-%'!D63</f>
        <v xml:space="preserve">            2nd Floor</v>
      </c>
      <c r="C53" s="104">
        <f>'NKC2-%'!F63</f>
        <v>17875972.6833519</v>
      </c>
      <c r="D53" s="87" t="str">
        <f>'NKC2-%'!G63</f>
        <v>A</v>
      </c>
      <c r="E53" s="109">
        <f>'NKC2-%'!K63*100</f>
        <v>0</v>
      </c>
      <c r="F53" s="109">
        <f>'NKC2-%'!M63*100</f>
        <v>0</v>
      </c>
      <c r="G53" s="109">
        <f>'NKC2-%'!N63*100</f>
        <v>0</v>
      </c>
      <c r="H53" s="109">
        <f>'NKC2-%'!O63*100</f>
        <v>0</v>
      </c>
      <c r="I53" s="109">
        <f>'NKC2-%'!P63*100</f>
        <v>0</v>
      </c>
      <c r="J53" s="109">
        <f>'NKC2-%'!Q63*100</f>
        <v>0</v>
      </c>
      <c r="K53" s="109">
        <f>'NKC2-%'!R63*100</f>
        <v>0</v>
      </c>
      <c r="L53" s="109">
        <f>'NKC2-%'!S63*100</f>
        <v>0</v>
      </c>
      <c r="M53" s="109">
        <f>'NKC2-%'!T63*100</f>
        <v>0</v>
      </c>
      <c r="N53" s="109">
        <f>'NKC2-%'!U63*100</f>
        <v>0</v>
      </c>
      <c r="O53" s="109">
        <f>'NKC2-%'!V63*100</f>
        <v>0</v>
      </c>
      <c r="P53" s="109">
        <f>'NKC2-%'!W63*100</f>
        <v>0</v>
      </c>
      <c r="Q53" s="109">
        <f>'NKC2-%'!X63*100</f>
        <v>0</v>
      </c>
      <c r="R53" s="109">
        <f>'NKC2-%'!Y63*100</f>
        <v>0</v>
      </c>
      <c r="S53" s="109">
        <f>'NKC2-%'!Z63*100</f>
        <v>0</v>
      </c>
      <c r="T53" s="109">
        <f>'NKC2-%'!AA63*100</f>
        <v>0</v>
      </c>
      <c r="U53" s="109">
        <f>'NKC2-%'!AB63*100</f>
        <v>0</v>
      </c>
      <c r="V53" s="109">
        <f>'NKC2-%'!AC63*100</f>
        <v>0</v>
      </c>
      <c r="W53" s="109">
        <f>'NKC2-%'!AD63*100</f>
        <v>0</v>
      </c>
      <c r="X53" s="109">
        <f>'NKC2-%'!AE63*100</f>
        <v>0</v>
      </c>
      <c r="Y53" s="109">
        <f>'NKC2-%'!AF63*100</f>
        <v>0</v>
      </c>
      <c r="Z53" s="109">
        <f>'NKC2-%'!AG63*100</f>
        <v>0</v>
      </c>
      <c r="AA53" s="109">
        <f>'NKC2-%'!AH63*100</f>
        <v>0</v>
      </c>
      <c r="AB53" s="109">
        <f>'NKC2-%'!AI63*100</f>
        <v>0</v>
      </c>
      <c r="AC53" s="109">
        <f>'NKC2-%'!AJ63*100</f>
        <v>0</v>
      </c>
      <c r="AD53" s="109">
        <f>'NKC2-%'!AK63*100</f>
        <v>0</v>
      </c>
      <c r="AE53" s="109">
        <f>'NKC2-%'!AL63*100</f>
        <v>0</v>
      </c>
      <c r="AF53" s="109">
        <f>'NKC2-%'!AM63*100</f>
        <v>0</v>
      </c>
      <c r="AG53" s="109">
        <f>'NKC2-%'!AN63*100</f>
        <v>0</v>
      </c>
      <c r="AH53" s="109">
        <f>'NKC2-%'!AO63*100</f>
        <v>0</v>
      </c>
      <c r="AI53" s="109">
        <f>'NKC2-%'!AP63*100</f>
        <v>0</v>
      </c>
      <c r="AJ53" s="109">
        <f>'NKC2-%'!AQ63*100</f>
        <v>0</v>
      </c>
      <c r="AK53" s="109">
        <f>'NKC2-%'!AR63*100</f>
        <v>0</v>
      </c>
      <c r="AL53" s="109">
        <f>'NKC2-%'!AS63*100</f>
        <v>0</v>
      </c>
      <c r="AM53" s="109">
        <f>'NKC2-%'!AT63*100</f>
        <v>0</v>
      </c>
      <c r="AN53" s="109">
        <f>'NKC2-%'!AU63*100</f>
        <v>0</v>
      </c>
      <c r="AO53" s="109">
        <f>'NKC2-%'!AV63*100</f>
        <v>0</v>
      </c>
      <c r="AP53" s="109">
        <f>'NKC2-%'!AW63*100</f>
        <v>0</v>
      </c>
      <c r="AQ53" s="109">
        <f>'NKC2-%'!AX63*100</f>
        <v>0</v>
      </c>
      <c r="AR53" s="109">
        <f>'NKC2-%'!AY63*100</f>
        <v>0</v>
      </c>
      <c r="AS53" s="109">
        <f>'NKC2-%'!AZ63*100</f>
        <v>0</v>
      </c>
      <c r="AT53" s="109">
        <f>'NKC2-%'!BA63*100</f>
        <v>0</v>
      </c>
      <c r="AU53" s="109">
        <f>'NKC2-%'!BB63*100</f>
        <v>0</v>
      </c>
      <c r="AV53" s="109">
        <f>'NKC2-%'!BC63*100</f>
        <v>0</v>
      </c>
      <c r="AW53" s="109">
        <f>'NKC2-%'!BD63*100</f>
        <v>0</v>
      </c>
      <c r="AX53" s="109">
        <f>'NKC2-%'!BE63*100</f>
        <v>0</v>
      </c>
      <c r="AY53" s="109">
        <f>'NKC2-%'!BF63*100</f>
        <v>0</v>
      </c>
      <c r="AZ53" s="109">
        <f>'NKC2-%'!BG63*100</f>
        <v>0</v>
      </c>
      <c r="BA53" s="109">
        <f>'NKC2-%'!BH63*100</f>
        <v>0</v>
      </c>
      <c r="BB53" s="109">
        <f>'NKC2-%'!BI63*100</f>
        <v>0</v>
      </c>
      <c r="BC53" s="109">
        <f>'NKC2-%'!BJ63*100</f>
        <v>0</v>
      </c>
      <c r="BD53" s="109">
        <f>'NKC2-%'!BK63*100</f>
        <v>0</v>
      </c>
      <c r="BE53" s="109">
        <f>'NKC2-%'!BL63*100</f>
        <v>0</v>
      </c>
      <c r="BF53" s="109">
        <f>'NKC2-%'!BM63*100</f>
        <v>0</v>
      </c>
      <c r="BG53" s="109">
        <f>'NKC2-%'!BN63*100</f>
        <v>0</v>
      </c>
      <c r="BH53" s="109">
        <f>'NKC2-%'!BO63*100</f>
        <v>0</v>
      </c>
      <c r="BI53" s="109">
        <f>'NKC2-%'!BP63*100</f>
        <v>0</v>
      </c>
      <c r="BJ53" s="109">
        <f>'NKC2-%'!BQ63*100</f>
        <v>0</v>
      </c>
      <c r="BK53" s="109">
        <f>'NKC2-%'!BR63*100</f>
        <v>0</v>
      </c>
      <c r="BL53" s="109">
        <f>'NKC2-%'!BS63*100</f>
        <v>0</v>
      </c>
      <c r="BM53" s="109">
        <f>'NKC2-%'!BT63*100</f>
        <v>0</v>
      </c>
      <c r="BN53" s="109">
        <f>'NKC2-%'!BU63*100</f>
        <v>0</v>
      </c>
      <c r="BO53" s="109">
        <f>'NKC2-%'!BV63*100</f>
        <v>0</v>
      </c>
      <c r="BP53" s="109">
        <f>'NKC2-%'!BW63*100</f>
        <v>0</v>
      </c>
      <c r="BQ53" s="109">
        <f>'NKC2-%'!BX63*100</f>
        <v>0</v>
      </c>
      <c r="BR53" s="109">
        <f>'NKC2-%'!BY63*100</f>
        <v>0</v>
      </c>
      <c r="BS53" s="109">
        <f>'NKC2-%'!BZ63*100</f>
        <v>0</v>
      </c>
      <c r="BT53" s="109">
        <f>'NKC2-%'!CA63*100</f>
        <v>0</v>
      </c>
      <c r="BU53" s="109">
        <f>'NKC2-%'!CB63*100</f>
        <v>0</v>
      </c>
      <c r="BV53" s="109">
        <f>'NKC2-%'!CC63*100</f>
        <v>0</v>
      </c>
      <c r="BW53" s="109">
        <f>'NKC2-%'!CD63*100</f>
        <v>0</v>
      </c>
      <c r="BX53" s="109">
        <f>'NKC2-%'!CE63*100</f>
        <v>0</v>
      </c>
      <c r="BY53" s="109">
        <f>'NKC2-%'!CF63*100</f>
        <v>0</v>
      </c>
      <c r="BZ53" s="109">
        <f>'NKC2-%'!CG63*100</f>
        <v>0</v>
      </c>
      <c r="CA53" s="109">
        <f>'NKC2-%'!CH63*100</f>
        <v>0</v>
      </c>
      <c r="CB53" s="109">
        <f>'NKC2-%'!CI63*100</f>
        <v>0</v>
      </c>
      <c r="CC53" s="109">
        <f>'NKC2-%'!CJ63*100</f>
        <v>0</v>
      </c>
      <c r="CD53" s="109">
        <f>'NKC2-%'!CK63*100</f>
        <v>0</v>
      </c>
      <c r="CE53" s="109">
        <f>'NKC2-%'!CL63*100</f>
        <v>0</v>
      </c>
      <c r="CF53" s="109">
        <f>'NKC2-%'!CM63*100</f>
        <v>0</v>
      </c>
      <c r="CG53" s="109">
        <f>'NKC2-%'!CN63*100</f>
        <v>0</v>
      </c>
      <c r="CH53" s="109">
        <f>'NKC2-%'!CO63*100</f>
        <v>0</v>
      </c>
      <c r="CI53" s="109">
        <f>'NKC2-%'!CP63*100</f>
        <v>0</v>
      </c>
    </row>
    <row r="54" spans="1:87" x14ac:dyDescent="0.45">
      <c r="A54" s="266" t="str">
        <f>'NKC2-%'!B64</f>
        <v>1.4.1.4</v>
      </c>
      <c r="B54" t="str">
        <f>'NKC2-%'!D64</f>
        <v xml:space="preserve">            1M Floor</v>
      </c>
      <c r="C54" s="104">
        <f>'NKC2-%'!F64</f>
        <v>6538779.013872372</v>
      </c>
      <c r="D54" s="87" t="str">
        <f>'NKC2-%'!G64</f>
        <v>P</v>
      </c>
      <c r="E54" s="109">
        <f>'NKC2-%'!K64*100</f>
        <v>100</v>
      </c>
      <c r="F54" s="109">
        <f>'NKC2-%'!M64*100</f>
        <v>0</v>
      </c>
      <c r="G54" s="109">
        <f>'NKC2-%'!N64*100</f>
        <v>0</v>
      </c>
      <c r="H54" s="109">
        <f>'NKC2-%'!O64*100</f>
        <v>0</v>
      </c>
      <c r="I54" s="109">
        <f>'NKC2-%'!P64*100</f>
        <v>0</v>
      </c>
      <c r="J54" s="109">
        <f>'NKC2-%'!Q64*100</f>
        <v>0</v>
      </c>
      <c r="K54" s="109">
        <f>'NKC2-%'!R64*100</f>
        <v>0</v>
      </c>
      <c r="L54" s="109">
        <f>'NKC2-%'!S64*100</f>
        <v>0</v>
      </c>
      <c r="M54" s="109">
        <f>'NKC2-%'!T64*100</f>
        <v>0</v>
      </c>
      <c r="N54" s="109">
        <f>'NKC2-%'!U64*100</f>
        <v>0</v>
      </c>
      <c r="O54" s="109">
        <f>'NKC2-%'!V64*100</f>
        <v>0</v>
      </c>
      <c r="P54" s="109">
        <f>'NKC2-%'!W64*100</f>
        <v>0</v>
      </c>
      <c r="Q54" s="109">
        <f>'NKC2-%'!X64*100</f>
        <v>0</v>
      </c>
      <c r="R54" s="109">
        <f>'NKC2-%'!Y64*100</f>
        <v>0</v>
      </c>
      <c r="S54" s="109">
        <f>'NKC2-%'!Z64*100</f>
        <v>0</v>
      </c>
      <c r="T54" s="109">
        <f>'NKC2-%'!AA64*100</f>
        <v>0</v>
      </c>
      <c r="U54" s="109">
        <f>'NKC2-%'!AB64*100</f>
        <v>0</v>
      </c>
      <c r="V54" s="109">
        <f>'NKC2-%'!AC64*100</f>
        <v>0</v>
      </c>
      <c r="W54" s="109">
        <f>'NKC2-%'!AD64*100</f>
        <v>0</v>
      </c>
      <c r="X54" s="109">
        <f>'NKC2-%'!AE64*100</f>
        <v>0</v>
      </c>
      <c r="Y54" s="109">
        <f>'NKC2-%'!AF64*100</f>
        <v>0</v>
      </c>
      <c r="Z54" s="109">
        <f>'NKC2-%'!AG64*100</f>
        <v>0</v>
      </c>
      <c r="AA54" s="109">
        <f>'NKC2-%'!AH64*100</f>
        <v>0</v>
      </c>
      <c r="AB54" s="109">
        <f>'NKC2-%'!AI64*100</f>
        <v>0</v>
      </c>
      <c r="AC54" s="109">
        <f>'NKC2-%'!AJ64*100</f>
        <v>0</v>
      </c>
      <c r="AD54" s="109">
        <f>'NKC2-%'!AK64*100</f>
        <v>0</v>
      </c>
      <c r="AE54" s="109">
        <f>'NKC2-%'!AL64*100</f>
        <v>0</v>
      </c>
      <c r="AF54" s="109">
        <f>'NKC2-%'!AM64*100</f>
        <v>0</v>
      </c>
      <c r="AG54" s="109">
        <f>'NKC2-%'!AN64*100</f>
        <v>0</v>
      </c>
      <c r="AH54" s="109">
        <f>'NKC2-%'!AO64*100</f>
        <v>0</v>
      </c>
      <c r="AI54" s="109">
        <f>'NKC2-%'!AP64*100</f>
        <v>0</v>
      </c>
      <c r="AJ54" s="109">
        <f>'NKC2-%'!AQ64*100</f>
        <v>0</v>
      </c>
      <c r="AK54" s="109">
        <f>'NKC2-%'!AR64*100</f>
        <v>0</v>
      </c>
      <c r="AL54" s="109">
        <f>'NKC2-%'!AS64*100</f>
        <v>0</v>
      </c>
      <c r="AM54" s="109">
        <f>'NKC2-%'!AT64*100</f>
        <v>0</v>
      </c>
      <c r="AN54" s="109">
        <f>'NKC2-%'!AU64*100</f>
        <v>0</v>
      </c>
      <c r="AO54" s="109">
        <f>'NKC2-%'!AV64*100</f>
        <v>0</v>
      </c>
      <c r="AP54" s="109">
        <f>'NKC2-%'!AW64*100</f>
        <v>0</v>
      </c>
      <c r="AQ54" s="109">
        <f>'NKC2-%'!AX64*100</f>
        <v>0</v>
      </c>
      <c r="AR54" s="109">
        <f>'NKC2-%'!AY64*100</f>
        <v>0</v>
      </c>
      <c r="AS54" s="109">
        <f>'NKC2-%'!AZ64*100</f>
        <v>0</v>
      </c>
      <c r="AT54" s="109">
        <f>'NKC2-%'!BA64*100</f>
        <v>0</v>
      </c>
      <c r="AU54" s="109">
        <f>'NKC2-%'!BB64*100</f>
        <v>4</v>
      </c>
      <c r="AV54" s="109">
        <f>'NKC2-%'!BC64*100</f>
        <v>4</v>
      </c>
      <c r="AW54" s="109">
        <f>'NKC2-%'!BD64*100</f>
        <v>5</v>
      </c>
      <c r="AX54" s="109">
        <f>'NKC2-%'!BE64*100</f>
        <v>5</v>
      </c>
      <c r="AY54" s="109">
        <f>'NKC2-%'!BF64*100</f>
        <v>8</v>
      </c>
      <c r="AZ54" s="109">
        <f>'NKC2-%'!BG64*100</f>
        <v>8</v>
      </c>
      <c r="BA54" s="109">
        <f>'NKC2-%'!BH64*100</f>
        <v>8</v>
      </c>
      <c r="BB54" s="109">
        <f>'NKC2-%'!BI64*100</f>
        <v>10</v>
      </c>
      <c r="BC54" s="109">
        <f>'NKC2-%'!BJ64*100</f>
        <v>10</v>
      </c>
      <c r="BD54" s="109">
        <f>'NKC2-%'!BK64*100</f>
        <v>10</v>
      </c>
      <c r="BE54" s="109">
        <f>'NKC2-%'!BL64*100</f>
        <v>10</v>
      </c>
      <c r="BF54" s="109">
        <f>'NKC2-%'!BM64*100</f>
        <v>6</v>
      </c>
      <c r="BG54" s="109">
        <f>'NKC2-%'!BN64*100</f>
        <v>4</v>
      </c>
      <c r="BH54" s="109">
        <f>'NKC2-%'!BO64*100</f>
        <v>4</v>
      </c>
      <c r="BI54" s="109">
        <f>'NKC2-%'!BP64*100</f>
        <v>4</v>
      </c>
      <c r="BJ54" s="109">
        <f>'NKC2-%'!BQ64*100</f>
        <v>0</v>
      </c>
      <c r="BK54" s="109">
        <f>'NKC2-%'!BR64*100</f>
        <v>0</v>
      </c>
      <c r="BL54" s="109">
        <f>'NKC2-%'!BS64*100</f>
        <v>0</v>
      </c>
      <c r="BM54" s="109">
        <f>'NKC2-%'!BT64*100</f>
        <v>0</v>
      </c>
      <c r="BN54" s="109">
        <f>'NKC2-%'!BU64*100</f>
        <v>0</v>
      </c>
      <c r="BO54" s="109">
        <f>'NKC2-%'!BV64*100</f>
        <v>0</v>
      </c>
      <c r="BP54" s="109">
        <f>'NKC2-%'!BW64*100</f>
        <v>0</v>
      </c>
      <c r="BQ54" s="109">
        <f>'NKC2-%'!BX64*100</f>
        <v>0</v>
      </c>
      <c r="BR54" s="109">
        <f>'NKC2-%'!BY64*100</f>
        <v>0</v>
      </c>
      <c r="BS54" s="109">
        <f>'NKC2-%'!BZ64*100</f>
        <v>0</v>
      </c>
      <c r="BT54" s="109">
        <f>'NKC2-%'!CA64*100</f>
        <v>0</v>
      </c>
      <c r="BU54" s="109">
        <f>'NKC2-%'!CB64*100</f>
        <v>0</v>
      </c>
      <c r="BV54" s="109">
        <f>'NKC2-%'!CC64*100</f>
        <v>0</v>
      </c>
      <c r="BW54" s="109">
        <f>'NKC2-%'!CD64*100</f>
        <v>0</v>
      </c>
      <c r="BX54" s="109">
        <f>'NKC2-%'!CE64*100</f>
        <v>0</v>
      </c>
      <c r="BY54" s="109">
        <f>'NKC2-%'!CF64*100</f>
        <v>0</v>
      </c>
      <c r="BZ54" s="109">
        <f>'NKC2-%'!CG64*100</f>
        <v>0</v>
      </c>
      <c r="CA54" s="109">
        <f>'NKC2-%'!CH64*100</f>
        <v>0</v>
      </c>
      <c r="CB54" s="109">
        <f>'NKC2-%'!CI64*100</f>
        <v>0</v>
      </c>
      <c r="CC54" s="109">
        <f>'NKC2-%'!CJ64*100</f>
        <v>0</v>
      </c>
      <c r="CD54" s="109">
        <f>'NKC2-%'!CK64*100</f>
        <v>0</v>
      </c>
      <c r="CE54" s="109">
        <f>'NKC2-%'!CL64*100</f>
        <v>0</v>
      </c>
      <c r="CF54" s="109">
        <f>'NKC2-%'!CM64*100</f>
        <v>0</v>
      </c>
      <c r="CG54" s="109">
        <f>'NKC2-%'!CN64*100</f>
        <v>0</v>
      </c>
      <c r="CH54" s="109">
        <f>'NKC2-%'!CO64*100</f>
        <v>0</v>
      </c>
      <c r="CI54" s="109">
        <f>'NKC2-%'!CP64*100</f>
        <v>0</v>
      </c>
    </row>
    <row r="55" spans="1:87" x14ac:dyDescent="0.45">
      <c r="A55" s="266" t="str">
        <f>'NKC2-%'!B65</f>
        <v>1.4.1.4</v>
      </c>
      <c r="B55" t="str">
        <f>'NKC2-%'!D65</f>
        <v xml:space="preserve">            1M Floor</v>
      </c>
      <c r="C55" s="104">
        <f>'NKC2-%'!F65</f>
        <v>6538779.013872372</v>
      </c>
      <c r="D55" s="87" t="str">
        <f>'NKC2-%'!G65</f>
        <v>A</v>
      </c>
      <c r="E55" s="109">
        <f>'NKC2-%'!K65*100</f>
        <v>0</v>
      </c>
      <c r="F55" s="109">
        <f>'NKC2-%'!M65*100</f>
        <v>0</v>
      </c>
      <c r="G55" s="109">
        <f>'NKC2-%'!N65*100</f>
        <v>0</v>
      </c>
      <c r="H55" s="109">
        <f>'NKC2-%'!O65*100</f>
        <v>0</v>
      </c>
      <c r="I55" s="109">
        <f>'NKC2-%'!P65*100</f>
        <v>0</v>
      </c>
      <c r="J55" s="109">
        <f>'NKC2-%'!Q65*100</f>
        <v>0</v>
      </c>
      <c r="K55" s="109">
        <f>'NKC2-%'!R65*100</f>
        <v>0</v>
      </c>
      <c r="L55" s="109">
        <f>'NKC2-%'!S65*100</f>
        <v>0</v>
      </c>
      <c r="M55" s="109">
        <f>'NKC2-%'!T65*100</f>
        <v>0</v>
      </c>
      <c r="N55" s="109">
        <f>'NKC2-%'!U65*100</f>
        <v>0</v>
      </c>
      <c r="O55" s="109">
        <f>'NKC2-%'!V65*100</f>
        <v>0</v>
      </c>
      <c r="P55" s="109">
        <f>'NKC2-%'!W65*100</f>
        <v>0</v>
      </c>
      <c r="Q55" s="109">
        <f>'NKC2-%'!X65*100</f>
        <v>0</v>
      </c>
      <c r="R55" s="109">
        <f>'NKC2-%'!Y65*100</f>
        <v>0</v>
      </c>
      <c r="S55" s="109">
        <f>'NKC2-%'!Z65*100</f>
        <v>0</v>
      </c>
      <c r="T55" s="109">
        <f>'NKC2-%'!AA65*100</f>
        <v>0</v>
      </c>
      <c r="U55" s="109">
        <f>'NKC2-%'!AB65*100</f>
        <v>0</v>
      </c>
      <c r="V55" s="109">
        <f>'NKC2-%'!AC65*100</f>
        <v>0</v>
      </c>
      <c r="W55" s="109">
        <f>'NKC2-%'!AD65*100</f>
        <v>0</v>
      </c>
      <c r="X55" s="109">
        <f>'NKC2-%'!AE65*100</f>
        <v>0</v>
      </c>
      <c r="Y55" s="109">
        <f>'NKC2-%'!AF65*100</f>
        <v>0</v>
      </c>
      <c r="Z55" s="109">
        <f>'NKC2-%'!AG65*100</f>
        <v>0</v>
      </c>
      <c r="AA55" s="109">
        <f>'NKC2-%'!AH65*100</f>
        <v>0</v>
      </c>
      <c r="AB55" s="109">
        <f>'NKC2-%'!AI65*100</f>
        <v>0</v>
      </c>
      <c r="AC55" s="109">
        <f>'NKC2-%'!AJ65*100</f>
        <v>0</v>
      </c>
      <c r="AD55" s="109">
        <f>'NKC2-%'!AK65*100</f>
        <v>0</v>
      </c>
      <c r="AE55" s="109">
        <f>'NKC2-%'!AL65*100</f>
        <v>0</v>
      </c>
      <c r="AF55" s="109">
        <f>'NKC2-%'!AM65*100</f>
        <v>0</v>
      </c>
      <c r="AG55" s="109">
        <f>'NKC2-%'!AN65*100</f>
        <v>0</v>
      </c>
      <c r="AH55" s="109">
        <f>'NKC2-%'!AO65*100</f>
        <v>0</v>
      </c>
      <c r="AI55" s="109">
        <f>'NKC2-%'!AP65*100</f>
        <v>0</v>
      </c>
      <c r="AJ55" s="109">
        <f>'NKC2-%'!AQ65*100</f>
        <v>0</v>
      </c>
      <c r="AK55" s="109">
        <f>'NKC2-%'!AR65*100</f>
        <v>0</v>
      </c>
      <c r="AL55" s="109">
        <f>'NKC2-%'!AS65*100</f>
        <v>0</v>
      </c>
      <c r="AM55" s="109">
        <f>'NKC2-%'!AT65*100</f>
        <v>0</v>
      </c>
      <c r="AN55" s="109">
        <f>'NKC2-%'!AU65*100</f>
        <v>0</v>
      </c>
      <c r="AO55" s="109">
        <f>'NKC2-%'!AV65*100</f>
        <v>0</v>
      </c>
      <c r="AP55" s="109">
        <f>'NKC2-%'!AW65*100</f>
        <v>0</v>
      </c>
      <c r="AQ55" s="109">
        <f>'NKC2-%'!AX65*100</f>
        <v>0</v>
      </c>
      <c r="AR55" s="109">
        <f>'NKC2-%'!AY65*100</f>
        <v>0</v>
      </c>
      <c r="AS55" s="109">
        <f>'NKC2-%'!AZ65*100</f>
        <v>0</v>
      </c>
      <c r="AT55" s="109">
        <f>'NKC2-%'!BA65*100</f>
        <v>0</v>
      </c>
      <c r="AU55" s="109">
        <f>'NKC2-%'!BB65*100</f>
        <v>0</v>
      </c>
      <c r="AV55" s="109">
        <f>'NKC2-%'!BC65*100</f>
        <v>0</v>
      </c>
      <c r="AW55" s="109">
        <f>'NKC2-%'!BD65*100</f>
        <v>0</v>
      </c>
      <c r="AX55" s="109">
        <f>'NKC2-%'!BE65*100</f>
        <v>0</v>
      </c>
      <c r="AY55" s="109">
        <f>'NKC2-%'!BF65*100</f>
        <v>0</v>
      </c>
      <c r="AZ55" s="109">
        <f>'NKC2-%'!BG65*100</f>
        <v>0</v>
      </c>
      <c r="BA55" s="109">
        <f>'NKC2-%'!BH65*100</f>
        <v>0</v>
      </c>
      <c r="BB55" s="109">
        <f>'NKC2-%'!BI65*100</f>
        <v>0</v>
      </c>
      <c r="BC55" s="109">
        <f>'NKC2-%'!BJ65*100</f>
        <v>0</v>
      </c>
      <c r="BD55" s="109">
        <f>'NKC2-%'!BK65*100</f>
        <v>0</v>
      </c>
      <c r="BE55" s="109">
        <f>'NKC2-%'!BL65*100</f>
        <v>0</v>
      </c>
      <c r="BF55" s="109">
        <f>'NKC2-%'!BM65*100</f>
        <v>0</v>
      </c>
      <c r="BG55" s="109">
        <f>'NKC2-%'!BN65*100</f>
        <v>0</v>
      </c>
      <c r="BH55" s="109">
        <f>'NKC2-%'!BO65*100</f>
        <v>0</v>
      </c>
      <c r="BI55" s="109">
        <f>'NKC2-%'!BP65*100</f>
        <v>0</v>
      </c>
      <c r="BJ55" s="109">
        <f>'NKC2-%'!BQ65*100</f>
        <v>0</v>
      </c>
      <c r="BK55" s="109">
        <f>'NKC2-%'!BR65*100</f>
        <v>0</v>
      </c>
      <c r="BL55" s="109">
        <f>'NKC2-%'!BS65*100</f>
        <v>0</v>
      </c>
      <c r="BM55" s="109">
        <f>'NKC2-%'!BT65*100</f>
        <v>0</v>
      </c>
      <c r="BN55" s="109">
        <f>'NKC2-%'!BU65*100</f>
        <v>0</v>
      </c>
      <c r="BO55" s="109">
        <f>'NKC2-%'!BV65*100</f>
        <v>0</v>
      </c>
      <c r="BP55" s="109">
        <f>'NKC2-%'!BW65*100</f>
        <v>0</v>
      </c>
      <c r="BQ55" s="109">
        <f>'NKC2-%'!BX65*100</f>
        <v>0</v>
      </c>
      <c r="BR55" s="109">
        <f>'NKC2-%'!BY65*100</f>
        <v>0</v>
      </c>
      <c r="BS55" s="109">
        <f>'NKC2-%'!BZ65*100</f>
        <v>0</v>
      </c>
      <c r="BT55" s="109">
        <f>'NKC2-%'!CA65*100</f>
        <v>0</v>
      </c>
      <c r="BU55" s="109">
        <f>'NKC2-%'!CB65*100</f>
        <v>0</v>
      </c>
      <c r="BV55" s="109">
        <f>'NKC2-%'!CC65*100</f>
        <v>0</v>
      </c>
      <c r="BW55" s="109">
        <f>'NKC2-%'!CD65*100</f>
        <v>0</v>
      </c>
      <c r="BX55" s="109">
        <f>'NKC2-%'!CE65*100</f>
        <v>0</v>
      </c>
      <c r="BY55" s="109">
        <f>'NKC2-%'!CF65*100</f>
        <v>0</v>
      </c>
      <c r="BZ55" s="109">
        <f>'NKC2-%'!CG65*100</f>
        <v>0</v>
      </c>
      <c r="CA55" s="109">
        <f>'NKC2-%'!CH65*100</f>
        <v>0</v>
      </c>
      <c r="CB55" s="109">
        <f>'NKC2-%'!CI65*100</f>
        <v>0</v>
      </c>
      <c r="CC55" s="109">
        <f>'NKC2-%'!CJ65*100</f>
        <v>0</v>
      </c>
      <c r="CD55" s="109">
        <f>'NKC2-%'!CK65*100</f>
        <v>0</v>
      </c>
      <c r="CE55" s="109">
        <f>'NKC2-%'!CL65*100</f>
        <v>0</v>
      </c>
      <c r="CF55" s="109">
        <f>'NKC2-%'!CM65*100</f>
        <v>0</v>
      </c>
      <c r="CG55" s="109">
        <f>'NKC2-%'!CN65*100</f>
        <v>0</v>
      </c>
      <c r="CH55" s="109">
        <f>'NKC2-%'!CO65*100</f>
        <v>0</v>
      </c>
      <c r="CI55" s="109">
        <f>'NKC2-%'!CP65*100</f>
        <v>0</v>
      </c>
    </row>
    <row r="56" spans="1:87" x14ac:dyDescent="0.45">
      <c r="A56" s="266" t="str">
        <f>'NKC2-%'!B66</f>
        <v>1.4.1.5</v>
      </c>
      <c r="B56" t="str">
        <f>'NKC2-%'!D66</f>
        <v xml:space="preserve">            1st Floor</v>
      </c>
      <c r="C56" s="104">
        <f>'NKC2-%'!F66</f>
        <v>19629695.090759546</v>
      </c>
      <c r="D56" s="87" t="str">
        <f>'NKC2-%'!G66</f>
        <v>P</v>
      </c>
      <c r="E56" s="109">
        <f>'NKC2-%'!K66*100</f>
        <v>100.00000000000003</v>
      </c>
      <c r="F56" s="109">
        <f>'NKC2-%'!M66*100</f>
        <v>0</v>
      </c>
      <c r="G56" s="109">
        <f>'NKC2-%'!N66*100</f>
        <v>0</v>
      </c>
      <c r="H56" s="109">
        <f>'NKC2-%'!O66*100</f>
        <v>0</v>
      </c>
      <c r="I56" s="109">
        <f>'NKC2-%'!P66*100</f>
        <v>0</v>
      </c>
      <c r="J56" s="109">
        <f>'NKC2-%'!Q66*100</f>
        <v>0</v>
      </c>
      <c r="K56" s="109">
        <f>'NKC2-%'!R66*100</f>
        <v>0</v>
      </c>
      <c r="L56" s="109">
        <f>'NKC2-%'!S66*100</f>
        <v>0</v>
      </c>
      <c r="M56" s="109">
        <f>'NKC2-%'!T66*100</f>
        <v>0</v>
      </c>
      <c r="N56" s="109">
        <f>'NKC2-%'!U66*100</f>
        <v>0</v>
      </c>
      <c r="O56" s="109">
        <f>'NKC2-%'!V66*100</f>
        <v>0</v>
      </c>
      <c r="P56" s="109">
        <f>'NKC2-%'!W66*100</f>
        <v>0</v>
      </c>
      <c r="Q56" s="109">
        <f>'NKC2-%'!X66*100</f>
        <v>0</v>
      </c>
      <c r="R56" s="109">
        <f>'NKC2-%'!Y66*100</f>
        <v>0</v>
      </c>
      <c r="S56" s="109">
        <f>'NKC2-%'!Z66*100</f>
        <v>0</v>
      </c>
      <c r="T56" s="109">
        <f>'NKC2-%'!AA66*100</f>
        <v>0</v>
      </c>
      <c r="U56" s="109">
        <f>'NKC2-%'!AB66*100</f>
        <v>0</v>
      </c>
      <c r="V56" s="109">
        <f>'NKC2-%'!AC66*100</f>
        <v>0</v>
      </c>
      <c r="W56" s="109">
        <f>'NKC2-%'!AD66*100</f>
        <v>0</v>
      </c>
      <c r="X56" s="109">
        <f>'NKC2-%'!AE66*100</f>
        <v>0</v>
      </c>
      <c r="Y56" s="109">
        <f>'NKC2-%'!AF66*100</f>
        <v>0</v>
      </c>
      <c r="Z56" s="109">
        <f>'NKC2-%'!AG66*100</f>
        <v>0</v>
      </c>
      <c r="AA56" s="109">
        <f>'NKC2-%'!AH66*100</f>
        <v>0</v>
      </c>
      <c r="AB56" s="109">
        <f>'NKC2-%'!AI66*100</f>
        <v>0</v>
      </c>
      <c r="AC56" s="109">
        <f>'NKC2-%'!AJ66*100</f>
        <v>0</v>
      </c>
      <c r="AD56" s="109">
        <f>'NKC2-%'!AK66*100</f>
        <v>0</v>
      </c>
      <c r="AE56" s="109">
        <f>'NKC2-%'!AL66*100</f>
        <v>0</v>
      </c>
      <c r="AF56" s="109">
        <f>'NKC2-%'!AM66*100</f>
        <v>0</v>
      </c>
      <c r="AG56" s="109">
        <f>'NKC2-%'!AN66*100</f>
        <v>0</v>
      </c>
      <c r="AH56" s="109">
        <f>'NKC2-%'!AO66*100</f>
        <v>0</v>
      </c>
      <c r="AI56" s="109">
        <f>'NKC2-%'!AP66*100</f>
        <v>0</v>
      </c>
      <c r="AJ56" s="109">
        <f>'NKC2-%'!AQ66*100</f>
        <v>0</v>
      </c>
      <c r="AK56" s="109">
        <f>'NKC2-%'!AR66*100</f>
        <v>0</v>
      </c>
      <c r="AL56" s="109">
        <f>'NKC2-%'!AS66*100</f>
        <v>0</v>
      </c>
      <c r="AM56" s="109">
        <f>'NKC2-%'!AT66*100</f>
        <v>0</v>
      </c>
      <c r="AN56" s="109">
        <f>'NKC2-%'!AU66*100</f>
        <v>0</v>
      </c>
      <c r="AO56" s="109">
        <f>'NKC2-%'!AV66*100</f>
        <v>5</v>
      </c>
      <c r="AP56" s="109">
        <f>'NKC2-%'!AW66*100</f>
        <v>5</v>
      </c>
      <c r="AQ56" s="109">
        <f>'NKC2-%'!AX66*100</f>
        <v>5</v>
      </c>
      <c r="AR56" s="109">
        <f>'NKC2-%'!AY66*100</f>
        <v>5</v>
      </c>
      <c r="AS56" s="109">
        <f>'NKC2-%'!AZ66*100</f>
        <v>5</v>
      </c>
      <c r="AT56" s="109">
        <f>'NKC2-%'!BA66*100</f>
        <v>5</v>
      </c>
      <c r="AU56" s="109">
        <f>'NKC2-%'!BB66*100</f>
        <v>5</v>
      </c>
      <c r="AV56" s="109">
        <f>'NKC2-%'!BC66*100</f>
        <v>5</v>
      </c>
      <c r="AW56" s="109">
        <f>'NKC2-%'!BD66*100</f>
        <v>5</v>
      </c>
      <c r="AX56" s="109">
        <f>'NKC2-%'!BE66*100</f>
        <v>5</v>
      </c>
      <c r="AY56" s="109">
        <f>'NKC2-%'!BF66*100</f>
        <v>5</v>
      </c>
      <c r="AZ56" s="109">
        <f>'NKC2-%'!BG66*100</f>
        <v>5</v>
      </c>
      <c r="BA56" s="109">
        <f>'NKC2-%'!BH66*100</f>
        <v>5</v>
      </c>
      <c r="BB56" s="109">
        <f>'NKC2-%'!BI66*100</f>
        <v>5</v>
      </c>
      <c r="BC56" s="109">
        <f>'NKC2-%'!BJ66*100</f>
        <v>5</v>
      </c>
      <c r="BD56" s="109">
        <f>'NKC2-%'!BK66*100</f>
        <v>5</v>
      </c>
      <c r="BE56" s="109">
        <f>'NKC2-%'!BL66*100</f>
        <v>5</v>
      </c>
      <c r="BF56" s="109">
        <f>'NKC2-%'!BM66*100</f>
        <v>5</v>
      </c>
      <c r="BG56" s="109">
        <f>'NKC2-%'!BN66*100</f>
        <v>5</v>
      </c>
      <c r="BH56" s="109">
        <f>'NKC2-%'!BO66*100</f>
        <v>5</v>
      </c>
      <c r="BI56" s="109">
        <f>'NKC2-%'!BP66*100</f>
        <v>0</v>
      </c>
      <c r="BJ56" s="109">
        <f>'NKC2-%'!BQ66*100</f>
        <v>0</v>
      </c>
      <c r="BK56" s="109">
        <f>'NKC2-%'!BR66*100</f>
        <v>0</v>
      </c>
      <c r="BL56" s="109">
        <f>'NKC2-%'!BS66*100</f>
        <v>0</v>
      </c>
      <c r="BM56" s="109">
        <f>'NKC2-%'!BT66*100</f>
        <v>0</v>
      </c>
      <c r="BN56" s="109">
        <f>'NKC2-%'!BU66*100</f>
        <v>0</v>
      </c>
      <c r="BO56" s="109">
        <f>'NKC2-%'!BV66*100</f>
        <v>0</v>
      </c>
      <c r="BP56" s="109">
        <f>'NKC2-%'!BW66*100</f>
        <v>0</v>
      </c>
      <c r="BQ56" s="109">
        <f>'NKC2-%'!BX66*100</f>
        <v>0</v>
      </c>
      <c r="BR56" s="109">
        <f>'NKC2-%'!BY66*100</f>
        <v>0</v>
      </c>
      <c r="BS56" s="109">
        <f>'NKC2-%'!BZ66*100</f>
        <v>0</v>
      </c>
      <c r="BT56" s="109">
        <f>'NKC2-%'!CA66*100</f>
        <v>0</v>
      </c>
      <c r="BU56" s="109">
        <f>'NKC2-%'!CB66*100</f>
        <v>0</v>
      </c>
      <c r="BV56" s="109">
        <f>'NKC2-%'!CC66*100</f>
        <v>0</v>
      </c>
      <c r="BW56" s="109">
        <f>'NKC2-%'!CD66*100</f>
        <v>0</v>
      </c>
      <c r="BX56" s="109">
        <f>'NKC2-%'!CE66*100</f>
        <v>0</v>
      </c>
      <c r="BY56" s="109">
        <f>'NKC2-%'!CF66*100</f>
        <v>0</v>
      </c>
      <c r="BZ56" s="109">
        <f>'NKC2-%'!CG66*100</f>
        <v>0</v>
      </c>
      <c r="CA56" s="109">
        <f>'NKC2-%'!CH66*100</f>
        <v>0</v>
      </c>
      <c r="CB56" s="109">
        <f>'NKC2-%'!CI66*100</f>
        <v>0</v>
      </c>
      <c r="CC56" s="109">
        <f>'NKC2-%'!CJ66*100</f>
        <v>0</v>
      </c>
      <c r="CD56" s="109">
        <f>'NKC2-%'!CK66*100</f>
        <v>0</v>
      </c>
      <c r="CE56" s="109">
        <f>'NKC2-%'!CL66*100</f>
        <v>0</v>
      </c>
      <c r="CF56" s="109">
        <f>'NKC2-%'!CM66*100</f>
        <v>0</v>
      </c>
      <c r="CG56" s="109">
        <f>'NKC2-%'!CN66*100</f>
        <v>0</v>
      </c>
      <c r="CH56" s="109">
        <f>'NKC2-%'!CO66*100</f>
        <v>0</v>
      </c>
      <c r="CI56" s="109">
        <f>'NKC2-%'!CP66*100</f>
        <v>0</v>
      </c>
    </row>
    <row r="57" spans="1:87" x14ac:dyDescent="0.45">
      <c r="A57" s="266" t="str">
        <f>'NKC2-%'!B67</f>
        <v>1.4.1.5</v>
      </c>
      <c r="B57" t="str">
        <f>'NKC2-%'!D67</f>
        <v xml:space="preserve">            1st Floor</v>
      </c>
      <c r="C57" s="104">
        <f>'NKC2-%'!F67</f>
        <v>19629695.090759546</v>
      </c>
      <c r="D57" s="87" t="str">
        <f>'NKC2-%'!G67</f>
        <v>A</v>
      </c>
      <c r="E57" s="109">
        <f>'NKC2-%'!K67*100</f>
        <v>0</v>
      </c>
      <c r="F57" s="109">
        <f>'NKC2-%'!M67*100</f>
        <v>0</v>
      </c>
      <c r="G57" s="109">
        <f>'NKC2-%'!N67*100</f>
        <v>0</v>
      </c>
      <c r="H57" s="109">
        <f>'NKC2-%'!O67*100</f>
        <v>0</v>
      </c>
      <c r="I57" s="109">
        <f>'NKC2-%'!P67*100</f>
        <v>0</v>
      </c>
      <c r="J57" s="109">
        <f>'NKC2-%'!Q67*100</f>
        <v>0</v>
      </c>
      <c r="K57" s="109">
        <f>'NKC2-%'!R67*100</f>
        <v>0</v>
      </c>
      <c r="L57" s="109">
        <f>'NKC2-%'!S67*100</f>
        <v>0</v>
      </c>
      <c r="M57" s="109">
        <f>'NKC2-%'!T67*100</f>
        <v>0</v>
      </c>
      <c r="N57" s="109">
        <f>'NKC2-%'!U67*100</f>
        <v>0</v>
      </c>
      <c r="O57" s="109">
        <f>'NKC2-%'!V67*100</f>
        <v>0</v>
      </c>
      <c r="P57" s="109">
        <f>'NKC2-%'!W67*100</f>
        <v>0</v>
      </c>
      <c r="Q57" s="109">
        <f>'NKC2-%'!X67*100</f>
        <v>0</v>
      </c>
      <c r="R57" s="109">
        <f>'NKC2-%'!Y67*100</f>
        <v>0</v>
      </c>
      <c r="S57" s="109">
        <f>'NKC2-%'!Z67*100</f>
        <v>0</v>
      </c>
      <c r="T57" s="109">
        <f>'NKC2-%'!AA67*100</f>
        <v>0</v>
      </c>
      <c r="U57" s="109">
        <f>'NKC2-%'!AB67*100</f>
        <v>0</v>
      </c>
      <c r="V57" s="109">
        <f>'NKC2-%'!AC67*100</f>
        <v>0</v>
      </c>
      <c r="W57" s="109">
        <f>'NKC2-%'!AD67*100</f>
        <v>0</v>
      </c>
      <c r="X57" s="109">
        <f>'NKC2-%'!AE67*100</f>
        <v>0</v>
      </c>
      <c r="Y57" s="109">
        <f>'NKC2-%'!AF67*100</f>
        <v>0</v>
      </c>
      <c r="Z57" s="109">
        <f>'NKC2-%'!AG67*100</f>
        <v>0</v>
      </c>
      <c r="AA57" s="109">
        <f>'NKC2-%'!AH67*100</f>
        <v>0</v>
      </c>
      <c r="AB57" s="109">
        <f>'NKC2-%'!AI67*100</f>
        <v>0</v>
      </c>
      <c r="AC57" s="109">
        <f>'NKC2-%'!AJ67*100</f>
        <v>0</v>
      </c>
      <c r="AD57" s="109">
        <f>'NKC2-%'!AK67*100</f>
        <v>0</v>
      </c>
      <c r="AE57" s="109">
        <f>'NKC2-%'!AL67*100</f>
        <v>0</v>
      </c>
      <c r="AF57" s="109">
        <f>'NKC2-%'!AM67*100</f>
        <v>0</v>
      </c>
      <c r="AG57" s="109">
        <f>'NKC2-%'!AN67*100</f>
        <v>0</v>
      </c>
      <c r="AH57" s="109">
        <f>'NKC2-%'!AO67*100</f>
        <v>0</v>
      </c>
      <c r="AI57" s="109">
        <f>'NKC2-%'!AP67*100</f>
        <v>0</v>
      </c>
      <c r="AJ57" s="109">
        <f>'NKC2-%'!AQ67*100</f>
        <v>0</v>
      </c>
      <c r="AK57" s="109">
        <f>'NKC2-%'!AR67*100</f>
        <v>0</v>
      </c>
      <c r="AL57" s="109">
        <f>'NKC2-%'!AS67*100</f>
        <v>0</v>
      </c>
      <c r="AM57" s="109">
        <f>'NKC2-%'!AT67*100</f>
        <v>0</v>
      </c>
      <c r="AN57" s="109">
        <f>'NKC2-%'!AU67*100</f>
        <v>0</v>
      </c>
      <c r="AO57" s="109">
        <f>'NKC2-%'!AV67*100</f>
        <v>0</v>
      </c>
      <c r="AP57" s="109">
        <f>'NKC2-%'!AW67*100</f>
        <v>0</v>
      </c>
      <c r="AQ57" s="109">
        <f>'NKC2-%'!AX67*100</f>
        <v>0</v>
      </c>
      <c r="AR57" s="109">
        <f>'NKC2-%'!AY67*100</f>
        <v>0</v>
      </c>
      <c r="AS57" s="109">
        <f>'NKC2-%'!AZ67*100</f>
        <v>0</v>
      </c>
      <c r="AT57" s="109">
        <f>'NKC2-%'!BA67*100</f>
        <v>0</v>
      </c>
      <c r="AU57" s="109">
        <f>'NKC2-%'!BB67*100</f>
        <v>0</v>
      </c>
      <c r="AV57" s="109">
        <f>'NKC2-%'!BC67*100</f>
        <v>0</v>
      </c>
      <c r="AW57" s="109">
        <f>'NKC2-%'!BD67*100</f>
        <v>0</v>
      </c>
      <c r="AX57" s="109">
        <f>'NKC2-%'!BE67*100</f>
        <v>0</v>
      </c>
      <c r="AY57" s="109">
        <f>'NKC2-%'!BF67*100</f>
        <v>0</v>
      </c>
      <c r="AZ57" s="109">
        <f>'NKC2-%'!BG67*100</f>
        <v>0</v>
      </c>
      <c r="BA57" s="109">
        <f>'NKC2-%'!BH67*100</f>
        <v>0</v>
      </c>
      <c r="BB57" s="109">
        <f>'NKC2-%'!BI67*100</f>
        <v>0</v>
      </c>
      <c r="BC57" s="109">
        <f>'NKC2-%'!BJ67*100</f>
        <v>0</v>
      </c>
      <c r="BD57" s="109">
        <f>'NKC2-%'!BK67*100</f>
        <v>0</v>
      </c>
      <c r="BE57" s="109">
        <f>'NKC2-%'!BL67*100</f>
        <v>0</v>
      </c>
      <c r="BF57" s="109">
        <f>'NKC2-%'!BM67*100</f>
        <v>0</v>
      </c>
      <c r="BG57" s="109">
        <f>'NKC2-%'!BN67*100</f>
        <v>0</v>
      </c>
      <c r="BH57" s="109">
        <f>'NKC2-%'!BO67*100</f>
        <v>0</v>
      </c>
      <c r="BI57" s="109">
        <f>'NKC2-%'!BP67*100</f>
        <v>0</v>
      </c>
      <c r="BJ57" s="109">
        <f>'NKC2-%'!BQ67*100</f>
        <v>0</v>
      </c>
      <c r="BK57" s="109">
        <f>'NKC2-%'!BR67*100</f>
        <v>0</v>
      </c>
      <c r="BL57" s="109">
        <f>'NKC2-%'!BS67*100</f>
        <v>0</v>
      </c>
      <c r="BM57" s="109">
        <f>'NKC2-%'!BT67*100</f>
        <v>0</v>
      </c>
      <c r="BN57" s="109">
        <f>'NKC2-%'!BU67*100</f>
        <v>0</v>
      </c>
      <c r="BO57" s="109">
        <f>'NKC2-%'!BV67*100</f>
        <v>0</v>
      </c>
      <c r="BP57" s="109">
        <f>'NKC2-%'!BW67*100</f>
        <v>0</v>
      </c>
      <c r="BQ57" s="109">
        <f>'NKC2-%'!BX67*100</f>
        <v>0</v>
      </c>
      <c r="BR57" s="109">
        <f>'NKC2-%'!BY67*100</f>
        <v>0</v>
      </c>
      <c r="BS57" s="109">
        <f>'NKC2-%'!BZ67*100</f>
        <v>0</v>
      </c>
      <c r="BT57" s="109">
        <f>'NKC2-%'!CA67*100</f>
        <v>0</v>
      </c>
      <c r="BU57" s="109">
        <f>'NKC2-%'!CB67*100</f>
        <v>0</v>
      </c>
      <c r="BV57" s="109">
        <f>'NKC2-%'!CC67*100</f>
        <v>0</v>
      </c>
      <c r="BW57" s="109">
        <f>'NKC2-%'!CD67*100</f>
        <v>0</v>
      </c>
      <c r="BX57" s="109">
        <f>'NKC2-%'!CE67*100</f>
        <v>0</v>
      </c>
      <c r="BY57" s="109">
        <f>'NKC2-%'!CF67*100</f>
        <v>0</v>
      </c>
      <c r="BZ57" s="109">
        <f>'NKC2-%'!CG67*100</f>
        <v>0</v>
      </c>
      <c r="CA57" s="109">
        <f>'NKC2-%'!CH67*100</f>
        <v>0</v>
      </c>
      <c r="CB57" s="109">
        <f>'NKC2-%'!CI67*100</f>
        <v>0</v>
      </c>
      <c r="CC57" s="109">
        <f>'NKC2-%'!CJ67*100</f>
        <v>0</v>
      </c>
      <c r="CD57" s="109">
        <f>'NKC2-%'!CK67*100</f>
        <v>0</v>
      </c>
      <c r="CE57" s="109">
        <f>'NKC2-%'!CL67*100</f>
        <v>0</v>
      </c>
      <c r="CF57" s="109">
        <f>'NKC2-%'!CM67*100</f>
        <v>0</v>
      </c>
      <c r="CG57" s="109">
        <f>'NKC2-%'!CN67*100</f>
        <v>0</v>
      </c>
      <c r="CH57" s="109">
        <f>'NKC2-%'!CO67*100</f>
        <v>0</v>
      </c>
      <c r="CI57" s="109">
        <f>'NKC2-%'!CP67*100</f>
        <v>0</v>
      </c>
    </row>
    <row r="58" spans="1:87" x14ac:dyDescent="0.45">
      <c r="A58" s="266" t="str">
        <f>'NKC2-%'!B68</f>
        <v>1.4.3</v>
      </c>
      <c r="B58" t="str">
        <f>'NKC2-%'!D68</f>
        <v>Existing Stair Repair</v>
      </c>
      <c r="C58" s="104">
        <f>'NKC2-%'!F68</f>
        <v>3065369.6835999996</v>
      </c>
      <c r="D58" s="87" t="str">
        <f>'NKC2-%'!G68</f>
        <v>P</v>
      </c>
      <c r="E58" s="109">
        <f>'NKC2-%'!K68*100</f>
        <v>100</v>
      </c>
      <c r="F58" s="109">
        <f>'NKC2-%'!M68*100</f>
        <v>0</v>
      </c>
      <c r="G58" s="109">
        <f>'NKC2-%'!N68*100</f>
        <v>0</v>
      </c>
      <c r="H58" s="109">
        <f>'NKC2-%'!O68*100</f>
        <v>0</v>
      </c>
      <c r="I58" s="109">
        <f>'NKC2-%'!P68*100</f>
        <v>0</v>
      </c>
      <c r="J58" s="109">
        <f>'NKC2-%'!Q68*100</f>
        <v>0</v>
      </c>
      <c r="K58" s="109">
        <f>'NKC2-%'!R68*100</f>
        <v>0</v>
      </c>
      <c r="L58" s="109">
        <f>'NKC2-%'!S68*100</f>
        <v>0</v>
      </c>
      <c r="M58" s="109">
        <f>'NKC2-%'!T68*100</f>
        <v>0</v>
      </c>
      <c r="N58" s="109">
        <f>'NKC2-%'!U68*100</f>
        <v>0</v>
      </c>
      <c r="O58" s="109">
        <f>'NKC2-%'!V68*100</f>
        <v>0</v>
      </c>
      <c r="P58" s="109">
        <f>'NKC2-%'!W68*100</f>
        <v>0</v>
      </c>
      <c r="Q58" s="109">
        <f>'NKC2-%'!X68*100</f>
        <v>0</v>
      </c>
      <c r="R58" s="109">
        <f>'NKC2-%'!Y68*100</f>
        <v>0</v>
      </c>
      <c r="S58" s="109">
        <f>'NKC2-%'!Z68*100</f>
        <v>0</v>
      </c>
      <c r="T58" s="109">
        <f>'NKC2-%'!AA68*100</f>
        <v>0</v>
      </c>
      <c r="U58" s="109">
        <f>'NKC2-%'!AB68*100</f>
        <v>0</v>
      </c>
      <c r="V58" s="109">
        <f>'NKC2-%'!AC68*100</f>
        <v>0</v>
      </c>
      <c r="W58" s="109">
        <f>'NKC2-%'!AD68*100</f>
        <v>0</v>
      </c>
      <c r="X58" s="109">
        <f>'NKC2-%'!AE68*100</f>
        <v>0</v>
      </c>
      <c r="Y58" s="109">
        <f>'NKC2-%'!AF68*100</f>
        <v>0</v>
      </c>
      <c r="Z58" s="109">
        <f>'NKC2-%'!AG68*100</f>
        <v>0</v>
      </c>
      <c r="AA58" s="109">
        <f>'NKC2-%'!AH68*100</f>
        <v>0</v>
      </c>
      <c r="AB58" s="109">
        <f>'NKC2-%'!AI68*100</f>
        <v>0</v>
      </c>
      <c r="AC58" s="109">
        <f>'NKC2-%'!AJ68*100</f>
        <v>0</v>
      </c>
      <c r="AD58" s="109">
        <f>'NKC2-%'!AK68*100</f>
        <v>0</v>
      </c>
      <c r="AE58" s="109">
        <f>'NKC2-%'!AL68*100</f>
        <v>0</v>
      </c>
      <c r="AF58" s="109">
        <f>'NKC2-%'!AM68*100</f>
        <v>0</v>
      </c>
      <c r="AG58" s="109">
        <f>'NKC2-%'!AN68*100</f>
        <v>0</v>
      </c>
      <c r="AH58" s="109">
        <f>'NKC2-%'!AO68*100</f>
        <v>0</v>
      </c>
      <c r="AI58" s="109">
        <f>'NKC2-%'!AP68*100</f>
        <v>0</v>
      </c>
      <c r="AJ58" s="109">
        <f>'NKC2-%'!AQ68*100</f>
        <v>0</v>
      </c>
      <c r="AK58" s="109">
        <f>'NKC2-%'!AR68*100</f>
        <v>0</v>
      </c>
      <c r="AL58" s="109">
        <f>'NKC2-%'!AS68*100</f>
        <v>0</v>
      </c>
      <c r="AM58" s="109">
        <f>'NKC2-%'!AT68*100</f>
        <v>0</v>
      </c>
      <c r="AN58" s="109">
        <f>'NKC2-%'!AU68*100</f>
        <v>0</v>
      </c>
      <c r="AO58" s="109">
        <f>'NKC2-%'!AV68*100</f>
        <v>0</v>
      </c>
      <c r="AP58" s="109">
        <f>'NKC2-%'!AW68*100</f>
        <v>0</v>
      </c>
      <c r="AQ58" s="109">
        <f>'NKC2-%'!AX68*100</f>
        <v>0</v>
      </c>
      <c r="AR58" s="109">
        <f>'NKC2-%'!AY68*100</f>
        <v>0</v>
      </c>
      <c r="AS58" s="109">
        <f>'NKC2-%'!AZ68*100</f>
        <v>0</v>
      </c>
      <c r="AT58" s="109">
        <f>'NKC2-%'!BA68*100</f>
        <v>0</v>
      </c>
      <c r="AU58" s="109">
        <f>'NKC2-%'!BB68*100</f>
        <v>0</v>
      </c>
      <c r="AV58" s="109">
        <f>'NKC2-%'!BC68*100</f>
        <v>0</v>
      </c>
      <c r="AW58" s="109">
        <f>'NKC2-%'!BD68*100</f>
        <v>0</v>
      </c>
      <c r="AX58" s="109">
        <f>'NKC2-%'!BE68*100</f>
        <v>0</v>
      </c>
      <c r="AY58" s="109">
        <f>'NKC2-%'!BF68*100</f>
        <v>0</v>
      </c>
      <c r="AZ58" s="109">
        <f>'NKC2-%'!BG68*100</f>
        <v>0</v>
      </c>
      <c r="BA58" s="109">
        <f>'NKC2-%'!BH68*100</f>
        <v>0</v>
      </c>
      <c r="BB58" s="109">
        <f>'NKC2-%'!BI68*100</f>
        <v>0</v>
      </c>
      <c r="BC58" s="109">
        <f>'NKC2-%'!BJ68*100</f>
        <v>0</v>
      </c>
      <c r="BD58" s="109">
        <f>'NKC2-%'!BK68*100</f>
        <v>0</v>
      </c>
      <c r="BE58" s="109">
        <f>'NKC2-%'!BL68*100</f>
        <v>0</v>
      </c>
      <c r="BF58" s="109">
        <f>'NKC2-%'!BM68*100</f>
        <v>0</v>
      </c>
      <c r="BG58" s="109">
        <f>'NKC2-%'!BN68*100</f>
        <v>0</v>
      </c>
      <c r="BH58" s="109">
        <f>'NKC2-%'!BO68*100</f>
        <v>0</v>
      </c>
      <c r="BI58" s="109">
        <f>'NKC2-%'!BP68*100</f>
        <v>0</v>
      </c>
      <c r="BJ58" s="109">
        <f>'NKC2-%'!BQ68*100</f>
        <v>5</v>
      </c>
      <c r="BK58" s="109">
        <f>'NKC2-%'!BR68*100</f>
        <v>5</v>
      </c>
      <c r="BL58" s="109">
        <f>'NKC2-%'!BS68*100</f>
        <v>10</v>
      </c>
      <c r="BM58" s="109">
        <f>'NKC2-%'!BT68*100</f>
        <v>15</v>
      </c>
      <c r="BN58" s="109">
        <f>'NKC2-%'!BU68*100</f>
        <v>15</v>
      </c>
      <c r="BO58" s="109">
        <f>'NKC2-%'!BV68*100</f>
        <v>15</v>
      </c>
      <c r="BP58" s="109">
        <f>'NKC2-%'!BW68*100</f>
        <v>15</v>
      </c>
      <c r="BQ58" s="109">
        <f>'NKC2-%'!BX68*100</f>
        <v>10</v>
      </c>
      <c r="BR58" s="109">
        <f>'NKC2-%'!BY68*100</f>
        <v>10</v>
      </c>
      <c r="BS58" s="109">
        <f>'NKC2-%'!BZ68*100</f>
        <v>0</v>
      </c>
      <c r="BT58" s="109">
        <f>'NKC2-%'!CA68*100</f>
        <v>0</v>
      </c>
      <c r="BU58" s="109">
        <f>'NKC2-%'!CB68*100</f>
        <v>0</v>
      </c>
      <c r="BV58" s="109">
        <f>'NKC2-%'!CC68*100</f>
        <v>0</v>
      </c>
      <c r="BW58" s="109">
        <f>'NKC2-%'!CD68*100</f>
        <v>0</v>
      </c>
      <c r="BX58" s="109">
        <f>'NKC2-%'!CE68*100</f>
        <v>0</v>
      </c>
      <c r="BY58" s="109">
        <f>'NKC2-%'!CF68*100</f>
        <v>0</v>
      </c>
      <c r="BZ58" s="109">
        <f>'NKC2-%'!CG68*100</f>
        <v>0</v>
      </c>
      <c r="CA58" s="109">
        <f>'NKC2-%'!CH68*100</f>
        <v>0</v>
      </c>
      <c r="CB58" s="109">
        <f>'NKC2-%'!CI68*100</f>
        <v>0</v>
      </c>
      <c r="CC58" s="109">
        <f>'NKC2-%'!CJ68*100</f>
        <v>0</v>
      </c>
      <c r="CD58" s="109">
        <f>'NKC2-%'!CK68*100</f>
        <v>0</v>
      </c>
      <c r="CE58" s="109">
        <f>'NKC2-%'!CL68*100</f>
        <v>0</v>
      </c>
      <c r="CF58" s="109">
        <f>'NKC2-%'!CM68*100</f>
        <v>0</v>
      </c>
      <c r="CG58" s="109">
        <f>'NKC2-%'!CN68*100</f>
        <v>0</v>
      </c>
      <c r="CH58" s="109">
        <f>'NKC2-%'!CO68*100</f>
        <v>0</v>
      </c>
      <c r="CI58" s="109">
        <f>'NKC2-%'!CP68*100</f>
        <v>0</v>
      </c>
    </row>
    <row r="59" spans="1:87" x14ac:dyDescent="0.45">
      <c r="A59" s="266" t="str">
        <f>'NKC2-%'!B69</f>
        <v>1.4.3</v>
      </c>
      <c r="B59" t="str">
        <f>'NKC2-%'!D69</f>
        <v>Existing Stair Repair</v>
      </c>
      <c r="C59" s="104">
        <f>'NKC2-%'!F69</f>
        <v>3065369.6835999996</v>
      </c>
      <c r="D59" s="87" t="str">
        <f>'NKC2-%'!G69</f>
        <v>A</v>
      </c>
      <c r="E59" s="109">
        <f>'NKC2-%'!K69*100</f>
        <v>0</v>
      </c>
      <c r="F59" s="109">
        <f>'NKC2-%'!M69*100</f>
        <v>0</v>
      </c>
      <c r="G59" s="109">
        <f>'NKC2-%'!N69*100</f>
        <v>0</v>
      </c>
      <c r="H59" s="109">
        <f>'NKC2-%'!O69*100</f>
        <v>0</v>
      </c>
      <c r="I59" s="109">
        <f>'NKC2-%'!P69*100</f>
        <v>0</v>
      </c>
      <c r="J59" s="109">
        <f>'NKC2-%'!Q69*100</f>
        <v>0</v>
      </c>
      <c r="K59" s="109">
        <f>'NKC2-%'!R69*100</f>
        <v>0</v>
      </c>
      <c r="L59" s="109">
        <f>'NKC2-%'!S69*100</f>
        <v>0</v>
      </c>
      <c r="M59" s="109">
        <f>'NKC2-%'!T69*100</f>
        <v>0</v>
      </c>
      <c r="N59" s="109">
        <f>'NKC2-%'!U69*100</f>
        <v>0</v>
      </c>
      <c r="O59" s="109">
        <f>'NKC2-%'!V69*100</f>
        <v>0</v>
      </c>
      <c r="P59" s="109">
        <f>'NKC2-%'!W69*100</f>
        <v>0</v>
      </c>
      <c r="Q59" s="109">
        <f>'NKC2-%'!X69*100</f>
        <v>0</v>
      </c>
      <c r="R59" s="109">
        <f>'NKC2-%'!Y69*100</f>
        <v>0</v>
      </c>
      <c r="S59" s="109">
        <f>'NKC2-%'!Z69*100</f>
        <v>0</v>
      </c>
      <c r="T59" s="109">
        <f>'NKC2-%'!AA69*100</f>
        <v>0</v>
      </c>
      <c r="U59" s="109">
        <f>'NKC2-%'!AB69*100</f>
        <v>0</v>
      </c>
      <c r="V59" s="109">
        <f>'NKC2-%'!AC69*100</f>
        <v>0</v>
      </c>
      <c r="W59" s="109">
        <f>'NKC2-%'!AD69*100</f>
        <v>0</v>
      </c>
      <c r="X59" s="109">
        <f>'NKC2-%'!AE69*100</f>
        <v>0</v>
      </c>
      <c r="Y59" s="109">
        <f>'NKC2-%'!AF69*100</f>
        <v>0</v>
      </c>
      <c r="Z59" s="109">
        <f>'NKC2-%'!AG69*100</f>
        <v>0</v>
      </c>
      <c r="AA59" s="109">
        <f>'NKC2-%'!AH69*100</f>
        <v>0</v>
      </c>
      <c r="AB59" s="109">
        <f>'NKC2-%'!AI69*100</f>
        <v>0</v>
      </c>
      <c r="AC59" s="109">
        <f>'NKC2-%'!AJ69*100</f>
        <v>0</v>
      </c>
      <c r="AD59" s="109">
        <f>'NKC2-%'!AK69*100</f>
        <v>0</v>
      </c>
      <c r="AE59" s="109">
        <f>'NKC2-%'!AL69*100</f>
        <v>0</v>
      </c>
      <c r="AF59" s="109">
        <f>'NKC2-%'!AM69*100</f>
        <v>0</v>
      </c>
      <c r="AG59" s="109">
        <f>'NKC2-%'!AN69*100</f>
        <v>0</v>
      </c>
      <c r="AH59" s="109">
        <f>'NKC2-%'!AO69*100</f>
        <v>0</v>
      </c>
      <c r="AI59" s="109">
        <f>'NKC2-%'!AP69*100</f>
        <v>0</v>
      </c>
      <c r="AJ59" s="109">
        <f>'NKC2-%'!AQ69*100</f>
        <v>0</v>
      </c>
      <c r="AK59" s="109">
        <f>'NKC2-%'!AR69*100</f>
        <v>0</v>
      </c>
      <c r="AL59" s="109">
        <f>'NKC2-%'!AS69*100</f>
        <v>0</v>
      </c>
      <c r="AM59" s="109">
        <f>'NKC2-%'!AT69*100</f>
        <v>0</v>
      </c>
      <c r="AN59" s="109">
        <f>'NKC2-%'!AU69*100</f>
        <v>0</v>
      </c>
      <c r="AO59" s="109">
        <f>'NKC2-%'!AV69*100</f>
        <v>0</v>
      </c>
      <c r="AP59" s="109">
        <f>'NKC2-%'!AW69*100</f>
        <v>0</v>
      </c>
      <c r="AQ59" s="109">
        <f>'NKC2-%'!AX69*100</f>
        <v>0</v>
      </c>
      <c r="AR59" s="109">
        <f>'NKC2-%'!AY69*100</f>
        <v>0</v>
      </c>
      <c r="AS59" s="109">
        <f>'NKC2-%'!AZ69*100</f>
        <v>0</v>
      </c>
      <c r="AT59" s="109">
        <f>'NKC2-%'!BA69*100</f>
        <v>0</v>
      </c>
      <c r="AU59" s="109">
        <f>'NKC2-%'!BB69*100</f>
        <v>0</v>
      </c>
      <c r="AV59" s="109">
        <f>'NKC2-%'!BC69*100</f>
        <v>0</v>
      </c>
      <c r="AW59" s="109">
        <f>'NKC2-%'!BD69*100</f>
        <v>0</v>
      </c>
      <c r="AX59" s="109">
        <f>'NKC2-%'!BE69*100</f>
        <v>0</v>
      </c>
      <c r="AY59" s="109">
        <f>'NKC2-%'!BF69*100</f>
        <v>0</v>
      </c>
      <c r="AZ59" s="109">
        <f>'NKC2-%'!BG69*100</f>
        <v>0</v>
      </c>
      <c r="BA59" s="109">
        <f>'NKC2-%'!BH69*100</f>
        <v>0</v>
      </c>
      <c r="BB59" s="109">
        <f>'NKC2-%'!BI69*100</f>
        <v>0</v>
      </c>
      <c r="BC59" s="109">
        <f>'NKC2-%'!BJ69*100</f>
        <v>0</v>
      </c>
      <c r="BD59" s="109">
        <f>'NKC2-%'!BK69*100</f>
        <v>0</v>
      </c>
      <c r="BE59" s="109">
        <f>'NKC2-%'!BL69*100</f>
        <v>0</v>
      </c>
      <c r="BF59" s="109">
        <f>'NKC2-%'!BM69*100</f>
        <v>0</v>
      </c>
      <c r="BG59" s="109">
        <f>'NKC2-%'!BN69*100</f>
        <v>0</v>
      </c>
      <c r="BH59" s="109">
        <f>'NKC2-%'!BO69*100</f>
        <v>0</v>
      </c>
      <c r="BI59" s="109">
        <f>'NKC2-%'!BP69*100</f>
        <v>0</v>
      </c>
      <c r="BJ59" s="109">
        <f>'NKC2-%'!BQ69*100</f>
        <v>0</v>
      </c>
      <c r="BK59" s="109">
        <f>'NKC2-%'!BR69*100</f>
        <v>0</v>
      </c>
      <c r="BL59" s="109">
        <f>'NKC2-%'!BS69*100</f>
        <v>0</v>
      </c>
      <c r="BM59" s="109">
        <f>'NKC2-%'!BT69*100</f>
        <v>0</v>
      </c>
      <c r="BN59" s="109">
        <f>'NKC2-%'!BU69*100</f>
        <v>0</v>
      </c>
      <c r="BO59" s="109">
        <f>'NKC2-%'!BV69*100</f>
        <v>0</v>
      </c>
      <c r="BP59" s="109">
        <f>'NKC2-%'!BW69*100</f>
        <v>0</v>
      </c>
      <c r="BQ59" s="109">
        <f>'NKC2-%'!BX69*100</f>
        <v>0</v>
      </c>
      <c r="BR59" s="109">
        <f>'NKC2-%'!BY69*100</f>
        <v>0</v>
      </c>
      <c r="BS59" s="109">
        <f>'NKC2-%'!BZ69*100</f>
        <v>0</v>
      </c>
      <c r="BT59" s="109">
        <f>'NKC2-%'!CA69*100</f>
        <v>0</v>
      </c>
      <c r="BU59" s="109">
        <f>'NKC2-%'!CB69*100</f>
        <v>0</v>
      </c>
      <c r="BV59" s="109">
        <f>'NKC2-%'!CC69*100</f>
        <v>0</v>
      </c>
      <c r="BW59" s="109">
        <f>'NKC2-%'!CD69*100</f>
        <v>0</v>
      </c>
      <c r="BX59" s="109">
        <f>'NKC2-%'!CE69*100</f>
        <v>0</v>
      </c>
      <c r="BY59" s="109">
        <f>'NKC2-%'!CF69*100</f>
        <v>0</v>
      </c>
      <c r="BZ59" s="109">
        <f>'NKC2-%'!CG69*100</f>
        <v>0</v>
      </c>
      <c r="CA59" s="109">
        <f>'NKC2-%'!CH69*100</f>
        <v>0</v>
      </c>
      <c r="CB59" s="109">
        <f>'NKC2-%'!CI69*100</f>
        <v>0</v>
      </c>
      <c r="CC59" s="109">
        <f>'NKC2-%'!CJ69*100</f>
        <v>0</v>
      </c>
      <c r="CD59" s="109">
        <f>'NKC2-%'!CK69*100</f>
        <v>0</v>
      </c>
      <c r="CE59" s="109">
        <f>'NKC2-%'!CL69*100</f>
        <v>0</v>
      </c>
      <c r="CF59" s="109">
        <f>'NKC2-%'!CM69*100</f>
        <v>0</v>
      </c>
      <c r="CG59" s="109">
        <f>'NKC2-%'!CN69*100</f>
        <v>0</v>
      </c>
      <c r="CH59" s="109">
        <f>'NKC2-%'!CO69*100</f>
        <v>0</v>
      </c>
      <c r="CI59" s="109">
        <f>'NKC2-%'!CP69*100</f>
        <v>0</v>
      </c>
    </row>
    <row r="60" spans="1:87" x14ac:dyDescent="0.45">
      <c r="A60" s="266" t="str">
        <f>'NKC2-%'!B70</f>
        <v>1.4.4</v>
      </c>
      <c r="B60" t="str">
        <f>'NKC2-%'!D70</f>
        <v>ID Work</v>
      </c>
      <c r="C60" s="104">
        <f>'NKC2-%'!F70</f>
        <v>6237853.8786000004</v>
      </c>
      <c r="D60" s="87" t="str">
        <f>'NKC2-%'!G70</f>
        <v>P</v>
      </c>
      <c r="E60" s="109">
        <f>'NKC2-%'!K70*100</f>
        <v>100</v>
      </c>
      <c r="F60" s="109">
        <f>'NKC2-%'!M70*100</f>
        <v>0</v>
      </c>
      <c r="G60" s="109">
        <f>'NKC2-%'!N70*100</f>
        <v>0</v>
      </c>
      <c r="H60" s="109">
        <f>'NKC2-%'!O70*100</f>
        <v>0</v>
      </c>
      <c r="I60" s="109">
        <f>'NKC2-%'!P70*100</f>
        <v>0</v>
      </c>
      <c r="J60" s="109">
        <f>'NKC2-%'!Q70*100</f>
        <v>0</v>
      </c>
      <c r="K60" s="109">
        <f>'NKC2-%'!R70*100</f>
        <v>0</v>
      </c>
      <c r="L60" s="109">
        <f>'NKC2-%'!S70*100</f>
        <v>0</v>
      </c>
      <c r="M60" s="109">
        <f>'NKC2-%'!T70*100</f>
        <v>0</v>
      </c>
      <c r="N60" s="109">
        <f>'NKC2-%'!U70*100</f>
        <v>0</v>
      </c>
      <c r="O60" s="109">
        <f>'NKC2-%'!V70*100</f>
        <v>0</v>
      </c>
      <c r="P60" s="109">
        <f>'NKC2-%'!W70*100</f>
        <v>0</v>
      </c>
      <c r="Q60" s="109">
        <f>'NKC2-%'!X70*100</f>
        <v>0</v>
      </c>
      <c r="R60" s="109">
        <f>'NKC2-%'!Y70*100</f>
        <v>0</v>
      </c>
      <c r="S60" s="109">
        <f>'NKC2-%'!Z70*100</f>
        <v>0</v>
      </c>
      <c r="T60" s="109">
        <f>'NKC2-%'!AA70*100</f>
        <v>0</v>
      </c>
      <c r="U60" s="109">
        <f>'NKC2-%'!AB70*100</f>
        <v>0</v>
      </c>
      <c r="V60" s="109">
        <f>'NKC2-%'!AC70*100</f>
        <v>0</v>
      </c>
      <c r="W60" s="109">
        <f>'NKC2-%'!AD70*100</f>
        <v>0</v>
      </c>
      <c r="X60" s="109">
        <f>'NKC2-%'!AE70*100</f>
        <v>0</v>
      </c>
      <c r="Y60" s="109">
        <f>'NKC2-%'!AF70*100</f>
        <v>0</v>
      </c>
      <c r="Z60" s="109">
        <f>'NKC2-%'!AG70*100</f>
        <v>0</v>
      </c>
      <c r="AA60" s="109">
        <f>'NKC2-%'!AH70*100</f>
        <v>0</v>
      </c>
      <c r="AB60" s="109">
        <f>'NKC2-%'!AI70*100</f>
        <v>0</v>
      </c>
      <c r="AC60" s="109">
        <f>'NKC2-%'!AJ70*100</f>
        <v>0</v>
      </c>
      <c r="AD60" s="109">
        <f>'NKC2-%'!AK70*100</f>
        <v>0</v>
      </c>
      <c r="AE60" s="109">
        <f>'NKC2-%'!AL70*100</f>
        <v>0</v>
      </c>
      <c r="AF60" s="109">
        <f>'NKC2-%'!AM70*100</f>
        <v>0</v>
      </c>
      <c r="AG60" s="109">
        <f>'NKC2-%'!AN70*100</f>
        <v>0</v>
      </c>
      <c r="AH60" s="109">
        <f>'NKC2-%'!AO70*100</f>
        <v>0</v>
      </c>
      <c r="AI60" s="109">
        <f>'NKC2-%'!AP70*100</f>
        <v>0</v>
      </c>
      <c r="AJ60" s="109">
        <f>'NKC2-%'!AQ70*100</f>
        <v>0</v>
      </c>
      <c r="AK60" s="109">
        <f>'NKC2-%'!AR70*100</f>
        <v>0</v>
      </c>
      <c r="AL60" s="109">
        <f>'NKC2-%'!AS70*100</f>
        <v>0</v>
      </c>
      <c r="AM60" s="109">
        <f>'NKC2-%'!AT70*100</f>
        <v>0</v>
      </c>
      <c r="AN60" s="109">
        <f>'NKC2-%'!AU70*100</f>
        <v>0</v>
      </c>
      <c r="AO60" s="109">
        <f>'NKC2-%'!AV70*100</f>
        <v>0</v>
      </c>
      <c r="AP60" s="109">
        <f>'NKC2-%'!AW70*100</f>
        <v>0</v>
      </c>
      <c r="AQ60" s="109">
        <f>'NKC2-%'!AX70*100</f>
        <v>0</v>
      </c>
      <c r="AR60" s="109">
        <f>'NKC2-%'!AY70*100</f>
        <v>0</v>
      </c>
      <c r="AS60" s="109">
        <f>'NKC2-%'!AZ70*100</f>
        <v>0</v>
      </c>
      <c r="AT60" s="109">
        <f>'NKC2-%'!BA70*100</f>
        <v>0</v>
      </c>
      <c r="AU60" s="109">
        <f>'NKC2-%'!BB70*100</f>
        <v>0</v>
      </c>
      <c r="AV60" s="109">
        <f>'NKC2-%'!BC70*100</f>
        <v>0</v>
      </c>
      <c r="AW60" s="109">
        <f>'NKC2-%'!BD70*100</f>
        <v>0</v>
      </c>
      <c r="AX60" s="109">
        <f>'NKC2-%'!BE70*100</f>
        <v>0</v>
      </c>
      <c r="AY60" s="109">
        <f>'NKC2-%'!BF70*100</f>
        <v>0</v>
      </c>
      <c r="AZ60" s="109">
        <f>'NKC2-%'!BG70*100</f>
        <v>0</v>
      </c>
      <c r="BA60" s="109">
        <f>'NKC2-%'!BH70*100</f>
        <v>0</v>
      </c>
      <c r="BB60" s="109">
        <f>'NKC2-%'!BI70*100</f>
        <v>0</v>
      </c>
      <c r="BC60" s="109">
        <f>'NKC2-%'!BJ70*100</f>
        <v>0</v>
      </c>
      <c r="BD60" s="109">
        <f>'NKC2-%'!BK70*100</f>
        <v>0</v>
      </c>
      <c r="BE60" s="109">
        <f>'NKC2-%'!BL70*100</f>
        <v>0</v>
      </c>
      <c r="BF60" s="109">
        <f>'NKC2-%'!BM70*100</f>
        <v>2</v>
      </c>
      <c r="BG60" s="109">
        <f>'NKC2-%'!BN70*100</f>
        <v>4</v>
      </c>
      <c r="BH60" s="109">
        <f>'NKC2-%'!BO70*100</f>
        <v>4</v>
      </c>
      <c r="BI60" s="109">
        <f>'NKC2-%'!BP70*100</f>
        <v>4</v>
      </c>
      <c r="BJ60" s="109">
        <f>'NKC2-%'!BQ70*100</f>
        <v>10</v>
      </c>
      <c r="BK60" s="109">
        <f>'NKC2-%'!BR70*100</f>
        <v>10</v>
      </c>
      <c r="BL60" s="109">
        <f>'NKC2-%'!BS70*100</f>
        <v>10</v>
      </c>
      <c r="BM60" s="109">
        <f>'NKC2-%'!BT70*100</f>
        <v>10</v>
      </c>
      <c r="BN60" s="109">
        <f>'NKC2-%'!BU70*100</f>
        <v>9</v>
      </c>
      <c r="BO60" s="109">
        <f>'NKC2-%'!BV70*100</f>
        <v>9</v>
      </c>
      <c r="BP60" s="109">
        <f>'NKC2-%'!BW70*100</f>
        <v>8</v>
      </c>
      <c r="BQ60" s="109">
        <f>'NKC2-%'!BX70*100</f>
        <v>8</v>
      </c>
      <c r="BR60" s="109">
        <f>'NKC2-%'!BY70*100</f>
        <v>4</v>
      </c>
      <c r="BS60" s="109">
        <f>'NKC2-%'!BZ70*100</f>
        <v>2</v>
      </c>
      <c r="BT60" s="109">
        <f>'NKC2-%'!CA70*100</f>
        <v>2</v>
      </c>
      <c r="BU60" s="109">
        <f>'NKC2-%'!CB70*100</f>
        <v>2</v>
      </c>
      <c r="BV60" s="109">
        <f>'NKC2-%'!CC70*100</f>
        <v>2</v>
      </c>
      <c r="BW60" s="109">
        <f>'NKC2-%'!CD70*100</f>
        <v>0</v>
      </c>
      <c r="BX60" s="109">
        <f>'NKC2-%'!CE70*100</f>
        <v>0</v>
      </c>
      <c r="BY60" s="109">
        <f>'NKC2-%'!CF70*100</f>
        <v>0</v>
      </c>
      <c r="BZ60" s="109">
        <f>'NKC2-%'!CG70*100</f>
        <v>0</v>
      </c>
      <c r="CA60" s="109">
        <f>'NKC2-%'!CH70*100</f>
        <v>0</v>
      </c>
      <c r="CB60" s="109">
        <f>'NKC2-%'!CI70*100</f>
        <v>0</v>
      </c>
      <c r="CC60" s="109">
        <f>'NKC2-%'!CJ70*100</f>
        <v>0</v>
      </c>
      <c r="CD60" s="109">
        <f>'NKC2-%'!CK70*100</f>
        <v>0</v>
      </c>
      <c r="CE60" s="109">
        <f>'NKC2-%'!CL70*100</f>
        <v>0</v>
      </c>
      <c r="CF60" s="109">
        <f>'NKC2-%'!CM70*100</f>
        <v>0</v>
      </c>
      <c r="CG60" s="109">
        <f>'NKC2-%'!CN70*100</f>
        <v>0</v>
      </c>
      <c r="CH60" s="109">
        <f>'NKC2-%'!CO70*100</f>
        <v>0</v>
      </c>
      <c r="CI60" s="109">
        <f>'NKC2-%'!CP70*100</f>
        <v>0</v>
      </c>
    </row>
    <row r="61" spans="1:87" x14ac:dyDescent="0.45">
      <c r="A61" s="266" t="str">
        <f>'NKC2-%'!B71</f>
        <v>1.4.4</v>
      </c>
      <c r="B61" t="str">
        <f>'NKC2-%'!D71</f>
        <v>ID Work</v>
      </c>
      <c r="C61" s="104">
        <f>'NKC2-%'!F71</f>
        <v>6237853.8786000004</v>
      </c>
      <c r="D61" s="87" t="str">
        <f>'NKC2-%'!G71</f>
        <v>A</v>
      </c>
      <c r="E61" s="109">
        <f>'NKC2-%'!K71*100</f>
        <v>0</v>
      </c>
      <c r="F61" s="109">
        <f>'NKC2-%'!M71*100</f>
        <v>0</v>
      </c>
      <c r="G61" s="109">
        <f>'NKC2-%'!N71*100</f>
        <v>0</v>
      </c>
      <c r="H61" s="109">
        <f>'NKC2-%'!O71*100</f>
        <v>0</v>
      </c>
      <c r="I61" s="109">
        <f>'NKC2-%'!P71*100</f>
        <v>0</v>
      </c>
      <c r="J61" s="109">
        <f>'NKC2-%'!Q71*100</f>
        <v>0</v>
      </c>
      <c r="K61" s="109">
        <f>'NKC2-%'!R71*100</f>
        <v>0</v>
      </c>
      <c r="L61" s="109">
        <f>'NKC2-%'!S71*100</f>
        <v>0</v>
      </c>
      <c r="M61" s="109">
        <f>'NKC2-%'!T71*100</f>
        <v>0</v>
      </c>
      <c r="N61" s="109">
        <f>'NKC2-%'!U71*100</f>
        <v>0</v>
      </c>
      <c r="O61" s="109">
        <f>'NKC2-%'!V71*100</f>
        <v>0</v>
      </c>
      <c r="P61" s="109">
        <f>'NKC2-%'!W71*100</f>
        <v>0</v>
      </c>
      <c r="Q61" s="109">
        <f>'NKC2-%'!X71*100</f>
        <v>0</v>
      </c>
      <c r="R61" s="109">
        <f>'NKC2-%'!Y71*100</f>
        <v>0</v>
      </c>
      <c r="S61" s="109">
        <f>'NKC2-%'!Z71*100</f>
        <v>0</v>
      </c>
      <c r="T61" s="109">
        <f>'NKC2-%'!AA71*100</f>
        <v>0</v>
      </c>
      <c r="U61" s="109">
        <f>'NKC2-%'!AB71*100</f>
        <v>0</v>
      </c>
      <c r="V61" s="109">
        <f>'NKC2-%'!AC71*100</f>
        <v>0</v>
      </c>
      <c r="W61" s="109">
        <f>'NKC2-%'!AD71*100</f>
        <v>0</v>
      </c>
      <c r="X61" s="109">
        <f>'NKC2-%'!AE71*100</f>
        <v>0</v>
      </c>
      <c r="Y61" s="109">
        <f>'NKC2-%'!AF71*100</f>
        <v>0</v>
      </c>
      <c r="Z61" s="109">
        <f>'NKC2-%'!AG71*100</f>
        <v>0</v>
      </c>
      <c r="AA61" s="109">
        <f>'NKC2-%'!AH71*100</f>
        <v>0</v>
      </c>
      <c r="AB61" s="109">
        <f>'NKC2-%'!AI71*100</f>
        <v>0</v>
      </c>
      <c r="AC61" s="109">
        <f>'NKC2-%'!AJ71*100</f>
        <v>0</v>
      </c>
      <c r="AD61" s="109">
        <f>'NKC2-%'!AK71*100</f>
        <v>0</v>
      </c>
      <c r="AE61" s="109">
        <f>'NKC2-%'!AL71*100</f>
        <v>0</v>
      </c>
      <c r="AF61" s="109">
        <f>'NKC2-%'!AM71*100</f>
        <v>0</v>
      </c>
      <c r="AG61" s="109">
        <f>'NKC2-%'!AN71*100</f>
        <v>0</v>
      </c>
      <c r="AH61" s="109">
        <f>'NKC2-%'!AO71*100</f>
        <v>0</v>
      </c>
      <c r="AI61" s="109">
        <f>'NKC2-%'!AP71*100</f>
        <v>0</v>
      </c>
      <c r="AJ61" s="109">
        <f>'NKC2-%'!AQ71*100</f>
        <v>0</v>
      </c>
      <c r="AK61" s="109">
        <f>'NKC2-%'!AR71*100</f>
        <v>0</v>
      </c>
      <c r="AL61" s="109">
        <f>'NKC2-%'!AS71*100</f>
        <v>0</v>
      </c>
      <c r="AM61" s="109">
        <f>'NKC2-%'!AT71*100</f>
        <v>0</v>
      </c>
      <c r="AN61" s="109">
        <f>'NKC2-%'!AU71*100</f>
        <v>0</v>
      </c>
      <c r="AO61" s="109">
        <f>'NKC2-%'!AV71*100</f>
        <v>0</v>
      </c>
      <c r="AP61" s="109">
        <f>'NKC2-%'!AW71*100</f>
        <v>0</v>
      </c>
      <c r="AQ61" s="109">
        <f>'NKC2-%'!AX71*100</f>
        <v>0</v>
      </c>
      <c r="AR61" s="109">
        <f>'NKC2-%'!AY71*100</f>
        <v>0</v>
      </c>
      <c r="AS61" s="109">
        <f>'NKC2-%'!AZ71*100</f>
        <v>0</v>
      </c>
      <c r="AT61" s="109">
        <f>'NKC2-%'!BA71*100</f>
        <v>0</v>
      </c>
      <c r="AU61" s="109">
        <f>'NKC2-%'!BB71*100</f>
        <v>0</v>
      </c>
      <c r="AV61" s="109">
        <f>'NKC2-%'!BC71*100</f>
        <v>0</v>
      </c>
      <c r="AW61" s="109">
        <f>'NKC2-%'!BD71*100</f>
        <v>0</v>
      </c>
      <c r="AX61" s="109">
        <f>'NKC2-%'!BE71*100</f>
        <v>0</v>
      </c>
      <c r="AY61" s="109">
        <f>'NKC2-%'!BF71*100</f>
        <v>0</v>
      </c>
      <c r="AZ61" s="109">
        <f>'NKC2-%'!BG71*100</f>
        <v>0</v>
      </c>
      <c r="BA61" s="109">
        <f>'NKC2-%'!BH71*100</f>
        <v>0</v>
      </c>
      <c r="BB61" s="109">
        <f>'NKC2-%'!BI71*100</f>
        <v>0</v>
      </c>
      <c r="BC61" s="109">
        <f>'NKC2-%'!BJ71*100</f>
        <v>0</v>
      </c>
      <c r="BD61" s="109">
        <f>'NKC2-%'!BK71*100</f>
        <v>0</v>
      </c>
      <c r="BE61" s="109">
        <f>'NKC2-%'!BL71*100</f>
        <v>0</v>
      </c>
      <c r="BF61" s="109">
        <f>'NKC2-%'!BM71*100</f>
        <v>0</v>
      </c>
      <c r="BG61" s="109">
        <f>'NKC2-%'!BN71*100</f>
        <v>0</v>
      </c>
      <c r="BH61" s="109">
        <f>'NKC2-%'!BO71*100</f>
        <v>0</v>
      </c>
      <c r="BI61" s="109">
        <f>'NKC2-%'!BP71*100</f>
        <v>0</v>
      </c>
      <c r="BJ61" s="109">
        <f>'NKC2-%'!BQ71*100</f>
        <v>0</v>
      </c>
      <c r="BK61" s="109">
        <f>'NKC2-%'!BR71*100</f>
        <v>0</v>
      </c>
      <c r="BL61" s="109">
        <f>'NKC2-%'!BS71*100</f>
        <v>0</v>
      </c>
      <c r="BM61" s="109">
        <f>'NKC2-%'!BT71*100</f>
        <v>0</v>
      </c>
      <c r="BN61" s="109">
        <f>'NKC2-%'!BU71*100</f>
        <v>0</v>
      </c>
      <c r="BO61" s="109">
        <f>'NKC2-%'!BV71*100</f>
        <v>0</v>
      </c>
      <c r="BP61" s="109">
        <f>'NKC2-%'!BW71*100</f>
        <v>0</v>
      </c>
      <c r="BQ61" s="109">
        <f>'NKC2-%'!BX71*100</f>
        <v>0</v>
      </c>
      <c r="BR61" s="109">
        <f>'NKC2-%'!BY71*100</f>
        <v>0</v>
      </c>
      <c r="BS61" s="109">
        <f>'NKC2-%'!BZ71*100</f>
        <v>0</v>
      </c>
      <c r="BT61" s="109">
        <f>'NKC2-%'!CA71*100</f>
        <v>0</v>
      </c>
      <c r="BU61" s="109">
        <f>'NKC2-%'!CB71*100</f>
        <v>0</v>
      </c>
      <c r="BV61" s="109">
        <f>'NKC2-%'!CC71*100</f>
        <v>0</v>
      </c>
      <c r="BW61" s="109">
        <f>'NKC2-%'!CD71*100</f>
        <v>0</v>
      </c>
      <c r="BX61" s="109">
        <f>'NKC2-%'!CE71*100</f>
        <v>0</v>
      </c>
      <c r="BY61" s="109">
        <f>'NKC2-%'!CF71*100</f>
        <v>0</v>
      </c>
      <c r="BZ61" s="109">
        <f>'NKC2-%'!CG71*100</f>
        <v>0</v>
      </c>
      <c r="CA61" s="109">
        <f>'NKC2-%'!CH71*100</f>
        <v>0</v>
      </c>
      <c r="CB61" s="109">
        <f>'NKC2-%'!CI71*100</f>
        <v>0</v>
      </c>
      <c r="CC61" s="109">
        <f>'NKC2-%'!CJ71*100</f>
        <v>0</v>
      </c>
      <c r="CD61" s="109">
        <f>'NKC2-%'!CK71*100</f>
        <v>0</v>
      </c>
      <c r="CE61" s="109">
        <f>'NKC2-%'!CL71*100</f>
        <v>0</v>
      </c>
      <c r="CF61" s="109">
        <f>'NKC2-%'!CM71*100</f>
        <v>0</v>
      </c>
      <c r="CG61" s="109">
        <f>'NKC2-%'!CN71*100</f>
        <v>0</v>
      </c>
      <c r="CH61" s="109">
        <f>'NKC2-%'!CO71*100</f>
        <v>0</v>
      </c>
      <c r="CI61" s="109">
        <f>'NKC2-%'!CP71*100</f>
        <v>0</v>
      </c>
    </row>
    <row r="62" spans="1:87" x14ac:dyDescent="0.45">
      <c r="A62" s="266" t="str">
        <f>'NKC2-%'!B72</f>
        <v>1.4.5</v>
      </c>
      <c r="B62" t="str">
        <f>'NKC2-%'!D72</f>
        <v>Lift Lobby</v>
      </c>
      <c r="C62" s="104">
        <f>'NKC2-%'!F72</f>
        <v>3147687.0413000002</v>
      </c>
      <c r="D62" s="87" t="str">
        <f>'NKC2-%'!G72</f>
        <v>P</v>
      </c>
      <c r="E62" s="109">
        <f>'NKC2-%'!K72*100</f>
        <v>100</v>
      </c>
      <c r="F62" s="109">
        <f>'NKC2-%'!M72*100</f>
        <v>0</v>
      </c>
      <c r="G62" s="109">
        <f>'NKC2-%'!N72*100</f>
        <v>0</v>
      </c>
      <c r="H62" s="109">
        <f>'NKC2-%'!O72*100</f>
        <v>0</v>
      </c>
      <c r="I62" s="109">
        <f>'NKC2-%'!P72*100</f>
        <v>0</v>
      </c>
      <c r="J62" s="109">
        <f>'NKC2-%'!Q72*100</f>
        <v>0</v>
      </c>
      <c r="K62" s="109">
        <f>'NKC2-%'!R72*100</f>
        <v>0</v>
      </c>
      <c r="L62" s="109">
        <f>'NKC2-%'!S72*100</f>
        <v>0</v>
      </c>
      <c r="M62" s="109">
        <f>'NKC2-%'!T72*100</f>
        <v>0</v>
      </c>
      <c r="N62" s="109">
        <f>'NKC2-%'!U72*100</f>
        <v>0</v>
      </c>
      <c r="O62" s="109">
        <f>'NKC2-%'!V72*100</f>
        <v>0</v>
      </c>
      <c r="P62" s="109">
        <f>'NKC2-%'!W72*100</f>
        <v>0</v>
      </c>
      <c r="Q62" s="109">
        <f>'NKC2-%'!X72*100</f>
        <v>0</v>
      </c>
      <c r="R62" s="109">
        <f>'NKC2-%'!Y72*100</f>
        <v>0</v>
      </c>
      <c r="S62" s="109">
        <f>'NKC2-%'!Z72*100</f>
        <v>0</v>
      </c>
      <c r="T62" s="109">
        <f>'NKC2-%'!AA72*100</f>
        <v>0</v>
      </c>
      <c r="U62" s="109">
        <f>'NKC2-%'!AB72*100</f>
        <v>0</v>
      </c>
      <c r="V62" s="109">
        <f>'NKC2-%'!AC72*100</f>
        <v>0</v>
      </c>
      <c r="W62" s="109">
        <f>'NKC2-%'!AD72*100</f>
        <v>0</v>
      </c>
      <c r="X62" s="109">
        <f>'NKC2-%'!AE72*100</f>
        <v>0</v>
      </c>
      <c r="Y62" s="109">
        <f>'NKC2-%'!AF72*100</f>
        <v>0</v>
      </c>
      <c r="Z62" s="109">
        <f>'NKC2-%'!AG72*100</f>
        <v>0</v>
      </c>
      <c r="AA62" s="109">
        <f>'NKC2-%'!AH72*100</f>
        <v>0</v>
      </c>
      <c r="AB62" s="109">
        <f>'NKC2-%'!AI72*100</f>
        <v>0</v>
      </c>
      <c r="AC62" s="109">
        <f>'NKC2-%'!AJ72*100</f>
        <v>0</v>
      </c>
      <c r="AD62" s="109">
        <f>'NKC2-%'!AK72*100</f>
        <v>0</v>
      </c>
      <c r="AE62" s="109">
        <f>'NKC2-%'!AL72*100</f>
        <v>0</v>
      </c>
      <c r="AF62" s="109">
        <f>'NKC2-%'!AM72*100</f>
        <v>0</v>
      </c>
      <c r="AG62" s="109">
        <f>'NKC2-%'!AN72*100</f>
        <v>0</v>
      </c>
      <c r="AH62" s="109">
        <f>'NKC2-%'!AO72*100</f>
        <v>0</v>
      </c>
      <c r="AI62" s="109">
        <f>'NKC2-%'!AP72*100</f>
        <v>0</v>
      </c>
      <c r="AJ62" s="109">
        <f>'NKC2-%'!AQ72*100</f>
        <v>0</v>
      </c>
      <c r="AK62" s="109">
        <f>'NKC2-%'!AR72*100</f>
        <v>0</v>
      </c>
      <c r="AL62" s="109">
        <f>'NKC2-%'!AS72*100</f>
        <v>0</v>
      </c>
      <c r="AM62" s="109">
        <f>'NKC2-%'!AT72*100</f>
        <v>0</v>
      </c>
      <c r="AN62" s="109">
        <f>'NKC2-%'!AU72*100</f>
        <v>0</v>
      </c>
      <c r="AO62" s="109">
        <f>'NKC2-%'!AV72*100</f>
        <v>0</v>
      </c>
      <c r="AP62" s="109">
        <f>'NKC2-%'!AW72*100</f>
        <v>0</v>
      </c>
      <c r="AQ62" s="109">
        <f>'NKC2-%'!AX72*100</f>
        <v>0</v>
      </c>
      <c r="AR62" s="109">
        <f>'NKC2-%'!AY72*100</f>
        <v>0</v>
      </c>
      <c r="AS62" s="109">
        <f>'NKC2-%'!AZ72*100</f>
        <v>0</v>
      </c>
      <c r="AT62" s="109">
        <f>'NKC2-%'!BA72*100</f>
        <v>0</v>
      </c>
      <c r="AU62" s="109">
        <f>'NKC2-%'!BB72*100</f>
        <v>0</v>
      </c>
      <c r="AV62" s="109">
        <f>'NKC2-%'!BC72*100</f>
        <v>0</v>
      </c>
      <c r="AW62" s="109">
        <f>'NKC2-%'!BD72*100</f>
        <v>0</v>
      </c>
      <c r="AX62" s="109">
        <f>'NKC2-%'!BE72*100</f>
        <v>0</v>
      </c>
      <c r="AY62" s="109">
        <f>'NKC2-%'!BF72*100</f>
        <v>0</v>
      </c>
      <c r="AZ62" s="109">
        <f>'NKC2-%'!BG72*100</f>
        <v>0</v>
      </c>
      <c r="BA62" s="109">
        <f>'NKC2-%'!BH72*100</f>
        <v>0</v>
      </c>
      <c r="BB62" s="109">
        <f>'NKC2-%'!BI72*100</f>
        <v>4</v>
      </c>
      <c r="BC62" s="109">
        <f>'NKC2-%'!BJ72*100</f>
        <v>4</v>
      </c>
      <c r="BD62" s="109">
        <f>'NKC2-%'!BK72*100</f>
        <v>8</v>
      </c>
      <c r="BE62" s="109">
        <f>'NKC2-%'!BL72*100</f>
        <v>10</v>
      </c>
      <c r="BF62" s="109">
        <f>'NKC2-%'!BM72*100</f>
        <v>10</v>
      </c>
      <c r="BG62" s="109">
        <f>'NKC2-%'!BN72*100</f>
        <v>10</v>
      </c>
      <c r="BH62" s="109">
        <f>'NKC2-%'!BO72*100</f>
        <v>15</v>
      </c>
      <c r="BI62" s="109">
        <f>'NKC2-%'!BP72*100</f>
        <v>15</v>
      </c>
      <c r="BJ62" s="109">
        <f>'NKC2-%'!BQ72*100</f>
        <v>10</v>
      </c>
      <c r="BK62" s="109">
        <f>'NKC2-%'!BR72*100</f>
        <v>5</v>
      </c>
      <c r="BL62" s="109">
        <f>'NKC2-%'!BS72*100</f>
        <v>5</v>
      </c>
      <c r="BM62" s="109">
        <f>'NKC2-%'!BT72*100</f>
        <v>4</v>
      </c>
      <c r="BN62" s="109">
        <f>'NKC2-%'!BU72*100</f>
        <v>0</v>
      </c>
      <c r="BO62" s="109">
        <f>'NKC2-%'!BV72*100</f>
        <v>0</v>
      </c>
      <c r="BP62" s="109">
        <f>'NKC2-%'!BW72*100</f>
        <v>0</v>
      </c>
      <c r="BQ62" s="109">
        <f>'NKC2-%'!BX72*100</f>
        <v>0</v>
      </c>
      <c r="BR62" s="109">
        <f>'NKC2-%'!BY72*100</f>
        <v>0</v>
      </c>
      <c r="BS62" s="109">
        <f>'NKC2-%'!BZ72*100</f>
        <v>0</v>
      </c>
      <c r="BT62" s="109">
        <f>'NKC2-%'!CA72*100</f>
        <v>0</v>
      </c>
      <c r="BU62" s="109">
        <f>'NKC2-%'!CB72*100</f>
        <v>0</v>
      </c>
      <c r="BV62" s="109">
        <f>'NKC2-%'!CC72*100</f>
        <v>0</v>
      </c>
      <c r="BW62" s="109">
        <f>'NKC2-%'!CD72*100</f>
        <v>0</v>
      </c>
      <c r="BX62" s="109">
        <f>'NKC2-%'!CE72*100</f>
        <v>0</v>
      </c>
      <c r="BY62" s="109">
        <f>'NKC2-%'!CF72*100</f>
        <v>0</v>
      </c>
      <c r="BZ62" s="109">
        <f>'NKC2-%'!CG72*100</f>
        <v>0</v>
      </c>
      <c r="CA62" s="109">
        <f>'NKC2-%'!CH72*100</f>
        <v>0</v>
      </c>
      <c r="CB62" s="109">
        <f>'NKC2-%'!CI72*100</f>
        <v>0</v>
      </c>
      <c r="CC62" s="109">
        <f>'NKC2-%'!CJ72*100</f>
        <v>0</v>
      </c>
      <c r="CD62" s="109">
        <f>'NKC2-%'!CK72*100</f>
        <v>0</v>
      </c>
      <c r="CE62" s="109">
        <f>'NKC2-%'!CL72*100</f>
        <v>0</v>
      </c>
      <c r="CF62" s="109">
        <f>'NKC2-%'!CM72*100</f>
        <v>0</v>
      </c>
      <c r="CG62" s="109">
        <f>'NKC2-%'!CN72*100</f>
        <v>0</v>
      </c>
      <c r="CH62" s="109">
        <f>'NKC2-%'!CO72*100</f>
        <v>0</v>
      </c>
      <c r="CI62" s="109">
        <f>'NKC2-%'!CP72*100</f>
        <v>0</v>
      </c>
    </row>
    <row r="63" spans="1:87" x14ac:dyDescent="0.45">
      <c r="A63" s="266" t="str">
        <f>'NKC2-%'!B73</f>
        <v>1.4.5</v>
      </c>
      <c r="B63" t="str">
        <f>'NKC2-%'!D73</f>
        <v>Lift Lobby</v>
      </c>
      <c r="C63" s="104">
        <f>'NKC2-%'!F73</f>
        <v>3147687.0413000002</v>
      </c>
      <c r="D63" s="87" t="str">
        <f>'NKC2-%'!G73</f>
        <v>A</v>
      </c>
      <c r="E63" s="109">
        <f>'NKC2-%'!K73*100</f>
        <v>0</v>
      </c>
      <c r="F63" s="109">
        <f>'NKC2-%'!M73*100</f>
        <v>0</v>
      </c>
      <c r="G63" s="109">
        <f>'NKC2-%'!N73*100</f>
        <v>0</v>
      </c>
      <c r="H63" s="109">
        <f>'NKC2-%'!O73*100</f>
        <v>0</v>
      </c>
      <c r="I63" s="109">
        <f>'NKC2-%'!P73*100</f>
        <v>0</v>
      </c>
      <c r="J63" s="109">
        <f>'NKC2-%'!Q73*100</f>
        <v>0</v>
      </c>
      <c r="K63" s="109">
        <f>'NKC2-%'!R73*100</f>
        <v>0</v>
      </c>
      <c r="L63" s="109">
        <f>'NKC2-%'!S73*100</f>
        <v>0</v>
      </c>
      <c r="M63" s="109">
        <f>'NKC2-%'!T73*100</f>
        <v>0</v>
      </c>
      <c r="N63" s="109">
        <f>'NKC2-%'!U73*100</f>
        <v>0</v>
      </c>
      <c r="O63" s="109">
        <f>'NKC2-%'!V73*100</f>
        <v>0</v>
      </c>
      <c r="P63" s="109">
        <f>'NKC2-%'!W73*100</f>
        <v>0</v>
      </c>
      <c r="Q63" s="109">
        <f>'NKC2-%'!X73*100</f>
        <v>0</v>
      </c>
      <c r="R63" s="109">
        <f>'NKC2-%'!Y73*100</f>
        <v>0</v>
      </c>
      <c r="S63" s="109">
        <f>'NKC2-%'!Z73*100</f>
        <v>0</v>
      </c>
      <c r="T63" s="109">
        <f>'NKC2-%'!AA73*100</f>
        <v>0</v>
      </c>
      <c r="U63" s="109">
        <f>'NKC2-%'!AB73*100</f>
        <v>0</v>
      </c>
      <c r="V63" s="109">
        <f>'NKC2-%'!AC73*100</f>
        <v>0</v>
      </c>
      <c r="W63" s="109">
        <f>'NKC2-%'!AD73*100</f>
        <v>0</v>
      </c>
      <c r="X63" s="109">
        <f>'NKC2-%'!AE73*100</f>
        <v>0</v>
      </c>
      <c r="Y63" s="109">
        <f>'NKC2-%'!AF73*100</f>
        <v>0</v>
      </c>
      <c r="Z63" s="109">
        <f>'NKC2-%'!AG73*100</f>
        <v>0</v>
      </c>
      <c r="AA63" s="109">
        <f>'NKC2-%'!AH73*100</f>
        <v>0</v>
      </c>
      <c r="AB63" s="109">
        <f>'NKC2-%'!AI73*100</f>
        <v>0</v>
      </c>
      <c r="AC63" s="109">
        <f>'NKC2-%'!AJ73*100</f>
        <v>0</v>
      </c>
      <c r="AD63" s="109">
        <f>'NKC2-%'!AK73*100</f>
        <v>0</v>
      </c>
      <c r="AE63" s="109">
        <f>'NKC2-%'!AL73*100</f>
        <v>0</v>
      </c>
      <c r="AF63" s="109">
        <f>'NKC2-%'!AM73*100</f>
        <v>0</v>
      </c>
      <c r="AG63" s="109">
        <f>'NKC2-%'!AN73*100</f>
        <v>0</v>
      </c>
      <c r="AH63" s="109">
        <f>'NKC2-%'!AO73*100</f>
        <v>0</v>
      </c>
      <c r="AI63" s="109">
        <f>'NKC2-%'!AP73*100</f>
        <v>0</v>
      </c>
      <c r="AJ63" s="109">
        <f>'NKC2-%'!AQ73*100</f>
        <v>0</v>
      </c>
      <c r="AK63" s="109">
        <f>'NKC2-%'!AR73*100</f>
        <v>0</v>
      </c>
      <c r="AL63" s="109">
        <f>'NKC2-%'!AS73*100</f>
        <v>0</v>
      </c>
      <c r="AM63" s="109">
        <f>'NKC2-%'!AT73*100</f>
        <v>0</v>
      </c>
      <c r="AN63" s="109">
        <f>'NKC2-%'!AU73*100</f>
        <v>0</v>
      </c>
      <c r="AO63" s="109">
        <f>'NKC2-%'!AV73*100</f>
        <v>0</v>
      </c>
      <c r="AP63" s="109">
        <f>'NKC2-%'!AW73*100</f>
        <v>0</v>
      </c>
      <c r="AQ63" s="109">
        <f>'NKC2-%'!AX73*100</f>
        <v>0</v>
      </c>
      <c r="AR63" s="109">
        <f>'NKC2-%'!AY73*100</f>
        <v>0</v>
      </c>
      <c r="AS63" s="109">
        <f>'NKC2-%'!AZ73*100</f>
        <v>0</v>
      </c>
      <c r="AT63" s="109">
        <f>'NKC2-%'!BA73*100</f>
        <v>0</v>
      </c>
      <c r="AU63" s="109">
        <f>'NKC2-%'!BB73*100</f>
        <v>0</v>
      </c>
      <c r="AV63" s="109">
        <f>'NKC2-%'!BC73*100</f>
        <v>0</v>
      </c>
      <c r="AW63" s="109">
        <f>'NKC2-%'!BD73*100</f>
        <v>0</v>
      </c>
      <c r="AX63" s="109">
        <f>'NKC2-%'!BE73*100</f>
        <v>0</v>
      </c>
      <c r="AY63" s="109">
        <f>'NKC2-%'!BF73*100</f>
        <v>0</v>
      </c>
      <c r="AZ63" s="109">
        <f>'NKC2-%'!BG73*100</f>
        <v>0</v>
      </c>
      <c r="BA63" s="109">
        <f>'NKC2-%'!BH73*100</f>
        <v>0</v>
      </c>
      <c r="BB63" s="109">
        <f>'NKC2-%'!BI73*100</f>
        <v>0</v>
      </c>
      <c r="BC63" s="109">
        <f>'NKC2-%'!BJ73*100</f>
        <v>0</v>
      </c>
      <c r="BD63" s="109">
        <f>'NKC2-%'!BK73*100</f>
        <v>0</v>
      </c>
      <c r="BE63" s="109">
        <f>'NKC2-%'!BL73*100</f>
        <v>0</v>
      </c>
      <c r="BF63" s="109">
        <f>'NKC2-%'!BM73*100</f>
        <v>0</v>
      </c>
      <c r="BG63" s="109">
        <f>'NKC2-%'!BN73*100</f>
        <v>0</v>
      </c>
      <c r="BH63" s="109">
        <f>'NKC2-%'!BO73*100</f>
        <v>0</v>
      </c>
      <c r="BI63" s="109">
        <f>'NKC2-%'!BP73*100</f>
        <v>0</v>
      </c>
      <c r="BJ63" s="109">
        <f>'NKC2-%'!BQ73*100</f>
        <v>0</v>
      </c>
      <c r="BK63" s="109">
        <f>'NKC2-%'!BR73*100</f>
        <v>0</v>
      </c>
      <c r="BL63" s="109">
        <f>'NKC2-%'!BS73*100</f>
        <v>0</v>
      </c>
      <c r="BM63" s="109">
        <f>'NKC2-%'!BT73*100</f>
        <v>0</v>
      </c>
      <c r="BN63" s="109">
        <f>'NKC2-%'!BU73*100</f>
        <v>0</v>
      </c>
      <c r="BO63" s="109">
        <f>'NKC2-%'!BV73*100</f>
        <v>0</v>
      </c>
      <c r="BP63" s="109">
        <f>'NKC2-%'!BW73*100</f>
        <v>0</v>
      </c>
      <c r="BQ63" s="109">
        <f>'NKC2-%'!BX73*100</f>
        <v>0</v>
      </c>
      <c r="BR63" s="109">
        <f>'NKC2-%'!BY73*100</f>
        <v>0</v>
      </c>
      <c r="BS63" s="109">
        <f>'NKC2-%'!BZ73*100</f>
        <v>0</v>
      </c>
      <c r="BT63" s="109">
        <f>'NKC2-%'!CA73*100</f>
        <v>0</v>
      </c>
      <c r="BU63" s="109">
        <f>'NKC2-%'!CB73*100</f>
        <v>0</v>
      </c>
      <c r="BV63" s="109">
        <f>'NKC2-%'!CC73*100</f>
        <v>0</v>
      </c>
      <c r="BW63" s="109">
        <f>'NKC2-%'!CD73*100</f>
        <v>0</v>
      </c>
      <c r="BX63" s="109">
        <f>'NKC2-%'!CE73*100</f>
        <v>0</v>
      </c>
      <c r="BY63" s="109">
        <f>'NKC2-%'!CF73*100</f>
        <v>0</v>
      </c>
      <c r="BZ63" s="109">
        <f>'NKC2-%'!CG73*100</f>
        <v>0</v>
      </c>
      <c r="CA63" s="109">
        <f>'NKC2-%'!CH73*100</f>
        <v>0</v>
      </c>
      <c r="CB63" s="109">
        <f>'NKC2-%'!CI73*100</f>
        <v>0</v>
      </c>
      <c r="CC63" s="109">
        <f>'NKC2-%'!CJ73*100</f>
        <v>0</v>
      </c>
      <c r="CD63" s="109">
        <f>'NKC2-%'!CK73*100</f>
        <v>0</v>
      </c>
      <c r="CE63" s="109">
        <f>'NKC2-%'!CL73*100</f>
        <v>0</v>
      </c>
      <c r="CF63" s="109">
        <f>'NKC2-%'!CM73*100</f>
        <v>0</v>
      </c>
      <c r="CG63" s="109">
        <f>'NKC2-%'!CN73*100</f>
        <v>0</v>
      </c>
      <c r="CH63" s="109">
        <f>'NKC2-%'!CO73*100</f>
        <v>0</v>
      </c>
      <c r="CI63" s="109">
        <f>'NKC2-%'!CP73*100</f>
        <v>0</v>
      </c>
    </row>
    <row r="64" spans="1:87" x14ac:dyDescent="0.45">
      <c r="A64" s="266">
        <f>'NKC2-%'!B74</f>
        <v>1.5</v>
      </c>
      <c r="B64" t="str">
        <f>'NKC2-%'!D74</f>
        <v>Lightning Protection System</v>
      </c>
      <c r="C64" s="104">
        <f>'NKC2-%'!F74</f>
        <v>349251.90543837298</v>
      </c>
      <c r="D64" s="87" t="str">
        <f>'NKC2-%'!G74</f>
        <v>P</v>
      </c>
      <c r="E64" s="109">
        <f>'NKC2-%'!K74*100</f>
        <v>99.999999999999986</v>
      </c>
      <c r="F64" s="109">
        <f>'NKC2-%'!M74*100</f>
        <v>0</v>
      </c>
      <c r="G64" s="109">
        <f>'NKC2-%'!N74*100</f>
        <v>0</v>
      </c>
      <c r="H64" s="109">
        <f>'NKC2-%'!O74*100</f>
        <v>0</v>
      </c>
      <c r="I64" s="109">
        <f>'NKC2-%'!P74*100</f>
        <v>0</v>
      </c>
      <c r="J64" s="109">
        <f>'NKC2-%'!Q74*100</f>
        <v>0</v>
      </c>
      <c r="K64" s="109">
        <f>'NKC2-%'!R74*100</f>
        <v>0</v>
      </c>
      <c r="L64" s="109">
        <f>'NKC2-%'!S74*100</f>
        <v>0</v>
      </c>
      <c r="M64" s="109">
        <f>'NKC2-%'!T74*100</f>
        <v>0</v>
      </c>
      <c r="N64" s="109">
        <f>'NKC2-%'!U74*100</f>
        <v>0</v>
      </c>
      <c r="O64" s="109">
        <f>'NKC2-%'!V74*100</f>
        <v>0</v>
      </c>
      <c r="P64" s="109">
        <f>'NKC2-%'!W74*100</f>
        <v>0</v>
      </c>
      <c r="Q64" s="109">
        <f>'NKC2-%'!X74*100</f>
        <v>0</v>
      </c>
      <c r="R64" s="109">
        <f>'NKC2-%'!Y74*100</f>
        <v>0</v>
      </c>
      <c r="S64" s="109">
        <f>'NKC2-%'!Z74*100</f>
        <v>0</v>
      </c>
      <c r="T64" s="109">
        <f>'NKC2-%'!AA74*100</f>
        <v>0</v>
      </c>
      <c r="U64" s="109">
        <f>'NKC2-%'!AB74*100</f>
        <v>0</v>
      </c>
      <c r="V64" s="109">
        <f>'NKC2-%'!AC74*100</f>
        <v>0</v>
      </c>
      <c r="W64" s="109">
        <f>'NKC2-%'!AD74*100</f>
        <v>0</v>
      </c>
      <c r="X64" s="109">
        <f>'NKC2-%'!AE74*100</f>
        <v>0</v>
      </c>
      <c r="Y64" s="109">
        <f>'NKC2-%'!AF74*100</f>
        <v>0</v>
      </c>
      <c r="Z64" s="109">
        <f>'NKC2-%'!AG74*100</f>
        <v>0</v>
      </c>
      <c r="AA64" s="109">
        <f>'NKC2-%'!AH74*100</f>
        <v>0</v>
      </c>
      <c r="AB64" s="109">
        <f>'NKC2-%'!AI74*100</f>
        <v>0</v>
      </c>
      <c r="AC64" s="109">
        <f>'NKC2-%'!AJ74*100</f>
        <v>0</v>
      </c>
      <c r="AD64" s="109">
        <f>'NKC2-%'!AK74*100</f>
        <v>0</v>
      </c>
      <c r="AE64" s="109">
        <f>'NKC2-%'!AL74*100</f>
        <v>0</v>
      </c>
      <c r="AF64" s="109">
        <f>'NKC2-%'!AM74*100</f>
        <v>0</v>
      </c>
      <c r="AG64" s="109">
        <f>'NKC2-%'!AN74*100</f>
        <v>0</v>
      </c>
      <c r="AH64" s="109">
        <f>'NKC2-%'!AO74*100</f>
        <v>0</v>
      </c>
      <c r="AI64" s="109">
        <f>'NKC2-%'!AP74*100</f>
        <v>0</v>
      </c>
      <c r="AJ64" s="109">
        <f>'NKC2-%'!AQ74*100</f>
        <v>0</v>
      </c>
      <c r="AK64" s="109">
        <f>'NKC2-%'!AR74*100</f>
        <v>0</v>
      </c>
      <c r="AL64" s="109">
        <f>'NKC2-%'!AS74*100</f>
        <v>0</v>
      </c>
      <c r="AM64" s="109">
        <f>'NKC2-%'!AT74*100</f>
        <v>0</v>
      </c>
      <c r="AN64" s="109">
        <f>'NKC2-%'!AU74*100</f>
        <v>0</v>
      </c>
      <c r="AO64" s="109">
        <f>'NKC2-%'!AV74*100</f>
        <v>0</v>
      </c>
      <c r="AP64" s="109">
        <f>'NKC2-%'!AW74*100</f>
        <v>0</v>
      </c>
      <c r="AQ64" s="109">
        <f>'NKC2-%'!AX74*100</f>
        <v>0</v>
      </c>
      <c r="AR64" s="109">
        <f>'NKC2-%'!AY74*100</f>
        <v>0</v>
      </c>
      <c r="AS64" s="109">
        <f>'NKC2-%'!AZ74*100</f>
        <v>0</v>
      </c>
      <c r="AT64" s="109">
        <f>'NKC2-%'!BA74*100</f>
        <v>0</v>
      </c>
      <c r="AU64" s="109">
        <f>'NKC2-%'!BB74*100</f>
        <v>0</v>
      </c>
      <c r="AV64" s="109">
        <f>'NKC2-%'!BC74*100</f>
        <v>0</v>
      </c>
      <c r="AW64" s="109">
        <f>'NKC2-%'!BD74*100</f>
        <v>0</v>
      </c>
      <c r="AX64" s="109">
        <f>'NKC2-%'!BE74*100</f>
        <v>0</v>
      </c>
      <c r="AY64" s="109">
        <f>'NKC2-%'!BF74*100</f>
        <v>0</v>
      </c>
      <c r="AZ64" s="109">
        <f>'NKC2-%'!BG74*100</f>
        <v>0</v>
      </c>
      <c r="BA64" s="109">
        <f>'NKC2-%'!BH74*100</f>
        <v>0</v>
      </c>
      <c r="BB64" s="109">
        <f>'NKC2-%'!BI74*100</f>
        <v>0</v>
      </c>
      <c r="BC64" s="109">
        <f>'NKC2-%'!BJ74*100</f>
        <v>0</v>
      </c>
      <c r="BD64" s="109">
        <f>'NKC2-%'!BK74*100</f>
        <v>0</v>
      </c>
      <c r="BE64" s="109">
        <f>'NKC2-%'!BL74*100</f>
        <v>0</v>
      </c>
      <c r="BF64" s="109">
        <f>'NKC2-%'!BM74*100</f>
        <v>15</v>
      </c>
      <c r="BG64" s="109">
        <f>'NKC2-%'!BN74*100</f>
        <v>15</v>
      </c>
      <c r="BH64" s="109">
        <f>'NKC2-%'!BO74*100</f>
        <v>15</v>
      </c>
      <c r="BI64" s="109">
        <f>'NKC2-%'!BP74*100</f>
        <v>15</v>
      </c>
      <c r="BJ64" s="109">
        <f>'NKC2-%'!BQ74*100</f>
        <v>10</v>
      </c>
      <c r="BK64" s="109">
        <f>'NKC2-%'!BR74*100</f>
        <v>10</v>
      </c>
      <c r="BL64" s="109">
        <f>'NKC2-%'!BS74*100</f>
        <v>10</v>
      </c>
      <c r="BM64" s="109">
        <f>'NKC2-%'!BT74*100</f>
        <v>10</v>
      </c>
      <c r="BN64" s="109">
        <f>'NKC2-%'!BU74*100</f>
        <v>0</v>
      </c>
      <c r="BO64" s="109">
        <f>'NKC2-%'!BV74*100</f>
        <v>0</v>
      </c>
      <c r="BP64" s="109">
        <f>'NKC2-%'!BW74*100</f>
        <v>0</v>
      </c>
      <c r="BQ64" s="109">
        <f>'NKC2-%'!BX74*100</f>
        <v>0</v>
      </c>
      <c r="BR64" s="109">
        <f>'NKC2-%'!BY74*100</f>
        <v>0</v>
      </c>
      <c r="BS64" s="109">
        <f>'NKC2-%'!BZ74*100</f>
        <v>0</v>
      </c>
      <c r="BT64" s="109">
        <f>'NKC2-%'!CA74*100</f>
        <v>0</v>
      </c>
      <c r="BU64" s="109">
        <f>'NKC2-%'!CB74*100</f>
        <v>0</v>
      </c>
      <c r="BV64" s="109">
        <f>'NKC2-%'!CC74*100</f>
        <v>0</v>
      </c>
      <c r="BW64" s="109">
        <f>'NKC2-%'!CD74*100</f>
        <v>0</v>
      </c>
      <c r="BX64" s="109">
        <f>'NKC2-%'!CE74*100</f>
        <v>0</v>
      </c>
      <c r="BY64" s="109">
        <f>'NKC2-%'!CF74*100</f>
        <v>0</v>
      </c>
      <c r="BZ64" s="109">
        <f>'NKC2-%'!CG74*100</f>
        <v>0</v>
      </c>
      <c r="CA64" s="109">
        <f>'NKC2-%'!CH74*100</f>
        <v>0</v>
      </c>
      <c r="CB64" s="109">
        <f>'NKC2-%'!CI74*100</f>
        <v>0</v>
      </c>
      <c r="CC64" s="109">
        <f>'NKC2-%'!CJ74*100</f>
        <v>0</v>
      </c>
      <c r="CD64" s="109">
        <f>'NKC2-%'!CK74*100</f>
        <v>0</v>
      </c>
      <c r="CE64" s="109">
        <f>'NKC2-%'!CL74*100</f>
        <v>0</v>
      </c>
      <c r="CF64" s="109">
        <f>'NKC2-%'!CM74*100</f>
        <v>0</v>
      </c>
      <c r="CG64" s="109">
        <f>'NKC2-%'!CN74*100</f>
        <v>0</v>
      </c>
      <c r="CH64" s="109">
        <f>'NKC2-%'!CO74*100</f>
        <v>0</v>
      </c>
      <c r="CI64" s="109">
        <f>'NKC2-%'!CP74*100</f>
        <v>0</v>
      </c>
    </row>
    <row r="65" spans="1:87" x14ac:dyDescent="0.45">
      <c r="A65" s="266">
        <f>'NKC2-%'!B75</f>
        <v>1.5</v>
      </c>
      <c r="B65" t="str">
        <f>'NKC2-%'!D75</f>
        <v>Lightning Protection System</v>
      </c>
      <c r="C65" s="104">
        <f>'NKC2-%'!F75</f>
        <v>349251.90543837298</v>
      </c>
      <c r="D65" s="87" t="str">
        <f>'NKC2-%'!G75</f>
        <v>A</v>
      </c>
      <c r="E65" s="109">
        <f>'NKC2-%'!K75*100</f>
        <v>0</v>
      </c>
      <c r="F65" s="109">
        <f>'NKC2-%'!M75*100</f>
        <v>0</v>
      </c>
      <c r="G65" s="109">
        <f>'NKC2-%'!N75*100</f>
        <v>0</v>
      </c>
      <c r="H65" s="109">
        <f>'NKC2-%'!O75*100</f>
        <v>0</v>
      </c>
      <c r="I65" s="109">
        <f>'NKC2-%'!P75*100</f>
        <v>0</v>
      </c>
      <c r="J65" s="109">
        <f>'NKC2-%'!Q75*100</f>
        <v>0</v>
      </c>
      <c r="K65" s="109">
        <f>'NKC2-%'!R75*100</f>
        <v>0</v>
      </c>
      <c r="L65" s="109">
        <f>'NKC2-%'!S75*100</f>
        <v>0</v>
      </c>
      <c r="M65" s="109">
        <f>'NKC2-%'!T75*100</f>
        <v>0</v>
      </c>
      <c r="N65" s="109">
        <f>'NKC2-%'!U75*100</f>
        <v>0</v>
      </c>
      <c r="O65" s="109">
        <f>'NKC2-%'!V75*100</f>
        <v>0</v>
      </c>
      <c r="P65" s="109">
        <f>'NKC2-%'!W75*100</f>
        <v>0</v>
      </c>
      <c r="Q65" s="109">
        <f>'NKC2-%'!X75*100</f>
        <v>0</v>
      </c>
      <c r="R65" s="109">
        <f>'NKC2-%'!Y75*100</f>
        <v>0</v>
      </c>
      <c r="S65" s="109">
        <f>'NKC2-%'!Z75*100</f>
        <v>0</v>
      </c>
      <c r="T65" s="109">
        <f>'NKC2-%'!AA75*100</f>
        <v>0</v>
      </c>
      <c r="U65" s="109">
        <f>'NKC2-%'!AB75*100</f>
        <v>0</v>
      </c>
      <c r="V65" s="109">
        <f>'NKC2-%'!AC75*100</f>
        <v>0</v>
      </c>
      <c r="W65" s="109">
        <f>'NKC2-%'!AD75*100</f>
        <v>0</v>
      </c>
      <c r="X65" s="109">
        <f>'NKC2-%'!AE75*100</f>
        <v>0</v>
      </c>
      <c r="Y65" s="109">
        <f>'NKC2-%'!AF75*100</f>
        <v>0</v>
      </c>
      <c r="Z65" s="109">
        <f>'NKC2-%'!AG75*100</f>
        <v>0</v>
      </c>
      <c r="AA65" s="109">
        <f>'NKC2-%'!AH75*100</f>
        <v>0</v>
      </c>
      <c r="AB65" s="109">
        <f>'NKC2-%'!AI75*100</f>
        <v>0</v>
      </c>
      <c r="AC65" s="109">
        <f>'NKC2-%'!AJ75*100</f>
        <v>0</v>
      </c>
      <c r="AD65" s="109">
        <f>'NKC2-%'!AK75*100</f>
        <v>0</v>
      </c>
      <c r="AE65" s="109">
        <f>'NKC2-%'!AL75*100</f>
        <v>0</v>
      </c>
      <c r="AF65" s="109">
        <f>'NKC2-%'!AM75*100</f>
        <v>0</v>
      </c>
      <c r="AG65" s="109">
        <f>'NKC2-%'!AN75*100</f>
        <v>0</v>
      </c>
      <c r="AH65" s="109">
        <f>'NKC2-%'!AO75*100</f>
        <v>0</v>
      </c>
      <c r="AI65" s="109">
        <f>'NKC2-%'!AP75*100</f>
        <v>0</v>
      </c>
      <c r="AJ65" s="109">
        <f>'NKC2-%'!AQ75*100</f>
        <v>0</v>
      </c>
      <c r="AK65" s="109">
        <f>'NKC2-%'!AR75*100</f>
        <v>0</v>
      </c>
      <c r="AL65" s="109">
        <f>'NKC2-%'!AS75*100</f>
        <v>0</v>
      </c>
      <c r="AM65" s="109">
        <f>'NKC2-%'!AT75*100</f>
        <v>0</v>
      </c>
      <c r="AN65" s="109">
        <f>'NKC2-%'!AU75*100</f>
        <v>0</v>
      </c>
      <c r="AO65" s="109">
        <f>'NKC2-%'!AV75*100</f>
        <v>0</v>
      </c>
      <c r="AP65" s="109">
        <f>'NKC2-%'!AW75*100</f>
        <v>0</v>
      </c>
      <c r="AQ65" s="109">
        <f>'NKC2-%'!AX75*100</f>
        <v>0</v>
      </c>
      <c r="AR65" s="109">
        <f>'NKC2-%'!AY75*100</f>
        <v>0</v>
      </c>
      <c r="AS65" s="109">
        <f>'NKC2-%'!AZ75*100</f>
        <v>0</v>
      </c>
      <c r="AT65" s="109">
        <f>'NKC2-%'!BA75*100</f>
        <v>0</v>
      </c>
      <c r="AU65" s="109">
        <f>'NKC2-%'!BB75*100</f>
        <v>0</v>
      </c>
      <c r="AV65" s="109">
        <f>'NKC2-%'!BC75*100</f>
        <v>0</v>
      </c>
      <c r="AW65" s="109">
        <f>'NKC2-%'!BD75*100</f>
        <v>0</v>
      </c>
      <c r="AX65" s="109">
        <f>'NKC2-%'!BE75*100</f>
        <v>0</v>
      </c>
      <c r="AY65" s="109">
        <f>'NKC2-%'!BF75*100</f>
        <v>0</v>
      </c>
      <c r="AZ65" s="109">
        <f>'NKC2-%'!BG75*100</f>
        <v>0</v>
      </c>
      <c r="BA65" s="109">
        <f>'NKC2-%'!BH75*100</f>
        <v>0</v>
      </c>
      <c r="BB65" s="109">
        <f>'NKC2-%'!BI75*100</f>
        <v>0</v>
      </c>
      <c r="BC65" s="109">
        <f>'NKC2-%'!BJ75*100</f>
        <v>0</v>
      </c>
      <c r="BD65" s="109">
        <f>'NKC2-%'!BK75*100</f>
        <v>0</v>
      </c>
      <c r="BE65" s="109">
        <f>'NKC2-%'!BL75*100</f>
        <v>0</v>
      </c>
      <c r="BF65" s="109">
        <f>'NKC2-%'!BM75*100</f>
        <v>0</v>
      </c>
      <c r="BG65" s="109">
        <f>'NKC2-%'!BN75*100</f>
        <v>0</v>
      </c>
      <c r="BH65" s="109">
        <f>'NKC2-%'!BO75*100</f>
        <v>0</v>
      </c>
      <c r="BI65" s="109">
        <f>'NKC2-%'!BP75*100</f>
        <v>0</v>
      </c>
      <c r="BJ65" s="109">
        <f>'NKC2-%'!BQ75*100</f>
        <v>0</v>
      </c>
      <c r="BK65" s="109">
        <f>'NKC2-%'!BR75*100</f>
        <v>0</v>
      </c>
      <c r="BL65" s="109">
        <f>'NKC2-%'!BS75*100</f>
        <v>0</v>
      </c>
      <c r="BM65" s="109">
        <f>'NKC2-%'!BT75*100</f>
        <v>0</v>
      </c>
      <c r="BN65" s="109">
        <f>'NKC2-%'!BU75*100</f>
        <v>0</v>
      </c>
      <c r="BO65" s="109">
        <f>'NKC2-%'!BV75*100</f>
        <v>0</v>
      </c>
      <c r="BP65" s="109">
        <f>'NKC2-%'!BW75*100</f>
        <v>0</v>
      </c>
      <c r="BQ65" s="109">
        <f>'NKC2-%'!BX75*100</f>
        <v>0</v>
      </c>
      <c r="BR65" s="109">
        <f>'NKC2-%'!BY75*100</f>
        <v>0</v>
      </c>
      <c r="BS65" s="109">
        <f>'NKC2-%'!BZ75*100</f>
        <v>0</v>
      </c>
      <c r="BT65" s="109">
        <f>'NKC2-%'!CA75*100</f>
        <v>0</v>
      </c>
      <c r="BU65" s="109">
        <f>'NKC2-%'!CB75*100</f>
        <v>0</v>
      </c>
      <c r="BV65" s="109">
        <f>'NKC2-%'!CC75*100</f>
        <v>0</v>
      </c>
      <c r="BW65" s="109">
        <f>'NKC2-%'!CD75*100</f>
        <v>0</v>
      </c>
      <c r="BX65" s="109">
        <f>'NKC2-%'!CE75*100</f>
        <v>0</v>
      </c>
      <c r="BY65" s="109">
        <f>'NKC2-%'!CF75*100</f>
        <v>0</v>
      </c>
      <c r="BZ65" s="109">
        <f>'NKC2-%'!CG75*100</f>
        <v>0</v>
      </c>
      <c r="CA65" s="109">
        <f>'NKC2-%'!CH75*100</f>
        <v>0</v>
      </c>
      <c r="CB65" s="109">
        <f>'NKC2-%'!CI75*100</f>
        <v>0</v>
      </c>
      <c r="CC65" s="109">
        <f>'NKC2-%'!CJ75*100</f>
        <v>0</v>
      </c>
      <c r="CD65" s="109">
        <f>'NKC2-%'!CK75*100</f>
        <v>0</v>
      </c>
      <c r="CE65" s="109">
        <f>'NKC2-%'!CL75*100</f>
        <v>0</v>
      </c>
      <c r="CF65" s="109">
        <f>'NKC2-%'!CM75*100</f>
        <v>0</v>
      </c>
      <c r="CG65" s="109">
        <f>'NKC2-%'!CN75*100</f>
        <v>0</v>
      </c>
      <c r="CH65" s="109">
        <f>'NKC2-%'!CO75*100</f>
        <v>0</v>
      </c>
      <c r="CI65" s="109">
        <f>'NKC2-%'!CP75*100</f>
        <v>0</v>
      </c>
    </row>
    <row r="66" spans="1:87" x14ac:dyDescent="0.45">
      <c r="A66" s="266">
        <f>'NKC2-%'!B76</f>
        <v>1.6</v>
      </c>
      <c r="B66" t="str">
        <f>'NKC2-%'!D76</f>
        <v>External Work</v>
      </c>
      <c r="C66" s="104">
        <f>'NKC2-%'!F76</f>
        <v>7134397.0247208467</v>
      </c>
      <c r="D66" s="87" t="str">
        <f>'NKC2-%'!G76</f>
        <v>P</v>
      </c>
      <c r="E66" s="109">
        <f>'NKC2-%'!K76*100</f>
        <v>100</v>
      </c>
      <c r="F66" s="109">
        <f>'NKC2-%'!M76*100</f>
        <v>0</v>
      </c>
      <c r="G66" s="109">
        <f>'NKC2-%'!N76*100</f>
        <v>0</v>
      </c>
      <c r="H66" s="109">
        <f>'NKC2-%'!O76*100</f>
        <v>0</v>
      </c>
      <c r="I66" s="109">
        <f>'NKC2-%'!P76*100</f>
        <v>0</v>
      </c>
      <c r="J66" s="109">
        <f>'NKC2-%'!Q76*100</f>
        <v>0</v>
      </c>
      <c r="K66" s="109">
        <f>'NKC2-%'!R76*100</f>
        <v>0</v>
      </c>
      <c r="L66" s="109">
        <f>'NKC2-%'!S76*100</f>
        <v>0</v>
      </c>
      <c r="M66" s="109">
        <f>'NKC2-%'!T76*100</f>
        <v>0</v>
      </c>
      <c r="N66" s="109">
        <f>'NKC2-%'!U76*100</f>
        <v>0</v>
      </c>
      <c r="O66" s="109">
        <f>'NKC2-%'!V76*100</f>
        <v>0</v>
      </c>
      <c r="P66" s="109">
        <f>'NKC2-%'!W76*100</f>
        <v>0</v>
      </c>
      <c r="Q66" s="109">
        <f>'NKC2-%'!X76*100</f>
        <v>0</v>
      </c>
      <c r="R66" s="109">
        <f>'NKC2-%'!Y76*100</f>
        <v>0</v>
      </c>
      <c r="S66" s="109">
        <f>'NKC2-%'!Z76*100</f>
        <v>0</v>
      </c>
      <c r="T66" s="109">
        <f>'NKC2-%'!AA76*100</f>
        <v>0</v>
      </c>
      <c r="U66" s="109">
        <f>'NKC2-%'!AB76*100</f>
        <v>0</v>
      </c>
      <c r="V66" s="109">
        <f>'NKC2-%'!AC76*100</f>
        <v>0</v>
      </c>
      <c r="W66" s="109">
        <f>'NKC2-%'!AD76*100</f>
        <v>0</v>
      </c>
      <c r="X66" s="109">
        <f>'NKC2-%'!AE76*100</f>
        <v>0</v>
      </c>
      <c r="Y66" s="109">
        <f>'NKC2-%'!AF76*100</f>
        <v>0</v>
      </c>
      <c r="Z66" s="109">
        <f>'NKC2-%'!AG76*100</f>
        <v>0</v>
      </c>
      <c r="AA66" s="109">
        <f>'NKC2-%'!AH76*100</f>
        <v>0</v>
      </c>
      <c r="AB66" s="109">
        <f>'NKC2-%'!AI76*100</f>
        <v>0</v>
      </c>
      <c r="AC66" s="109">
        <f>'NKC2-%'!AJ76*100</f>
        <v>0</v>
      </c>
      <c r="AD66" s="109">
        <f>'NKC2-%'!AK76*100</f>
        <v>0</v>
      </c>
      <c r="AE66" s="109">
        <f>'NKC2-%'!AL76*100</f>
        <v>0</v>
      </c>
      <c r="AF66" s="109">
        <f>'NKC2-%'!AM76*100</f>
        <v>0</v>
      </c>
      <c r="AG66" s="109">
        <f>'NKC2-%'!AN76*100</f>
        <v>0</v>
      </c>
      <c r="AH66" s="109">
        <f>'NKC2-%'!AO76*100</f>
        <v>0</v>
      </c>
      <c r="AI66" s="109">
        <f>'NKC2-%'!AP76*100</f>
        <v>0</v>
      </c>
      <c r="AJ66" s="109">
        <f>'NKC2-%'!AQ76*100</f>
        <v>0</v>
      </c>
      <c r="AK66" s="109">
        <f>'NKC2-%'!AR76*100</f>
        <v>0</v>
      </c>
      <c r="AL66" s="109">
        <f>'NKC2-%'!AS76*100</f>
        <v>0</v>
      </c>
      <c r="AM66" s="109">
        <f>'NKC2-%'!AT76*100</f>
        <v>0</v>
      </c>
      <c r="AN66" s="109">
        <f>'NKC2-%'!AU76*100</f>
        <v>2.0759632799166425</v>
      </c>
      <c r="AO66" s="109">
        <f>'NKC2-%'!AV76*100</f>
        <v>2.0759632799166425</v>
      </c>
      <c r="AP66" s="109">
        <f>'NKC2-%'!AW76*100</f>
        <v>2.4601386389541293</v>
      </c>
      <c r="AQ66" s="109">
        <f>'NKC2-%'!AX76*100</f>
        <v>2.4601386389541293</v>
      </c>
      <c r="AR66" s="109">
        <f>'NKC2-%'!AY76*100</f>
        <v>3.6345503215353512</v>
      </c>
      <c r="AS66" s="109">
        <f>'NKC2-%'!AZ76*100</f>
        <v>3.870596053765095</v>
      </c>
      <c r="AT66" s="109">
        <f>'NKC2-%'!BA76*100</f>
        <v>3.722466426957352</v>
      </c>
      <c r="AU66" s="109">
        <f>'NKC2-%'!BB76*100</f>
        <v>3.722466426957352</v>
      </c>
      <c r="AV66" s="109">
        <f>'NKC2-%'!BC76*100</f>
        <v>2.7894821952052515</v>
      </c>
      <c r="AW66" s="109">
        <f>'NKC2-%'!BD76*100</f>
        <v>2.7894821952052515</v>
      </c>
      <c r="AX66" s="109">
        <f>'NKC2-%'!BE76*100</f>
        <v>2.5534364629755077</v>
      </c>
      <c r="AY66" s="109">
        <f>'NKC2-%'!BF76*100</f>
        <v>5.4804049182556547</v>
      </c>
      <c r="AZ66" s="109">
        <f>'NKC2-%'!BG76*100</f>
        <v>6.2850316852839203</v>
      </c>
      <c r="BA66" s="109">
        <f>'NKC2-%'!BH76*100</f>
        <v>6.048985953054177</v>
      </c>
      <c r="BB66" s="109">
        <f>'NKC2-%'!BI76*100</f>
        <v>6.048985953054177</v>
      </c>
      <c r="BC66" s="109">
        <f>'NKC2-%'!BJ76*100</f>
        <v>9.0410734906549433</v>
      </c>
      <c r="BD66" s="109">
        <f>'NKC2-%'!BK76*100</f>
        <v>5.593768785745791</v>
      </c>
      <c r="BE66" s="109">
        <f>'NKC2-%'!BL76*100</f>
        <v>5.593768785745791</v>
      </c>
      <c r="BF66" s="109">
        <f>'NKC2-%'!BM76*100</f>
        <v>4.5146841506899333</v>
      </c>
      <c r="BG66" s="109">
        <f>'NKC2-%'!BN76*100</f>
        <v>4.7364401397065885</v>
      </c>
      <c r="BH66" s="109">
        <f>'NKC2-%'!BO76*100</f>
        <v>4.7364401397065885</v>
      </c>
      <c r="BI66" s="109">
        <f>'NKC2-%'!BP76*100</f>
        <v>3.8778545073719326</v>
      </c>
      <c r="BJ66" s="109">
        <f>'NKC2-%'!BQ76*100</f>
        <v>2.8117320478866037</v>
      </c>
      <c r="BK66" s="109">
        <f>'NKC2-%'!BR76*100</f>
        <v>1.5238535993846205</v>
      </c>
      <c r="BL66" s="109">
        <f>'NKC2-%'!BS76*100</f>
        <v>0.66526796704996494</v>
      </c>
      <c r="BM66" s="109">
        <f>'NKC2-%'!BT76*100</f>
        <v>0.44351197803330999</v>
      </c>
      <c r="BN66" s="109">
        <f>'NKC2-%'!BU76*100</f>
        <v>0.221755989016655</v>
      </c>
      <c r="BO66" s="109">
        <f>'NKC2-%'!BV76*100</f>
        <v>0.221755989016655</v>
      </c>
      <c r="BP66" s="109">
        <f>'NKC2-%'!BW76*100</f>
        <v>0</v>
      </c>
      <c r="BQ66" s="109">
        <f>'NKC2-%'!BX76*100</f>
        <v>0</v>
      </c>
      <c r="BR66" s="109">
        <f>'NKC2-%'!BY76*100</f>
        <v>0</v>
      </c>
      <c r="BS66" s="109">
        <f>'NKC2-%'!BZ76*100</f>
        <v>0</v>
      </c>
      <c r="BT66" s="109">
        <f>'NKC2-%'!CA76*100</f>
        <v>0</v>
      </c>
      <c r="BU66" s="109">
        <f>'NKC2-%'!CB76*100</f>
        <v>0</v>
      </c>
      <c r="BV66" s="109">
        <f>'NKC2-%'!CC76*100</f>
        <v>0</v>
      </c>
      <c r="BW66" s="109">
        <f>'NKC2-%'!CD76*100</f>
        <v>0</v>
      </c>
      <c r="BX66" s="109">
        <f>'NKC2-%'!CE76*100</f>
        <v>0</v>
      </c>
      <c r="BY66" s="109">
        <f>'NKC2-%'!CF76*100</f>
        <v>0</v>
      </c>
      <c r="BZ66" s="109">
        <f>'NKC2-%'!CG76*100</f>
        <v>0</v>
      </c>
      <c r="CA66" s="109">
        <f>'NKC2-%'!CH76*100</f>
        <v>0</v>
      </c>
      <c r="CB66" s="109">
        <f>'NKC2-%'!CI76*100</f>
        <v>0</v>
      </c>
      <c r="CC66" s="109">
        <f>'NKC2-%'!CJ76*100</f>
        <v>0</v>
      </c>
      <c r="CD66" s="109">
        <f>'NKC2-%'!CK76*100</f>
        <v>0</v>
      </c>
      <c r="CE66" s="109">
        <f>'NKC2-%'!CL76*100</f>
        <v>0</v>
      </c>
      <c r="CF66" s="109">
        <f>'NKC2-%'!CM76*100</f>
        <v>0</v>
      </c>
      <c r="CG66" s="109">
        <f>'NKC2-%'!CN76*100</f>
        <v>0</v>
      </c>
      <c r="CH66" s="109">
        <f>'NKC2-%'!CO76*100</f>
        <v>0</v>
      </c>
      <c r="CI66" s="109">
        <f>'NKC2-%'!CP76*100</f>
        <v>0</v>
      </c>
    </row>
    <row r="67" spans="1:87" x14ac:dyDescent="0.45">
      <c r="A67" s="266">
        <f>'NKC2-%'!B77</f>
        <v>1.6</v>
      </c>
      <c r="B67" t="str">
        <f>'NKC2-%'!D77</f>
        <v>External Work</v>
      </c>
      <c r="C67" s="104">
        <f>'NKC2-%'!F77</f>
        <v>7134397.0247208467</v>
      </c>
      <c r="D67" s="87" t="str">
        <f>'NKC2-%'!G77</f>
        <v>A</v>
      </c>
      <c r="E67" s="109">
        <f>'NKC2-%'!K77*100</f>
        <v>0</v>
      </c>
      <c r="F67" s="109">
        <f>'NKC2-%'!M77*100</f>
        <v>0</v>
      </c>
      <c r="G67" s="109">
        <f>'NKC2-%'!N77*100</f>
        <v>0</v>
      </c>
      <c r="H67" s="109">
        <f>'NKC2-%'!O77*100</f>
        <v>0</v>
      </c>
      <c r="I67" s="109">
        <f>'NKC2-%'!P77*100</f>
        <v>0</v>
      </c>
      <c r="J67" s="109">
        <f>'NKC2-%'!Q77*100</f>
        <v>0</v>
      </c>
      <c r="K67" s="109">
        <f>'NKC2-%'!R77*100</f>
        <v>0</v>
      </c>
      <c r="L67" s="109">
        <f>'NKC2-%'!S77*100</f>
        <v>0</v>
      </c>
      <c r="M67" s="109">
        <f>'NKC2-%'!T77*100</f>
        <v>0</v>
      </c>
      <c r="N67" s="109">
        <f>'NKC2-%'!U77*100</f>
        <v>0</v>
      </c>
      <c r="O67" s="109">
        <f>'NKC2-%'!V77*100</f>
        <v>0</v>
      </c>
      <c r="P67" s="109">
        <f>'NKC2-%'!W77*100</f>
        <v>0</v>
      </c>
      <c r="Q67" s="109">
        <f>'NKC2-%'!X77*100</f>
        <v>0</v>
      </c>
      <c r="R67" s="109">
        <f>'NKC2-%'!Y77*100</f>
        <v>0</v>
      </c>
      <c r="S67" s="109">
        <f>'NKC2-%'!Z77*100</f>
        <v>0</v>
      </c>
      <c r="T67" s="109">
        <f>'NKC2-%'!AA77*100</f>
        <v>0</v>
      </c>
      <c r="U67" s="109">
        <f>'NKC2-%'!AB77*100</f>
        <v>0</v>
      </c>
      <c r="V67" s="109">
        <f>'NKC2-%'!AC77*100</f>
        <v>0</v>
      </c>
      <c r="W67" s="109">
        <f>'NKC2-%'!AD77*100</f>
        <v>0</v>
      </c>
      <c r="X67" s="109">
        <f>'NKC2-%'!AE77*100</f>
        <v>0</v>
      </c>
      <c r="Y67" s="109">
        <f>'NKC2-%'!AF77*100</f>
        <v>0</v>
      </c>
      <c r="Z67" s="109">
        <f>'NKC2-%'!AG77*100</f>
        <v>0</v>
      </c>
      <c r="AA67" s="109">
        <f>'NKC2-%'!AH77*100</f>
        <v>0</v>
      </c>
      <c r="AB67" s="109">
        <f>'NKC2-%'!AI77*100</f>
        <v>0</v>
      </c>
      <c r="AC67" s="109">
        <f>'NKC2-%'!AJ77*100</f>
        <v>0</v>
      </c>
      <c r="AD67" s="109">
        <f>'NKC2-%'!AK77*100</f>
        <v>0</v>
      </c>
      <c r="AE67" s="109">
        <f>'NKC2-%'!AL77*100</f>
        <v>0</v>
      </c>
      <c r="AF67" s="109">
        <f>'NKC2-%'!AM77*100</f>
        <v>0</v>
      </c>
      <c r="AG67" s="109">
        <f>'NKC2-%'!AN77*100</f>
        <v>0</v>
      </c>
      <c r="AH67" s="109">
        <f>'NKC2-%'!AO77*100</f>
        <v>0</v>
      </c>
      <c r="AI67" s="109">
        <f>'NKC2-%'!AP77*100</f>
        <v>0</v>
      </c>
      <c r="AJ67" s="109">
        <f>'NKC2-%'!AQ77*100</f>
        <v>0</v>
      </c>
      <c r="AK67" s="109">
        <f>'NKC2-%'!AR77*100</f>
        <v>0</v>
      </c>
      <c r="AL67" s="109">
        <f>'NKC2-%'!AS77*100</f>
        <v>0</v>
      </c>
      <c r="AM67" s="109">
        <f>'NKC2-%'!AT77*100</f>
        <v>0</v>
      </c>
      <c r="AN67" s="109">
        <f>'NKC2-%'!AU77*100</f>
        <v>0</v>
      </c>
      <c r="AO67" s="109">
        <f>'NKC2-%'!AV77*100</f>
        <v>0</v>
      </c>
      <c r="AP67" s="109">
        <f>'NKC2-%'!AW77*100</f>
        <v>0</v>
      </c>
      <c r="AQ67" s="109">
        <f>'NKC2-%'!AX77*100</f>
        <v>0</v>
      </c>
      <c r="AR67" s="109">
        <f>'NKC2-%'!AY77*100</f>
        <v>0</v>
      </c>
      <c r="AS67" s="109">
        <f>'NKC2-%'!AZ77*100</f>
        <v>0</v>
      </c>
      <c r="AT67" s="109">
        <f>'NKC2-%'!BA77*100</f>
        <v>0</v>
      </c>
      <c r="AU67" s="109">
        <f>'NKC2-%'!BB77*100</f>
        <v>0</v>
      </c>
      <c r="AV67" s="109">
        <f>'NKC2-%'!BC77*100</f>
        <v>0</v>
      </c>
      <c r="AW67" s="109">
        <f>'NKC2-%'!BD77*100</f>
        <v>0</v>
      </c>
      <c r="AX67" s="109">
        <f>'NKC2-%'!BE77*100</f>
        <v>0</v>
      </c>
      <c r="AY67" s="109">
        <f>'NKC2-%'!BF77*100</f>
        <v>0</v>
      </c>
      <c r="AZ67" s="109">
        <f>'NKC2-%'!BG77*100</f>
        <v>0</v>
      </c>
      <c r="BA67" s="109">
        <f>'NKC2-%'!BH77*100</f>
        <v>0</v>
      </c>
      <c r="BB67" s="109">
        <f>'NKC2-%'!BI77*100</f>
        <v>0</v>
      </c>
      <c r="BC67" s="109">
        <f>'NKC2-%'!BJ77*100</f>
        <v>0</v>
      </c>
      <c r="BD67" s="109">
        <f>'NKC2-%'!BK77*100</f>
        <v>0</v>
      </c>
      <c r="BE67" s="109">
        <f>'NKC2-%'!BL77*100</f>
        <v>0</v>
      </c>
      <c r="BF67" s="109">
        <f>'NKC2-%'!BM77*100</f>
        <v>0</v>
      </c>
      <c r="BG67" s="109">
        <f>'NKC2-%'!BN77*100</f>
        <v>0</v>
      </c>
      <c r="BH67" s="109">
        <f>'NKC2-%'!BO77*100</f>
        <v>0</v>
      </c>
      <c r="BI67" s="109">
        <f>'NKC2-%'!BP77*100</f>
        <v>0</v>
      </c>
      <c r="BJ67" s="109">
        <f>'NKC2-%'!BQ77*100</f>
        <v>0</v>
      </c>
      <c r="BK67" s="109">
        <f>'NKC2-%'!BR77*100</f>
        <v>0</v>
      </c>
      <c r="BL67" s="109">
        <f>'NKC2-%'!BS77*100</f>
        <v>0</v>
      </c>
      <c r="BM67" s="109">
        <f>'NKC2-%'!BT77*100</f>
        <v>0</v>
      </c>
      <c r="BN67" s="109">
        <f>'NKC2-%'!BU77*100</f>
        <v>0</v>
      </c>
      <c r="BO67" s="109">
        <f>'NKC2-%'!BV77*100</f>
        <v>0</v>
      </c>
      <c r="BP67" s="109">
        <f>'NKC2-%'!BW77*100</f>
        <v>0</v>
      </c>
      <c r="BQ67" s="109">
        <f>'NKC2-%'!BX77*100</f>
        <v>0</v>
      </c>
      <c r="BR67" s="109">
        <f>'NKC2-%'!BY77*100</f>
        <v>0</v>
      </c>
      <c r="BS67" s="109">
        <f>'NKC2-%'!BZ77*100</f>
        <v>0</v>
      </c>
      <c r="BT67" s="109">
        <f>'NKC2-%'!CA77*100</f>
        <v>0</v>
      </c>
      <c r="BU67" s="109">
        <f>'NKC2-%'!CB77*100</f>
        <v>0</v>
      </c>
      <c r="BV67" s="109">
        <f>'NKC2-%'!CC77*100</f>
        <v>0</v>
      </c>
      <c r="BW67" s="109">
        <f>'NKC2-%'!CD77*100</f>
        <v>0</v>
      </c>
      <c r="BX67" s="109">
        <f>'NKC2-%'!CE77*100</f>
        <v>0</v>
      </c>
      <c r="BY67" s="109">
        <f>'NKC2-%'!CF77*100</f>
        <v>0</v>
      </c>
      <c r="BZ67" s="109">
        <f>'NKC2-%'!CG77*100</f>
        <v>0</v>
      </c>
      <c r="CA67" s="109">
        <f>'NKC2-%'!CH77*100</f>
        <v>0</v>
      </c>
      <c r="CB67" s="109">
        <f>'NKC2-%'!CI77*100</f>
        <v>0</v>
      </c>
      <c r="CC67" s="109">
        <f>'NKC2-%'!CJ77*100</f>
        <v>0</v>
      </c>
      <c r="CD67" s="109">
        <f>'NKC2-%'!CK77*100</f>
        <v>0</v>
      </c>
      <c r="CE67" s="109">
        <f>'NKC2-%'!CL77*100</f>
        <v>0</v>
      </c>
      <c r="CF67" s="109">
        <f>'NKC2-%'!CM77*100</f>
        <v>0</v>
      </c>
      <c r="CG67" s="109">
        <f>'NKC2-%'!CN77*100</f>
        <v>0</v>
      </c>
      <c r="CH67" s="109">
        <f>'NKC2-%'!CO77*100</f>
        <v>0</v>
      </c>
      <c r="CI67" s="109">
        <f>'NKC2-%'!CP77*100</f>
        <v>0</v>
      </c>
    </row>
    <row r="68" spans="1:87" x14ac:dyDescent="0.45">
      <c r="A68" s="266" t="str">
        <f>'NKC2-%'!B78</f>
        <v>1.6.1</v>
      </c>
      <c r="B68" t="str">
        <f>'NKC2-%'!D78</f>
        <v>WWTP</v>
      </c>
      <c r="C68" s="104">
        <f>'NKC2-%'!F78</f>
        <v>592429.84990668099</v>
      </c>
      <c r="D68" s="87" t="str">
        <f>'NKC2-%'!G78</f>
        <v>P</v>
      </c>
      <c r="E68" s="109">
        <f>'NKC2-%'!K78*100</f>
        <v>100</v>
      </c>
      <c r="F68" s="109">
        <f>'NKC2-%'!M78*100</f>
        <v>0</v>
      </c>
      <c r="G68" s="109">
        <f>'NKC2-%'!N78*100</f>
        <v>0</v>
      </c>
      <c r="H68" s="109">
        <f>'NKC2-%'!O78*100</f>
        <v>0</v>
      </c>
      <c r="I68" s="109">
        <f>'NKC2-%'!P78*100</f>
        <v>0</v>
      </c>
      <c r="J68" s="109">
        <f>'NKC2-%'!Q78*100</f>
        <v>0</v>
      </c>
      <c r="K68" s="109">
        <f>'NKC2-%'!R78*100</f>
        <v>0</v>
      </c>
      <c r="L68" s="109">
        <f>'NKC2-%'!S78*100</f>
        <v>0</v>
      </c>
      <c r="M68" s="109">
        <f>'NKC2-%'!T78*100</f>
        <v>0</v>
      </c>
      <c r="N68" s="109">
        <f>'NKC2-%'!U78*100</f>
        <v>0</v>
      </c>
      <c r="O68" s="109">
        <f>'NKC2-%'!V78*100</f>
        <v>0</v>
      </c>
      <c r="P68" s="109">
        <f>'NKC2-%'!W78*100</f>
        <v>0</v>
      </c>
      <c r="Q68" s="109">
        <f>'NKC2-%'!X78*100</f>
        <v>0</v>
      </c>
      <c r="R68" s="109">
        <f>'NKC2-%'!Y78*100</f>
        <v>0</v>
      </c>
      <c r="S68" s="109">
        <f>'NKC2-%'!Z78*100</f>
        <v>0</v>
      </c>
      <c r="T68" s="109">
        <f>'NKC2-%'!AA78*100</f>
        <v>0</v>
      </c>
      <c r="U68" s="109">
        <f>'NKC2-%'!AB78*100</f>
        <v>0</v>
      </c>
      <c r="V68" s="109">
        <f>'NKC2-%'!AC78*100</f>
        <v>0</v>
      </c>
      <c r="W68" s="109">
        <f>'NKC2-%'!AD78*100</f>
        <v>0</v>
      </c>
      <c r="X68" s="109">
        <f>'NKC2-%'!AE78*100</f>
        <v>0</v>
      </c>
      <c r="Y68" s="109">
        <f>'NKC2-%'!AF78*100</f>
        <v>0</v>
      </c>
      <c r="Z68" s="109">
        <f>'NKC2-%'!AG78*100</f>
        <v>0</v>
      </c>
      <c r="AA68" s="109">
        <f>'NKC2-%'!AH78*100</f>
        <v>0</v>
      </c>
      <c r="AB68" s="109">
        <f>'NKC2-%'!AI78*100</f>
        <v>0</v>
      </c>
      <c r="AC68" s="109">
        <f>'NKC2-%'!AJ78*100</f>
        <v>0</v>
      </c>
      <c r="AD68" s="109">
        <f>'NKC2-%'!AK78*100</f>
        <v>0</v>
      </c>
      <c r="AE68" s="109">
        <f>'NKC2-%'!AL78*100</f>
        <v>0</v>
      </c>
      <c r="AF68" s="109">
        <f>'NKC2-%'!AM78*100</f>
        <v>0</v>
      </c>
      <c r="AG68" s="109">
        <f>'NKC2-%'!AN78*100</f>
        <v>0</v>
      </c>
      <c r="AH68" s="109">
        <f>'NKC2-%'!AO78*100</f>
        <v>0</v>
      </c>
      <c r="AI68" s="109">
        <f>'NKC2-%'!AP78*100</f>
        <v>0</v>
      </c>
      <c r="AJ68" s="109">
        <f>'NKC2-%'!AQ78*100</f>
        <v>0</v>
      </c>
      <c r="AK68" s="109">
        <f>'NKC2-%'!AR78*100</f>
        <v>0</v>
      </c>
      <c r="AL68" s="109">
        <f>'NKC2-%'!AS78*100</f>
        <v>0</v>
      </c>
      <c r="AM68" s="109">
        <f>'NKC2-%'!AT78*100</f>
        <v>0</v>
      </c>
      <c r="AN68" s="109">
        <f>'NKC2-%'!AU78*100</f>
        <v>25</v>
      </c>
      <c r="AO68" s="109">
        <f>'NKC2-%'!AV78*100</f>
        <v>25</v>
      </c>
      <c r="AP68" s="109">
        <f>'NKC2-%'!AW78*100</f>
        <v>25</v>
      </c>
      <c r="AQ68" s="109">
        <f>'NKC2-%'!AX78*100</f>
        <v>25</v>
      </c>
      <c r="AR68" s="109">
        <f>'NKC2-%'!AY78*100</f>
        <v>0</v>
      </c>
      <c r="AS68" s="109">
        <f>'NKC2-%'!AZ78*100</f>
        <v>0</v>
      </c>
      <c r="AT68" s="109">
        <f>'NKC2-%'!BA78*100</f>
        <v>0</v>
      </c>
      <c r="AU68" s="109">
        <f>'NKC2-%'!BB78*100</f>
        <v>0</v>
      </c>
      <c r="AV68" s="109">
        <f>'NKC2-%'!BC78*100</f>
        <v>0</v>
      </c>
      <c r="AW68" s="109">
        <f>'NKC2-%'!BD78*100</f>
        <v>0</v>
      </c>
      <c r="AX68" s="109">
        <f>'NKC2-%'!BE78*100</f>
        <v>0</v>
      </c>
      <c r="AY68" s="109">
        <f>'NKC2-%'!BF78*100</f>
        <v>0</v>
      </c>
      <c r="AZ68" s="109">
        <f>'NKC2-%'!BG78*100</f>
        <v>0</v>
      </c>
      <c r="BA68" s="109">
        <f>'NKC2-%'!BH78*100</f>
        <v>0</v>
      </c>
      <c r="BB68" s="109">
        <f>'NKC2-%'!BI78*100</f>
        <v>0</v>
      </c>
      <c r="BC68" s="109">
        <f>'NKC2-%'!BJ78*100</f>
        <v>0</v>
      </c>
      <c r="BD68" s="109">
        <f>'NKC2-%'!BK78*100</f>
        <v>0</v>
      </c>
      <c r="BE68" s="109">
        <f>'NKC2-%'!BL78*100</f>
        <v>0</v>
      </c>
      <c r="BF68" s="109">
        <f>'NKC2-%'!BM78*100</f>
        <v>0</v>
      </c>
      <c r="BG68" s="109">
        <f>'NKC2-%'!BN78*100</f>
        <v>0</v>
      </c>
      <c r="BH68" s="109">
        <f>'NKC2-%'!BO78*100</f>
        <v>0</v>
      </c>
      <c r="BI68" s="109">
        <f>'NKC2-%'!BP78*100</f>
        <v>0</v>
      </c>
      <c r="BJ68" s="109">
        <f>'NKC2-%'!BQ78*100</f>
        <v>0</v>
      </c>
      <c r="BK68" s="109">
        <f>'NKC2-%'!BR78*100</f>
        <v>0</v>
      </c>
      <c r="BL68" s="109">
        <f>'NKC2-%'!BS78*100</f>
        <v>0</v>
      </c>
      <c r="BM68" s="109">
        <f>'NKC2-%'!BT78*100</f>
        <v>0</v>
      </c>
      <c r="BN68" s="109">
        <f>'NKC2-%'!BU78*100</f>
        <v>0</v>
      </c>
      <c r="BO68" s="109">
        <f>'NKC2-%'!BV78*100</f>
        <v>0</v>
      </c>
      <c r="BP68" s="109">
        <f>'NKC2-%'!BW78*100</f>
        <v>0</v>
      </c>
      <c r="BQ68" s="109">
        <f>'NKC2-%'!BX78*100</f>
        <v>0</v>
      </c>
      <c r="BR68" s="109">
        <f>'NKC2-%'!BY78*100</f>
        <v>0</v>
      </c>
      <c r="BS68" s="109">
        <f>'NKC2-%'!BZ78*100</f>
        <v>0</v>
      </c>
      <c r="BT68" s="109">
        <f>'NKC2-%'!CA78*100</f>
        <v>0</v>
      </c>
      <c r="BU68" s="109">
        <f>'NKC2-%'!CB78*100</f>
        <v>0</v>
      </c>
      <c r="BV68" s="109">
        <f>'NKC2-%'!CC78*100</f>
        <v>0</v>
      </c>
      <c r="BW68" s="109">
        <f>'NKC2-%'!CD78*100</f>
        <v>0</v>
      </c>
      <c r="BX68" s="109">
        <f>'NKC2-%'!CE78*100</f>
        <v>0</v>
      </c>
      <c r="BY68" s="109">
        <f>'NKC2-%'!CF78*100</f>
        <v>0</v>
      </c>
      <c r="BZ68" s="109">
        <f>'NKC2-%'!CG78*100</f>
        <v>0</v>
      </c>
      <c r="CA68" s="109">
        <f>'NKC2-%'!CH78*100</f>
        <v>0</v>
      </c>
      <c r="CB68" s="109">
        <f>'NKC2-%'!CI78*100</f>
        <v>0</v>
      </c>
      <c r="CC68" s="109">
        <f>'NKC2-%'!CJ78*100</f>
        <v>0</v>
      </c>
      <c r="CD68" s="109">
        <f>'NKC2-%'!CK78*100</f>
        <v>0</v>
      </c>
      <c r="CE68" s="109">
        <f>'NKC2-%'!CL78*100</f>
        <v>0</v>
      </c>
      <c r="CF68" s="109">
        <f>'NKC2-%'!CM78*100</f>
        <v>0</v>
      </c>
      <c r="CG68" s="109">
        <f>'NKC2-%'!CN78*100</f>
        <v>0</v>
      </c>
      <c r="CH68" s="109">
        <f>'NKC2-%'!CO78*100</f>
        <v>0</v>
      </c>
      <c r="CI68" s="109">
        <f>'NKC2-%'!CP78*100</f>
        <v>0</v>
      </c>
    </row>
    <row r="69" spans="1:87" x14ac:dyDescent="0.45">
      <c r="A69" s="266" t="str">
        <f>'NKC2-%'!B79</f>
        <v>1.6.1</v>
      </c>
      <c r="B69" t="str">
        <f>'NKC2-%'!D79</f>
        <v>WWTP</v>
      </c>
      <c r="C69" s="104">
        <f>'NKC2-%'!F79</f>
        <v>592429.84990668099</v>
      </c>
      <c r="D69" s="87" t="str">
        <f>'NKC2-%'!G79</f>
        <v>A</v>
      </c>
      <c r="E69" s="109">
        <f>'NKC2-%'!K79*100</f>
        <v>0</v>
      </c>
      <c r="F69" s="109">
        <f>'NKC2-%'!M79*100</f>
        <v>0</v>
      </c>
      <c r="G69" s="109">
        <f>'NKC2-%'!N79*100</f>
        <v>0</v>
      </c>
      <c r="H69" s="109">
        <f>'NKC2-%'!O79*100</f>
        <v>0</v>
      </c>
      <c r="I69" s="109">
        <f>'NKC2-%'!P79*100</f>
        <v>0</v>
      </c>
      <c r="J69" s="109">
        <f>'NKC2-%'!Q79*100</f>
        <v>0</v>
      </c>
      <c r="K69" s="109">
        <f>'NKC2-%'!R79*100</f>
        <v>0</v>
      </c>
      <c r="L69" s="109">
        <f>'NKC2-%'!S79*100</f>
        <v>0</v>
      </c>
      <c r="M69" s="109">
        <f>'NKC2-%'!T79*100</f>
        <v>0</v>
      </c>
      <c r="N69" s="109">
        <f>'NKC2-%'!U79*100</f>
        <v>0</v>
      </c>
      <c r="O69" s="109">
        <f>'NKC2-%'!V79*100</f>
        <v>0</v>
      </c>
      <c r="P69" s="109">
        <f>'NKC2-%'!W79*100</f>
        <v>0</v>
      </c>
      <c r="Q69" s="109">
        <f>'NKC2-%'!X79*100</f>
        <v>0</v>
      </c>
      <c r="R69" s="109">
        <f>'NKC2-%'!Y79*100</f>
        <v>0</v>
      </c>
      <c r="S69" s="109">
        <f>'NKC2-%'!Z79*100</f>
        <v>0</v>
      </c>
      <c r="T69" s="109">
        <f>'NKC2-%'!AA79*100</f>
        <v>0</v>
      </c>
      <c r="U69" s="109">
        <f>'NKC2-%'!AB79*100</f>
        <v>0</v>
      </c>
      <c r="V69" s="109">
        <f>'NKC2-%'!AC79*100</f>
        <v>0</v>
      </c>
      <c r="W69" s="109">
        <f>'NKC2-%'!AD79*100</f>
        <v>0</v>
      </c>
      <c r="X69" s="109">
        <f>'NKC2-%'!AE79*100</f>
        <v>0</v>
      </c>
      <c r="Y69" s="109">
        <f>'NKC2-%'!AF79*100</f>
        <v>0</v>
      </c>
      <c r="Z69" s="109">
        <f>'NKC2-%'!AG79*100</f>
        <v>0</v>
      </c>
      <c r="AA69" s="109">
        <f>'NKC2-%'!AH79*100</f>
        <v>0</v>
      </c>
      <c r="AB69" s="109">
        <f>'NKC2-%'!AI79*100</f>
        <v>0</v>
      </c>
      <c r="AC69" s="109">
        <f>'NKC2-%'!AJ79*100</f>
        <v>0</v>
      </c>
      <c r="AD69" s="109">
        <f>'NKC2-%'!AK79*100</f>
        <v>0</v>
      </c>
      <c r="AE69" s="109">
        <f>'NKC2-%'!AL79*100</f>
        <v>0</v>
      </c>
      <c r="AF69" s="109">
        <f>'NKC2-%'!AM79*100</f>
        <v>0</v>
      </c>
      <c r="AG69" s="109">
        <f>'NKC2-%'!AN79*100</f>
        <v>0</v>
      </c>
      <c r="AH69" s="109">
        <f>'NKC2-%'!AO79*100</f>
        <v>0</v>
      </c>
      <c r="AI69" s="109">
        <f>'NKC2-%'!AP79*100</f>
        <v>0</v>
      </c>
      <c r="AJ69" s="109">
        <f>'NKC2-%'!AQ79*100</f>
        <v>0</v>
      </c>
      <c r="AK69" s="109">
        <f>'NKC2-%'!AR79*100</f>
        <v>0</v>
      </c>
      <c r="AL69" s="109">
        <f>'NKC2-%'!AS79*100</f>
        <v>0</v>
      </c>
      <c r="AM69" s="109">
        <f>'NKC2-%'!AT79*100</f>
        <v>0</v>
      </c>
      <c r="AN69" s="109">
        <f>'NKC2-%'!AU79*100</f>
        <v>0</v>
      </c>
      <c r="AO69" s="109">
        <f>'NKC2-%'!AV79*100</f>
        <v>0</v>
      </c>
      <c r="AP69" s="109">
        <f>'NKC2-%'!AW79*100</f>
        <v>0</v>
      </c>
      <c r="AQ69" s="109">
        <f>'NKC2-%'!AX79*100</f>
        <v>0</v>
      </c>
      <c r="AR69" s="109">
        <f>'NKC2-%'!AY79*100</f>
        <v>0</v>
      </c>
      <c r="AS69" s="109">
        <f>'NKC2-%'!AZ79*100</f>
        <v>0</v>
      </c>
      <c r="AT69" s="109">
        <f>'NKC2-%'!BA79*100</f>
        <v>0</v>
      </c>
      <c r="AU69" s="109">
        <f>'NKC2-%'!BB79*100</f>
        <v>0</v>
      </c>
      <c r="AV69" s="109">
        <f>'NKC2-%'!BC79*100</f>
        <v>0</v>
      </c>
      <c r="AW69" s="109">
        <f>'NKC2-%'!BD79*100</f>
        <v>0</v>
      </c>
      <c r="AX69" s="109">
        <f>'NKC2-%'!BE79*100</f>
        <v>0</v>
      </c>
      <c r="AY69" s="109">
        <f>'NKC2-%'!BF79*100</f>
        <v>0</v>
      </c>
      <c r="AZ69" s="109">
        <f>'NKC2-%'!BG79*100</f>
        <v>0</v>
      </c>
      <c r="BA69" s="109">
        <f>'NKC2-%'!BH79*100</f>
        <v>0</v>
      </c>
      <c r="BB69" s="109">
        <f>'NKC2-%'!BI79*100</f>
        <v>0</v>
      </c>
      <c r="BC69" s="109">
        <f>'NKC2-%'!BJ79*100</f>
        <v>0</v>
      </c>
      <c r="BD69" s="109">
        <f>'NKC2-%'!BK79*100</f>
        <v>0</v>
      </c>
      <c r="BE69" s="109">
        <f>'NKC2-%'!BL79*100</f>
        <v>0</v>
      </c>
      <c r="BF69" s="109">
        <f>'NKC2-%'!BM79*100</f>
        <v>0</v>
      </c>
      <c r="BG69" s="109">
        <f>'NKC2-%'!BN79*100</f>
        <v>0</v>
      </c>
      <c r="BH69" s="109">
        <f>'NKC2-%'!BO79*100</f>
        <v>0</v>
      </c>
      <c r="BI69" s="109">
        <f>'NKC2-%'!BP79*100</f>
        <v>0</v>
      </c>
      <c r="BJ69" s="109">
        <f>'NKC2-%'!BQ79*100</f>
        <v>0</v>
      </c>
      <c r="BK69" s="109">
        <f>'NKC2-%'!BR79*100</f>
        <v>0</v>
      </c>
      <c r="BL69" s="109">
        <f>'NKC2-%'!BS79*100</f>
        <v>0</v>
      </c>
      <c r="BM69" s="109">
        <f>'NKC2-%'!BT79*100</f>
        <v>0</v>
      </c>
      <c r="BN69" s="109">
        <f>'NKC2-%'!BU79*100</f>
        <v>0</v>
      </c>
      <c r="BO69" s="109">
        <f>'NKC2-%'!BV79*100</f>
        <v>0</v>
      </c>
      <c r="BP69" s="109">
        <f>'NKC2-%'!BW79*100</f>
        <v>0</v>
      </c>
      <c r="BQ69" s="109">
        <f>'NKC2-%'!BX79*100</f>
        <v>0</v>
      </c>
      <c r="BR69" s="109">
        <f>'NKC2-%'!BY79*100</f>
        <v>0</v>
      </c>
      <c r="BS69" s="109">
        <f>'NKC2-%'!BZ79*100</f>
        <v>0</v>
      </c>
      <c r="BT69" s="109">
        <f>'NKC2-%'!CA79*100</f>
        <v>0</v>
      </c>
      <c r="BU69" s="109">
        <f>'NKC2-%'!CB79*100</f>
        <v>0</v>
      </c>
      <c r="BV69" s="109">
        <f>'NKC2-%'!CC79*100</f>
        <v>0</v>
      </c>
      <c r="BW69" s="109">
        <f>'NKC2-%'!CD79*100</f>
        <v>0</v>
      </c>
      <c r="BX69" s="109">
        <f>'NKC2-%'!CE79*100</f>
        <v>0</v>
      </c>
      <c r="BY69" s="109">
        <f>'NKC2-%'!CF79*100</f>
        <v>0</v>
      </c>
      <c r="BZ69" s="109">
        <f>'NKC2-%'!CG79*100</f>
        <v>0</v>
      </c>
      <c r="CA69" s="109">
        <f>'NKC2-%'!CH79*100</f>
        <v>0</v>
      </c>
      <c r="CB69" s="109">
        <f>'NKC2-%'!CI79*100</f>
        <v>0</v>
      </c>
      <c r="CC69" s="109">
        <f>'NKC2-%'!CJ79*100</f>
        <v>0</v>
      </c>
      <c r="CD69" s="109">
        <f>'NKC2-%'!CK79*100</f>
        <v>0</v>
      </c>
      <c r="CE69" s="109">
        <f>'NKC2-%'!CL79*100</f>
        <v>0</v>
      </c>
      <c r="CF69" s="109">
        <f>'NKC2-%'!CM79*100</f>
        <v>0</v>
      </c>
      <c r="CG69" s="109">
        <f>'NKC2-%'!CN79*100</f>
        <v>0</v>
      </c>
      <c r="CH69" s="109">
        <f>'NKC2-%'!CO79*100</f>
        <v>0</v>
      </c>
      <c r="CI69" s="109">
        <f>'NKC2-%'!CP79*100</f>
        <v>0</v>
      </c>
    </row>
    <row r="70" spans="1:87" x14ac:dyDescent="0.45">
      <c r="A70" s="266" t="str">
        <f>'NKC2-%'!B80</f>
        <v>1.6.2</v>
      </c>
      <c r="B70" t="str">
        <f>'NKC2-%'!D80</f>
        <v>Greastrap Foundation</v>
      </c>
      <c r="C70" s="104">
        <f>'NKC2-%'!F80</f>
        <v>42272.622750806899</v>
      </c>
      <c r="D70" s="87" t="str">
        <f>'NKC2-%'!G80</f>
        <v>P</v>
      </c>
      <c r="E70" s="109">
        <f>'NKC2-%'!K80*100</f>
        <v>100</v>
      </c>
      <c r="F70" s="109">
        <f>'NKC2-%'!M80*100</f>
        <v>0</v>
      </c>
      <c r="G70" s="109">
        <f>'NKC2-%'!N80*100</f>
        <v>0</v>
      </c>
      <c r="H70" s="109">
        <f>'NKC2-%'!O80*100</f>
        <v>0</v>
      </c>
      <c r="I70" s="109">
        <f>'NKC2-%'!P80*100</f>
        <v>0</v>
      </c>
      <c r="J70" s="109">
        <f>'NKC2-%'!Q80*100</f>
        <v>0</v>
      </c>
      <c r="K70" s="109">
        <f>'NKC2-%'!R80*100</f>
        <v>0</v>
      </c>
      <c r="L70" s="109">
        <f>'NKC2-%'!S80*100</f>
        <v>0</v>
      </c>
      <c r="M70" s="109">
        <f>'NKC2-%'!T80*100</f>
        <v>0</v>
      </c>
      <c r="N70" s="109">
        <f>'NKC2-%'!U80*100</f>
        <v>0</v>
      </c>
      <c r="O70" s="109">
        <f>'NKC2-%'!V80*100</f>
        <v>0</v>
      </c>
      <c r="P70" s="109">
        <f>'NKC2-%'!W80*100</f>
        <v>0</v>
      </c>
      <c r="Q70" s="109">
        <f>'NKC2-%'!X80*100</f>
        <v>0</v>
      </c>
      <c r="R70" s="109">
        <f>'NKC2-%'!Y80*100</f>
        <v>0</v>
      </c>
      <c r="S70" s="109">
        <f>'NKC2-%'!Z80*100</f>
        <v>0</v>
      </c>
      <c r="T70" s="109">
        <f>'NKC2-%'!AA80*100</f>
        <v>0</v>
      </c>
      <c r="U70" s="109">
        <f>'NKC2-%'!AB80*100</f>
        <v>0</v>
      </c>
      <c r="V70" s="109">
        <f>'NKC2-%'!AC80*100</f>
        <v>0</v>
      </c>
      <c r="W70" s="109">
        <f>'NKC2-%'!AD80*100</f>
        <v>0</v>
      </c>
      <c r="X70" s="109">
        <f>'NKC2-%'!AE80*100</f>
        <v>0</v>
      </c>
      <c r="Y70" s="109">
        <f>'NKC2-%'!AF80*100</f>
        <v>0</v>
      </c>
      <c r="Z70" s="109">
        <f>'NKC2-%'!AG80*100</f>
        <v>0</v>
      </c>
      <c r="AA70" s="109">
        <f>'NKC2-%'!AH80*100</f>
        <v>0</v>
      </c>
      <c r="AB70" s="109">
        <f>'NKC2-%'!AI80*100</f>
        <v>0</v>
      </c>
      <c r="AC70" s="109">
        <f>'NKC2-%'!AJ80*100</f>
        <v>0</v>
      </c>
      <c r="AD70" s="109">
        <f>'NKC2-%'!AK80*100</f>
        <v>0</v>
      </c>
      <c r="AE70" s="109">
        <f>'NKC2-%'!AL80*100</f>
        <v>0</v>
      </c>
      <c r="AF70" s="109">
        <f>'NKC2-%'!AM80*100</f>
        <v>0</v>
      </c>
      <c r="AG70" s="109">
        <f>'NKC2-%'!AN80*100</f>
        <v>0</v>
      </c>
      <c r="AH70" s="109">
        <f>'NKC2-%'!AO80*100</f>
        <v>0</v>
      </c>
      <c r="AI70" s="109">
        <f>'NKC2-%'!AP80*100</f>
        <v>0</v>
      </c>
      <c r="AJ70" s="109">
        <f>'NKC2-%'!AQ80*100</f>
        <v>0</v>
      </c>
      <c r="AK70" s="109">
        <f>'NKC2-%'!AR80*100</f>
        <v>0</v>
      </c>
      <c r="AL70" s="109">
        <f>'NKC2-%'!AS80*100</f>
        <v>0</v>
      </c>
      <c r="AM70" s="109">
        <f>'NKC2-%'!AT80*100</f>
        <v>0</v>
      </c>
      <c r="AN70" s="109">
        <f>'NKC2-%'!AU80*100</f>
        <v>0</v>
      </c>
      <c r="AO70" s="109">
        <f>'NKC2-%'!AV80*100</f>
        <v>0</v>
      </c>
      <c r="AP70" s="109">
        <f>'NKC2-%'!AW80*100</f>
        <v>25</v>
      </c>
      <c r="AQ70" s="109">
        <f>'NKC2-%'!AX80*100</f>
        <v>25</v>
      </c>
      <c r="AR70" s="109">
        <f>'NKC2-%'!AY80*100</f>
        <v>25</v>
      </c>
      <c r="AS70" s="109">
        <f>'NKC2-%'!AZ80*100</f>
        <v>25</v>
      </c>
      <c r="AT70" s="109">
        <f>'NKC2-%'!BA80*100</f>
        <v>0</v>
      </c>
      <c r="AU70" s="109">
        <f>'NKC2-%'!BB80*100</f>
        <v>0</v>
      </c>
      <c r="AV70" s="109">
        <f>'NKC2-%'!BC80*100</f>
        <v>0</v>
      </c>
      <c r="AW70" s="109">
        <f>'NKC2-%'!BD80*100</f>
        <v>0</v>
      </c>
      <c r="AX70" s="109">
        <f>'NKC2-%'!BE80*100</f>
        <v>0</v>
      </c>
      <c r="AY70" s="109">
        <f>'NKC2-%'!BF80*100</f>
        <v>0</v>
      </c>
      <c r="AZ70" s="109">
        <f>'NKC2-%'!BG80*100</f>
        <v>0</v>
      </c>
      <c r="BA70" s="109">
        <f>'NKC2-%'!BH80*100</f>
        <v>0</v>
      </c>
      <c r="BB70" s="109">
        <f>'NKC2-%'!BI80*100</f>
        <v>0</v>
      </c>
      <c r="BC70" s="109">
        <f>'NKC2-%'!BJ80*100</f>
        <v>0</v>
      </c>
      <c r="BD70" s="109">
        <f>'NKC2-%'!BK80*100</f>
        <v>0</v>
      </c>
      <c r="BE70" s="109">
        <f>'NKC2-%'!BL80*100</f>
        <v>0</v>
      </c>
      <c r="BF70" s="109">
        <f>'NKC2-%'!BM80*100</f>
        <v>0</v>
      </c>
      <c r="BG70" s="109">
        <f>'NKC2-%'!BN80*100</f>
        <v>0</v>
      </c>
      <c r="BH70" s="109">
        <f>'NKC2-%'!BO80*100</f>
        <v>0</v>
      </c>
      <c r="BI70" s="109">
        <f>'NKC2-%'!BP80*100</f>
        <v>0</v>
      </c>
      <c r="BJ70" s="109">
        <f>'NKC2-%'!BQ80*100</f>
        <v>0</v>
      </c>
      <c r="BK70" s="109">
        <f>'NKC2-%'!BR80*100</f>
        <v>0</v>
      </c>
      <c r="BL70" s="109">
        <f>'NKC2-%'!BS80*100</f>
        <v>0</v>
      </c>
      <c r="BM70" s="109">
        <f>'NKC2-%'!BT80*100</f>
        <v>0</v>
      </c>
      <c r="BN70" s="109">
        <f>'NKC2-%'!BU80*100</f>
        <v>0</v>
      </c>
      <c r="BO70" s="109">
        <f>'NKC2-%'!BV80*100</f>
        <v>0</v>
      </c>
      <c r="BP70" s="109">
        <f>'NKC2-%'!BW80*100</f>
        <v>0</v>
      </c>
      <c r="BQ70" s="109">
        <f>'NKC2-%'!BX80*100</f>
        <v>0</v>
      </c>
      <c r="BR70" s="109">
        <f>'NKC2-%'!BY80*100</f>
        <v>0</v>
      </c>
      <c r="BS70" s="109">
        <f>'NKC2-%'!BZ80*100</f>
        <v>0</v>
      </c>
      <c r="BT70" s="109">
        <f>'NKC2-%'!CA80*100</f>
        <v>0</v>
      </c>
      <c r="BU70" s="109">
        <f>'NKC2-%'!CB80*100</f>
        <v>0</v>
      </c>
      <c r="BV70" s="109">
        <f>'NKC2-%'!CC80*100</f>
        <v>0</v>
      </c>
      <c r="BW70" s="109">
        <f>'NKC2-%'!CD80*100</f>
        <v>0</v>
      </c>
      <c r="BX70" s="109">
        <f>'NKC2-%'!CE80*100</f>
        <v>0</v>
      </c>
      <c r="BY70" s="109">
        <f>'NKC2-%'!CF80*100</f>
        <v>0</v>
      </c>
      <c r="BZ70" s="109">
        <f>'NKC2-%'!CG80*100</f>
        <v>0</v>
      </c>
      <c r="CA70" s="109">
        <f>'NKC2-%'!CH80*100</f>
        <v>0</v>
      </c>
      <c r="CB70" s="109">
        <f>'NKC2-%'!CI80*100</f>
        <v>0</v>
      </c>
      <c r="CC70" s="109">
        <f>'NKC2-%'!CJ80*100</f>
        <v>0</v>
      </c>
      <c r="CD70" s="109">
        <f>'NKC2-%'!CK80*100</f>
        <v>0</v>
      </c>
      <c r="CE70" s="109">
        <f>'NKC2-%'!CL80*100</f>
        <v>0</v>
      </c>
      <c r="CF70" s="109">
        <f>'NKC2-%'!CM80*100</f>
        <v>0</v>
      </c>
      <c r="CG70" s="109">
        <f>'NKC2-%'!CN80*100</f>
        <v>0</v>
      </c>
      <c r="CH70" s="109">
        <f>'NKC2-%'!CO80*100</f>
        <v>0</v>
      </c>
      <c r="CI70" s="109">
        <f>'NKC2-%'!CP80*100</f>
        <v>0</v>
      </c>
    </row>
    <row r="71" spans="1:87" x14ac:dyDescent="0.45">
      <c r="A71" s="266" t="str">
        <f>'NKC2-%'!B81</f>
        <v>1.6.2</v>
      </c>
      <c r="B71" t="str">
        <f>'NKC2-%'!D81</f>
        <v>Greastrap Foundation</v>
      </c>
      <c r="C71" s="104">
        <f>'NKC2-%'!F81</f>
        <v>42272.622750806899</v>
      </c>
      <c r="D71" s="87" t="str">
        <f>'NKC2-%'!G81</f>
        <v>A</v>
      </c>
      <c r="E71" s="109">
        <f>'NKC2-%'!K81*100</f>
        <v>0</v>
      </c>
      <c r="F71" s="109">
        <f>'NKC2-%'!M81*100</f>
        <v>0</v>
      </c>
      <c r="G71" s="109">
        <f>'NKC2-%'!N81*100</f>
        <v>0</v>
      </c>
      <c r="H71" s="109">
        <f>'NKC2-%'!O81*100</f>
        <v>0</v>
      </c>
      <c r="I71" s="109">
        <f>'NKC2-%'!P81*100</f>
        <v>0</v>
      </c>
      <c r="J71" s="109">
        <f>'NKC2-%'!Q81*100</f>
        <v>0</v>
      </c>
      <c r="K71" s="109">
        <f>'NKC2-%'!R81*100</f>
        <v>0</v>
      </c>
      <c r="L71" s="109">
        <f>'NKC2-%'!S81*100</f>
        <v>0</v>
      </c>
      <c r="M71" s="109">
        <f>'NKC2-%'!T81*100</f>
        <v>0</v>
      </c>
      <c r="N71" s="109">
        <f>'NKC2-%'!U81*100</f>
        <v>0</v>
      </c>
      <c r="O71" s="109">
        <f>'NKC2-%'!V81*100</f>
        <v>0</v>
      </c>
      <c r="P71" s="109">
        <f>'NKC2-%'!W81*100</f>
        <v>0</v>
      </c>
      <c r="Q71" s="109">
        <f>'NKC2-%'!X81*100</f>
        <v>0</v>
      </c>
      <c r="R71" s="109">
        <f>'NKC2-%'!Y81*100</f>
        <v>0</v>
      </c>
      <c r="S71" s="109">
        <f>'NKC2-%'!Z81*100</f>
        <v>0</v>
      </c>
      <c r="T71" s="109">
        <f>'NKC2-%'!AA81*100</f>
        <v>0</v>
      </c>
      <c r="U71" s="109">
        <f>'NKC2-%'!AB81*100</f>
        <v>0</v>
      </c>
      <c r="V71" s="109">
        <f>'NKC2-%'!AC81*100</f>
        <v>0</v>
      </c>
      <c r="W71" s="109">
        <f>'NKC2-%'!AD81*100</f>
        <v>0</v>
      </c>
      <c r="X71" s="109">
        <f>'NKC2-%'!AE81*100</f>
        <v>0</v>
      </c>
      <c r="Y71" s="109">
        <f>'NKC2-%'!AF81*100</f>
        <v>0</v>
      </c>
      <c r="Z71" s="109">
        <f>'NKC2-%'!AG81*100</f>
        <v>0</v>
      </c>
      <c r="AA71" s="109">
        <f>'NKC2-%'!AH81*100</f>
        <v>0</v>
      </c>
      <c r="AB71" s="109">
        <f>'NKC2-%'!AI81*100</f>
        <v>0</v>
      </c>
      <c r="AC71" s="109">
        <f>'NKC2-%'!AJ81*100</f>
        <v>0</v>
      </c>
      <c r="AD71" s="109">
        <f>'NKC2-%'!AK81*100</f>
        <v>0</v>
      </c>
      <c r="AE71" s="109">
        <f>'NKC2-%'!AL81*100</f>
        <v>0</v>
      </c>
      <c r="AF71" s="109">
        <f>'NKC2-%'!AM81*100</f>
        <v>0</v>
      </c>
      <c r="AG71" s="109">
        <f>'NKC2-%'!AN81*100</f>
        <v>0</v>
      </c>
      <c r="AH71" s="109">
        <f>'NKC2-%'!AO81*100</f>
        <v>0</v>
      </c>
      <c r="AI71" s="109">
        <f>'NKC2-%'!AP81*100</f>
        <v>0</v>
      </c>
      <c r="AJ71" s="109">
        <f>'NKC2-%'!AQ81*100</f>
        <v>0</v>
      </c>
      <c r="AK71" s="109">
        <f>'NKC2-%'!AR81*100</f>
        <v>0</v>
      </c>
      <c r="AL71" s="109">
        <f>'NKC2-%'!AS81*100</f>
        <v>0</v>
      </c>
      <c r="AM71" s="109">
        <f>'NKC2-%'!AT81*100</f>
        <v>0</v>
      </c>
      <c r="AN71" s="109">
        <f>'NKC2-%'!AU81*100</f>
        <v>0</v>
      </c>
      <c r="AO71" s="109">
        <f>'NKC2-%'!AV81*100</f>
        <v>0</v>
      </c>
      <c r="AP71" s="109">
        <f>'NKC2-%'!AW81*100</f>
        <v>0</v>
      </c>
      <c r="AQ71" s="109">
        <f>'NKC2-%'!AX81*100</f>
        <v>0</v>
      </c>
      <c r="AR71" s="109">
        <f>'NKC2-%'!AY81*100</f>
        <v>0</v>
      </c>
      <c r="AS71" s="109">
        <f>'NKC2-%'!AZ81*100</f>
        <v>0</v>
      </c>
      <c r="AT71" s="109">
        <f>'NKC2-%'!BA81*100</f>
        <v>0</v>
      </c>
      <c r="AU71" s="109">
        <f>'NKC2-%'!BB81*100</f>
        <v>0</v>
      </c>
      <c r="AV71" s="109">
        <f>'NKC2-%'!BC81*100</f>
        <v>0</v>
      </c>
      <c r="AW71" s="109">
        <f>'NKC2-%'!BD81*100</f>
        <v>0</v>
      </c>
      <c r="AX71" s="109">
        <f>'NKC2-%'!BE81*100</f>
        <v>0</v>
      </c>
      <c r="AY71" s="109">
        <f>'NKC2-%'!BF81*100</f>
        <v>0</v>
      </c>
      <c r="AZ71" s="109">
        <f>'NKC2-%'!BG81*100</f>
        <v>0</v>
      </c>
      <c r="BA71" s="109">
        <f>'NKC2-%'!BH81*100</f>
        <v>0</v>
      </c>
      <c r="BB71" s="109">
        <f>'NKC2-%'!BI81*100</f>
        <v>0</v>
      </c>
      <c r="BC71" s="109">
        <f>'NKC2-%'!BJ81*100</f>
        <v>0</v>
      </c>
      <c r="BD71" s="109">
        <f>'NKC2-%'!BK81*100</f>
        <v>0</v>
      </c>
      <c r="BE71" s="109">
        <f>'NKC2-%'!BL81*100</f>
        <v>0</v>
      </c>
      <c r="BF71" s="109">
        <f>'NKC2-%'!BM81*100</f>
        <v>0</v>
      </c>
      <c r="BG71" s="109">
        <f>'NKC2-%'!BN81*100</f>
        <v>0</v>
      </c>
      <c r="BH71" s="109">
        <f>'NKC2-%'!BO81*100</f>
        <v>0</v>
      </c>
      <c r="BI71" s="109">
        <f>'NKC2-%'!BP81*100</f>
        <v>0</v>
      </c>
      <c r="BJ71" s="109">
        <f>'NKC2-%'!BQ81*100</f>
        <v>0</v>
      </c>
      <c r="BK71" s="109">
        <f>'NKC2-%'!BR81*100</f>
        <v>0</v>
      </c>
      <c r="BL71" s="109">
        <f>'NKC2-%'!BS81*100</f>
        <v>0</v>
      </c>
      <c r="BM71" s="109">
        <f>'NKC2-%'!BT81*100</f>
        <v>0</v>
      </c>
      <c r="BN71" s="109">
        <f>'NKC2-%'!BU81*100</f>
        <v>0</v>
      </c>
      <c r="BO71" s="109">
        <f>'NKC2-%'!BV81*100</f>
        <v>0</v>
      </c>
      <c r="BP71" s="109">
        <f>'NKC2-%'!BW81*100</f>
        <v>0</v>
      </c>
      <c r="BQ71" s="109">
        <f>'NKC2-%'!BX81*100</f>
        <v>0</v>
      </c>
      <c r="BR71" s="109">
        <f>'NKC2-%'!BY81*100</f>
        <v>0</v>
      </c>
      <c r="BS71" s="109">
        <f>'NKC2-%'!BZ81*100</f>
        <v>0</v>
      </c>
      <c r="BT71" s="109">
        <f>'NKC2-%'!CA81*100</f>
        <v>0</v>
      </c>
      <c r="BU71" s="109">
        <f>'NKC2-%'!CB81*100</f>
        <v>0</v>
      </c>
      <c r="BV71" s="109">
        <f>'NKC2-%'!CC81*100</f>
        <v>0</v>
      </c>
      <c r="BW71" s="109">
        <f>'NKC2-%'!CD81*100</f>
        <v>0</v>
      </c>
      <c r="BX71" s="109">
        <f>'NKC2-%'!CE81*100</f>
        <v>0</v>
      </c>
      <c r="BY71" s="109">
        <f>'NKC2-%'!CF81*100</f>
        <v>0</v>
      </c>
      <c r="BZ71" s="109">
        <f>'NKC2-%'!CG81*100</f>
        <v>0</v>
      </c>
      <c r="CA71" s="109">
        <f>'NKC2-%'!CH81*100</f>
        <v>0</v>
      </c>
      <c r="CB71" s="109">
        <f>'NKC2-%'!CI81*100</f>
        <v>0</v>
      </c>
      <c r="CC71" s="109">
        <f>'NKC2-%'!CJ81*100</f>
        <v>0</v>
      </c>
      <c r="CD71" s="109">
        <f>'NKC2-%'!CK81*100</f>
        <v>0</v>
      </c>
      <c r="CE71" s="109">
        <f>'NKC2-%'!CL81*100</f>
        <v>0</v>
      </c>
      <c r="CF71" s="109">
        <f>'NKC2-%'!CM81*100</f>
        <v>0</v>
      </c>
      <c r="CG71" s="109">
        <f>'NKC2-%'!CN81*100</f>
        <v>0</v>
      </c>
      <c r="CH71" s="109">
        <f>'NKC2-%'!CO81*100</f>
        <v>0</v>
      </c>
      <c r="CI71" s="109">
        <f>'NKC2-%'!CP81*100</f>
        <v>0</v>
      </c>
    </row>
    <row r="72" spans="1:87" x14ac:dyDescent="0.45">
      <c r="A72" s="266" t="str">
        <f>'NKC2-%'!B82</f>
        <v>1.6.3</v>
      </c>
      <c r="B72" t="str">
        <f>'NKC2-%'!D82</f>
        <v>WWT</v>
      </c>
      <c r="C72" s="104">
        <f>'NKC2-%'!F82</f>
        <v>927578.61846687598</v>
      </c>
      <c r="D72" s="87" t="str">
        <f>'NKC2-%'!G82</f>
        <v>P</v>
      </c>
      <c r="E72" s="109">
        <f>'NKC2-%'!K82*100</f>
        <v>100</v>
      </c>
      <c r="F72" s="109">
        <f>'NKC2-%'!M82*100</f>
        <v>0</v>
      </c>
      <c r="G72" s="109">
        <f>'NKC2-%'!N82*100</f>
        <v>0</v>
      </c>
      <c r="H72" s="109">
        <f>'NKC2-%'!O82*100</f>
        <v>0</v>
      </c>
      <c r="I72" s="109">
        <f>'NKC2-%'!P82*100</f>
        <v>0</v>
      </c>
      <c r="J72" s="109">
        <f>'NKC2-%'!Q82*100</f>
        <v>0</v>
      </c>
      <c r="K72" s="109">
        <f>'NKC2-%'!R82*100</f>
        <v>0</v>
      </c>
      <c r="L72" s="109">
        <f>'NKC2-%'!S82*100</f>
        <v>0</v>
      </c>
      <c r="M72" s="109">
        <f>'NKC2-%'!T82*100</f>
        <v>0</v>
      </c>
      <c r="N72" s="109">
        <f>'NKC2-%'!U82*100</f>
        <v>0</v>
      </c>
      <c r="O72" s="109">
        <f>'NKC2-%'!V82*100</f>
        <v>0</v>
      </c>
      <c r="P72" s="109">
        <f>'NKC2-%'!W82*100</f>
        <v>0</v>
      </c>
      <c r="Q72" s="109">
        <f>'NKC2-%'!X82*100</f>
        <v>0</v>
      </c>
      <c r="R72" s="109">
        <f>'NKC2-%'!Y82*100</f>
        <v>0</v>
      </c>
      <c r="S72" s="109">
        <f>'NKC2-%'!Z82*100</f>
        <v>0</v>
      </c>
      <c r="T72" s="109">
        <f>'NKC2-%'!AA82*100</f>
        <v>0</v>
      </c>
      <c r="U72" s="109">
        <f>'NKC2-%'!AB82*100</f>
        <v>0</v>
      </c>
      <c r="V72" s="109">
        <f>'NKC2-%'!AC82*100</f>
        <v>0</v>
      </c>
      <c r="W72" s="109">
        <f>'NKC2-%'!AD82*100</f>
        <v>0</v>
      </c>
      <c r="X72" s="109">
        <f>'NKC2-%'!AE82*100</f>
        <v>0</v>
      </c>
      <c r="Y72" s="109">
        <f>'NKC2-%'!AF82*100</f>
        <v>0</v>
      </c>
      <c r="Z72" s="109">
        <f>'NKC2-%'!AG82*100</f>
        <v>0</v>
      </c>
      <c r="AA72" s="109">
        <f>'NKC2-%'!AH82*100</f>
        <v>0</v>
      </c>
      <c r="AB72" s="109">
        <f>'NKC2-%'!AI82*100</f>
        <v>0</v>
      </c>
      <c r="AC72" s="109">
        <f>'NKC2-%'!AJ82*100</f>
        <v>0</v>
      </c>
      <c r="AD72" s="109">
        <f>'NKC2-%'!AK82*100</f>
        <v>0</v>
      </c>
      <c r="AE72" s="109">
        <f>'NKC2-%'!AL82*100</f>
        <v>0</v>
      </c>
      <c r="AF72" s="109">
        <f>'NKC2-%'!AM82*100</f>
        <v>0</v>
      </c>
      <c r="AG72" s="109">
        <f>'NKC2-%'!AN82*100</f>
        <v>0</v>
      </c>
      <c r="AH72" s="109">
        <f>'NKC2-%'!AO82*100</f>
        <v>0</v>
      </c>
      <c r="AI72" s="109">
        <f>'NKC2-%'!AP82*100</f>
        <v>0</v>
      </c>
      <c r="AJ72" s="109">
        <f>'NKC2-%'!AQ82*100</f>
        <v>0</v>
      </c>
      <c r="AK72" s="109">
        <f>'NKC2-%'!AR82*100</f>
        <v>0</v>
      </c>
      <c r="AL72" s="109">
        <f>'NKC2-%'!AS82*100</f>
        <v>0</v>
      </c>
      <c r="AM72" s="109">
        <f>'NKC2-%'!AT82*100</f>
        <v>0</v>
      </c>
      <c r="AN72" s="109">
        <f>'NKC2-%'!AU82*100</f>
        <v>0</v>
      </c>
      <c r="AO72" s="109">
        <f>'NKC2-%'!AV82*100</f>
        <v>0</v>
      </c>
      <c r="AP72" s="109">
        <f>'NKC2-%'!AW82*100</f>
        <v>0</v>
      </c>
      <c r="AQ72" s="109">
        <f>'NKC2-%'!AX82*100</f>
        <v>0</v>
      </c>
      <c r="AR72" s="109">
        <f>'NKC2-%'!AY82*100</f>
        <v>25</v>
      </c>
      <c r="AS72" s="109">
        <f>'NKC2-%'!AZ82*100</f>
        <v>25</v>
      </c>
      <c r="AT72" s="109">
        <f>'NKC2-%'!BA82*100</f>
        <v>25</v>
      </c>
      <c r="AU72" s="109">
        <f>'NKC2-%'!BB82*100</f>
        <v>25</v>
      </c>
      <c r="AV72" s="109">
        <f>'NKC2-%'!BC82*100</f>
        <v>0</v>
      </c>
      <c r="AW72" s="109">
        <f>'NKC2-%'!BD82*100</f>
        <v>0</v>
      </c>
      <c r="AX72" s="109">
        <f>'NKC2-%'!BE82*100</f>
        <v>0</v>
      </c>
      <c r="AY72" s="109">
        <f>'NKC2-%'!BF82*100</f>
        <v>0</v>
      </c>
      <c r="AZ72" s="109">
        <f>'NKC2-%'!BG82*100</f>
        <v>0</v>
      </c>
      <c r="BA72" s="109">
        <f>'NKC2-%'!BH82*100</f>
        <v>0</v>
      </c>
      <c r="BB72" s="109">
        <f>'NKC2-%'!BI82*100</f>
        <v>0</v>
      </c>
      <c r="BC72" s="109">
        <f>'NKC2-%'!BJ82*100</f>
        <v>0</v>
      </c>
      <c r="BD72" s="109">
        <f>'NKC2-%'!BK82*100</f>
        <v>0</v>
      </c>
      <c r="BE72" s="109">
        <f>'NKC2-%'!BL82*100</f>
        <v>0</v>
      </c>
      <c r="BF72" s="109">
        <f>'NKC2-%'!BM82*100</f>
        <v>0</v>
      </c>
      <c r="BG72" s="109">
        <f>'NKC2-%'!BN82*100</f>
        <v>0</v>
      </c>
      <c r="BH72" s="109">
        <f>'NKC2-%'!BO82*100</f>
        <v>0</v>
      </c>
      <c r="BI72" s="109">
        <f>'NKC2-%'!BP82*100</f>
        <v>0</v>
      </c>
      <c r="BJ72" s="109">
        <f>'NKC2-%'!BQ82*100</f>
        <v>0</v>
      </c>
      <c r="BK72" s="109">
        <f>'NKC2-%'!BR82*100</f>
        <v>0</v>
      </c>
      <c r="BL72" s="109">
        <f>'NKC2-%'!BS82*100</f>
        <v>0</v>
      </c>
      <c r="BM72" s="109">
        <f>'NKC2-%'!BT82*100</f>
        <v>0</v>
      </c>
      <c r="BN72" s="109">
        <f>'NKC2-%'!BU82*100</f>
        <v>0</v>
      </c>
      <c r="BO72" s="109">
        <f>'NKC2-%'!BV82*100</f>
        <v>0</v>
      </c>
      <c r="BP72" s="109">
        <f>'NKC2-%'!BW82*100</f>
        <v>0</v>
      </c>
      <c r="BQ72" s="109">
        <f>'NKC2-%'!BX82*100</f>
        <v>0</v>
      </c>
      <c r="BR72" s="109">
        <f>'NKC2-%'!BY82*100</f>
        <v>0</v>
      </c>
      <c r="BS72" s="109">
        <f>'NKC2-%'!BZ82*100</f>
        <v>0</v>
      </c>
      <c r="BT72" s="109">
        <f>'NKC2-%'!CA82*100</f>
        <v>0</v>
      </c>
      <c r="BU72" s="109">
        <f>'NKC2-%'!CB82*100</f>
        <v>0</v>
      </c>
      <c r="BV72" s="109">
        <f>'NKC2-%'!CC82*100</f>
        <v>0</v>
      </c>
      <c r="BW72" s="109">
        <f>'NKC2-%'!CD82*100</f>
        <v>0</v>
      </c>
      <c r="BX72" s="109">
        <f>'NKC2-%'!CE82*100</f>
        <v>0</v>
      </c>
      <c r="BY72" s="109">
        <f>'NKC2-%'!CF82*100</f>
        <v>0</v>
      </c>
      <c r="BZ72" s="109">
        <f>'NKC2-%'!CG82*100</f>
        <v>0</v>
      </c>
      <c r="CA72" s="109">
        <f>'NKC2-%'!CH82*100</f>
        <v>0</v>
      </c>
      <c r="CB72" s="109">
        <f>'NKC2-%'!CI82*100</f>
        <v>0</v>
      </c>
      <c r="CC72" s="109">
        <f>'NKC2-%'!CJ82*100</f>
        <v>0</v>
      </c>
      <c r="CD72" s="109">
        <f>'NKC2-%'!CK82*100</f>
        <v>0</v>
      </c>
      <c r="CE72" s="109">
        <f>'NKC2-%'!CL82*100</f>
        <v>0</v>
      </c>
      <c r="CF72" s="109">
        <f>'NKC2-%'!CM82*100</f>
        <v>0</v>
      </c>
      <c r="CG72" s="109">
        <f>'NKC2-%'!CN82*100</f>
        <v>0</v>
      </c>
      <c r="CH72" s="109">
        <f>'NKC2-%'!CO82*100</f>
        <v>0</v>
      </c>
      <c r="CI72" s="109">
        <f>'NKC2-%'!CP82*100</f>
        <v>0</v>
      </c>
    </row>
    <row r="73" spans="1:87" x14ac:dyDescent="0.45">
      <c r="A73" s="266" t="str">
        <f>'NKC2-%'!B83</f>
        <v>1.6.3</v>
      </c>
      <c r="B73" t="str">
        <f>'NKC2-%'!D83</f>
        <v>WWT</v>
      </c>
      <c r="C73" s="104">
        <f>'NKC2-%'!F83</f>
        <v>927578.61846687598</v>
      </c>
      <c r="D73" s="87" t="str">
        <f>'NKC2-%'!G83</f>
        <v>A</v>
      </c>
      <c r="E73" s="109">
        <f>'NKC2-%'!K83*100</f>
        <v>0</v>
      </c>
      <c r="F73" s="109">
        <f>'NKC2-%'!M83*100</f>
        <v>0</v>
      </c>
      <c r="G73" s="109">
        <f>'NKC2-%'!N83*100</f>
        <v>0</v>
      </c>
      <c r="H73" s="109">
        <f>'NKC2-%'!O83*100</f>
        <v>0</v>
      </c>
      <c r="I73" s="109">
        <f>'NKC2-%'!P83*100</f>
        <v>0</v>
      </c>
      <c r="J73" s="109">
        <f>'NKC2-%'!Q83*100</f>
        <v>0</v>
      </c>
      <c r="K73" s="109">
        <f>'NKC2-%'!R83*100</f>
        <v>0</v>
      </c>
      <c r="L73" s="109">
        <f>'NKC2-%'!S83*100</f>
        <v>0</v>
      </c>
      <c r="M73" s="109">
        <f>'NKC2-%'!T83*100</f>
        <v>0</v>
      </c>
      <c r="N73" s="109">
        <f>'NKC2-%'!U83*100</f>
        <v>0</v>
      </c>
      <c r="O73" s="109">
        <f>'NKC2-%'!V83*100</f>
        <v>0</v>
      </c>
      <c r="P73" s="109">
        <f>'NKC2-%'!W83*100</f>
        <v>0</v>
      </c>
      <c r="Q73" s="109">
        <f>'NKC2-%'!X83*100</f>
        <v>0</v>
      </c>
      <c r="R73" s="109">
        <f>'NKC2-%'!Y83*100</f>
        <v>0</v>
      </c>
      <c r="S73" s="109">
        <f>'NKC2-%'!Z83*100</f>
        <v>0</v>
      </c>
      <c r="T73" s="109">
        <f>'NKC2-%'!AA83*100</f>
        <v>0</v>
      </c>
      <c r="U73" s="109">
        <f>'NKC2-%'!AB83*100</f>
        <v>0</v>
      </c>
      <c r="V73" s="109">
        <f>'NKC2-%'!AC83*100</f>
        <v>0</v>
      </c>
      <c r="W73" s="109">
        <f>'NKC2-%'!AD83*100</f>
        <v>0</v>
      </c>
      <c r="X73" s="109">
        <f>'NKC2-%'!AE83*100</f>
        <v>0</v>
      </c>
      <c r="Y73" s="109">
        <f>'NKC2-%'!AF83*100</f>
        <v>0</v>
      </c>
      <c r="Z73" s="109">
        <f>'NKC2-%'!AG83*100</f>
        <v>0</v>
      </c>
      <c r="AA73" s="109">
        <f>'NKC2-%'!AH83*100</f>
        <v>0</v>
      </c>
      <c r="AB73" s="109">
        <f>'NKC2-%'!AI83*100</f>
        <v>0</v>
      </c>
      <c r="AC73" s="109">
        <f>'NKC2-%'!AJ83*100</f>
        <v>0</v>
      </c>
      <c r="AD73" s="109">
        <f>'NKC2-%'!AK83*100</f>
        <v>0</v>
      </c>
      <c r="AE73" s="109">
        <f>'NKC2-%'!AL83*100</f>
        <v>0</v>
      </c>
      <c r="AF73" s="109">
        <f>'NKC2-%'!AM83*100</f>
        <v>0</v>
      </c>
      <c r="AG73" s="109">
        <f>'NKC2-%'!AN83*100</f>
        <v>0</v>
      </c>
      <c r="AH73" s="109">
        <f>'NKC2-%'!AO83*100</f>
        <v>0</v>
      </c>
      <c r="AI73" s="109">
        <f>'NKC2-%'!AP83*100</f>
        <v>0</v>
      </c>
      <c r="AJ73" s="109">
        <f>'NKC2-%'!AQ83*100</f>
        <v>0</v>
      </c>
      <c r="AK73" s="109">
        <f>'NKC2-%'!AR83*100</f>
        <v>0</v>
      </c>
      <c r="AL73" s="109">
        <f>'NKC2-%'!AS83*100</f>
        <v>0</v>
      </c>
      <c r="AM73" s="109">
        <f>'NKC2-%'!AT83*100</f>
        <v>0</v>
      </c>
      <c r="AN73" s="109">
        <f>'NKC2-%'!AU83*100</f>
        <v>0</v>
      </c>
      <c r="AO73" s="109">
        <f>'NKC2-%'!AV83*100</f>
        <v>0</v>
      </c>
      <c r="AP73" s="109">
        <f>'NKC2-%'!AW83*100</f>
        <v>0</v>
      </c>
      <c r="AQ73" s="109">
        <f>'NKC2-%'!AX83*100</f>
        <v>0</v>
      </c>
      <c r="AR73" s="109">
        <f>'NKC2-%'!AY83*100</f>
        <v>0</v>
      </c>
      <c r="AS73" s="109">
        <f>'NKC2-%'!AZ83*100</f>
        <v>0</v>
      </c>
      <c r="AT73" s="109">
        <f>'NKC2-%'!BA83*100</f>
        <v>0</v>
      </c>
      <c r="AU73" s="109">
        <f>'NKC2-%'!BB83*100</f>
        <v>0</v>
      </c>
      <c r="AV73" s="109">
        <f>'NKC2-%'!BC83*100</f>
        <v>0</v>
      </c>
      <c r="AW73" s="109">
        <f>'NKC2-%'!BD83*100</f>
        <v>0</v>
      </c>
      <c r="AX73" s="109">
        <f>'NKC2-%'!BE83*100</f>
        <v>0</v>
      </c>
      <c r="AY73" s="109">
        <f>'NKC2-%'!BF83*100</f>
        <v>0</v>
      </c>
      <c r="AZ73" s="109">
        <f>'NKC2-%'!BG83*100</f>
        <v>0</v>
      </c>
      <c r="BA73" s="109">
        <f>'NKC2-%'!BH83*100</f>
        <v>0</v>
      </c>
      <c r="BB73" s="109">
        <f>'NKC2-%'!BI83*100</f>
        <v>0</v>
      </c>
      <c r="BC73" s="109">
        <f>'NKC2-%'!BJ83*100</f>
        <v>0</v>
      </c>
      <c r="BD73" s="109">
        <f>'NKC2-%'!BK83*100</f>
        <v>0</v>
      </c>
      <c r="BE73" s="109">
        <f>'NKC2-%'!BL83*100</f>
        <v>0</v>
      </c>
      <c r="BF73" s="109">
        <f>'NKC2-%'!BM83*100</f>
        <v>0</v>
      </c>
      <c r="BG73" s="109">
        <f>'NKC2-%'!BN83*100</f>
        <v>0</v>
      </c>
      <c r="BH73" s="109">
        <f>'NKC2-%'!BO83*100</f>
        <v>0</v>
      </c>
      <c r="BI73" s="109">
        <f>'NKC2-%'!BP83*100</f>
        <v>0</v>
      </c>
      <c r="BJ73" s="109">
        <f>'NKC2-%'!BQ83*100</f>
        <v>0</v>
      </c>
      <c r="BK73" s="109">
        <f>'NKC2-%'!BR83*100</f>
        <v>0</v>
      </c>
      <c r="BL73" s="109">
        <f>'NKC2-%'!BS83*100</f>
        <v>0</v>
      </c>
      <c r="BM73" s="109">
        <f>'NKC2-%'!BT83*100</f>
        <v>0</v>
      </c>
      <c r="BN73" s="109">
        <f>'NKC2-%'!BU83*100</f>
        <v>0</v>
      </c>
      <c r="BO73" s="109">
        <f>'NKC2-%'!BV83*100</f>
        <v>0</v>
      </c>
      <c r="BP73" s="109">
        <f>'NKC2-%'!BW83*100</f>
        <v>0</v>
      </c>
      <c r="BQ73" s="109">
        <f>'NKC2-%'!BX83*100</f>
        <v>0</v>
      </c>
      <c r="BR73" s="109">
        <f>'NKC2-%'!BY83*100</f>
        <v>0</v>
      </c>
      <c r="BS73" s="109">
        <f>'NKC2-%'!BZ83*100</f>
        <v>0</v>
      </c>
      <c r="BT73" s="109">
        <f>'NKC2-%'!CA83*100</f>
        <v>0</v>
      </c>
      <c r="BU73" s="109">
        <f>'NKC2-%'!CB83*100</f>
        <v>0</v>
      </c>
      <c r="BV73" s="109">
        <f>'NKC2-%'!CC83*100</f>
        <v>0</v>
      </c>
      <c r="BW73" s="109">
        <f>'NKC2-%'!CD83*100</f>
        <v>0</v>
      </c>
      <c r="BX73" s="109">
        <f>'NKC2-%'!CE83*100</f>
        <v>0</v>
      </c>
      <c r="BY73" s="109">
        <f>'NKC2-%'!CF83*100</f>
        <v>0</v>
      </c>
      <c r="BZ73" s="109">
        <f>'NKC2-%'!CG83*100</f>
        <v>0</v>
      </c>
      <c r="CA73" s="109">
        <f>'NKC2-%'!CH83*100</f>
        <v>0</v>
      </c>
      <c r="CB73" s="109">
        <f>'NKC2-%'!CI83*100</f>
        <v>0</v>
      </c>
      <c r="CC73" s="109">
        <f>'NKC2-%'!CJ83*100</f>
        <v>0</v>
      </c>
      <c r="CD73" s="109">
        <f>'NKC2-%'!CK83*100</f>
        <v>0</v>
      </c>
      <c r="CE73" s="109">
        <f>'NKC2-%'!CL83*100</f>
        <v>0</v>
      </c>
      <c r="CF73" s="109">
        <f>'NKC2-%'!CM83*100</f>
        <v>0</v>
      </c>
      <c r="CG73" s="109">
        <f>'NKC2-%'!CN83*100</f>
        <v>0</v>
      </c>
      <c r="CH73" s="109">
        <f>'NKC2-%'!CO83*100</f>
        <v>0</v>
      </c>
      <c r="CI73" s="109">
        <f>'NKC2-%'!CP83*100</f>
        <v>0</v>
      </c>
    </row>
    <row r="74" spans="1:87" x14ac:dyDescent="0.45">
      <c r="A74" s="266" t="str">
        <f>'NKC2-%'!B84</f>
        <v>1.6.5</v>
      </c>
      <c r="B74" t="str">
        <f>'NKC2-%'!D84</f>
        <v>Drainage System</v>
      </c>
      <c r="C74" s="104">
        <f>'NKC2-%'!F84</f>
        <v>336808.7939435874</v>
      </c>
      <c r="D74" s="87" t="str">
        <f>'NKC2-%'!G84</f>
        <v>P</v>
      </c>
      <c r="E74" s="109">
        <f>'NKC2-%'!K84*100</f>
        <v>100</v>
      </c>
      <c r="F74" s="109">
        <f>'NKC2-%'!M84*100</f>
        <v>0</v>
      </c>
      <c r="G74" s="109">
        <f>'NKC2-%'!N84*100</f>
        <v>0</v>
      </c>
      <c r="H74" s="109">
        <f>'NKC2-%'!O84*100</f>
        <v>0</v>
      </c>
      <c r="I74" s="109">
        <f>'NKC2-%'!P84*100</f>
        <v>0</v>
      </c>
      <c r="J74" s="109">
        <f>'NKC2-%'!Q84*100</f>
        <v>0</v>
      </c>
      <c r="K74" s="109">
        <f>'NKC2-%'!R84*100</f>
        <v>0</v>
      </c>
      <c r="L74" s="109">
        <f>'NKC2-%'!S84*100</f>
        <v>0</v>
      </c>
      <c r="M74" s="109">
        <f>'NKC2-%'!T84*100</f>
        <v>0</v>
      </c>
      <c r="N74" s="109">
        <f>'NKC2-%'!U84*100</f>
        <v>0</v>
      </c>
      <c r="O74" s="109">
        <f>'NKC2-%'!V84*100</f>
        <v>0</v>
      </c>
      <c r="P74" s="109">
        <f>'NKC2-%'!W84*100</f>
        <v>0</v>
      </c>
      <c r="Q74" s="109">
        <f>'NKC2-%'!X84*100</f>
        <v>0</v>
      </c>
      <c r="R74" s="109">
        <f>'NKC2-%'!Y84*100</f>
        <v>0</v>
      </c>
      <c r="S74" s="109">
        <f>'NKC2-%'!Z84*100</f>
        <v>0</v>
      </c>
      <c r="T74" s="109">
        <f>'NKC2-%'!AA84*100</f>
        <v>0</v>
      </c>
      <c r="U74" s="109">
        <f>'NKC2-%'!AB84*100</f>
        <v>0</v>
      </c>
      <c r="V74" s="109">
        <f>'NKC2-%'!AC84*100</f>
        <v>0</v>
      </c>
      <c r="W74" s="109">
        <f>'NKC2-%'!AD84*100</f>
        <v>0</v>
      </c>
      <c r="X74" s="109">
        <f>'NKC2-%'!AE84*100</f>
        <v>0</v>
      </c>
      <c r="Y74" s="109">
        <f>'NKC2-%'!AF84*100</f>
        <v>0</v>
      </c>
      <c r="Z74" s="109">
        <f>'NKC2-%'!AG84*100</f>
        <v>0</v>
      </c>
      <c r="AA74" s="109">
        <f>'NKC2-%'!AH84*100</f>
        <v>0</v>
      </c>
      <c r="AB74" s="109">
        <f>'NKC2-%'!AI84*100</f>
        <v>0</v>
      </c>
      <c r="AC74" s="109">
        <f>'NKC2-%'!AJ84*100</f>
        <v>0</v>
      </c>
      <c r="AD74" s="109">
        <f>'NKC2-%'!AK84*100</f>
        <v>0</v>
      </c>
      <c r="AE74" s="109">
        <f>'NKC2-%'!AL84*100</f>
        <v>0</v>
      </c>
      <c r="AF74" s="109">
        <f>'NKC2-%'!AM84*100</f>
        <v>0</v>
      </c>
      <c r="AG74" s="109">
        <f>'NKC2-%'!AN84*100</f>
        <v>0</v>
      </c>
      <c r="AH74" s="109">
        <f>'NKC2-%'!AO84*100</f>
        <v>0</v>
      </c>
      <c r="AI74" s="109">
        <f>'NKC2-%'!AP84*100</f>
        <v>0</v>
      </c>
      <c r="AJ74" s="109">
        <f>'NKC2-%'!AQ84*100</f>
        <v>0</v>
      </c>
      <c r="AK74" s="109">
        <f>'NKC2-%'!AR84*100</f>
        <v>0</v>
      </c>
      <c r="AL74" s="109">
        <f>'NKC2-%'!AS84*100</f>
        <v>0</v>
      </c>
      <c r="AM74" s="109">
        <f>'NKC2-%'!AT84*100</f>
        <v>0</v>
      </c>
      <c r="AN74" s="109">
        <f>'NKC2-%'!AU84*100</f>
        <v>0</v>
      </c>
      <c r="AO74" s="109">
        <f>'NKC2-%'!AV84*100</f>
        <v>0</v>
      </c>
      <c r="AP74" s="109">
        <f>'NKC2-%'!AW84*100</f>
        <v>5</v>
      </c>
      <c r="AQ74" s="109">
        <f>'NKC2-%'!AX84*100</f>
        <v>5</v>
      </c>
      <c r="AR74" s="109">
        <f>'NKC2-%'!AY84*100</f>
        <v>5</v>
      </c>
      <c r="AS74" s="109">
        <f>'NKC2-%'!AZ84*100</f>
        <v>10</v>
      </c>
      <c r="AT74" s="109">
        <f>'NKC2-%'!BA84*100</f>
        <v>10</v>
      </c>
      <c r="AU74" s="109">
        <f>'NKC2-%'!BB84*100</f>
        <v>10</v>
      </c>
      <c r="AV74" s="109">
        <f>'NKC2-%'!BC84*100</f>
        <v>15</v>
      </c>
      <c r="AW74" s="109">
        <f>'NKC2-%'!BD84*100</f>
        <v>15</v>
      </c>
      <c r="AX74" s="109">
        <f>'NKC2-%'!BE84*100</f>
        <v>10</v>
      </c>
      <c r="AY74" s="109">
        <f>'NKC2-%'!BF84*100</f>
        <v>10</v>
      </c>
      <c r="AZ74" s="109">
        <f>'NKC2-%'!BG84*100</f>
        <v>5</v>
      </c>
      <c r="BA74" s="109">
        <f>'NKC2-%'!BH84*100</f>
        <v>0</v>
      </c>
      <c r="BB74" s="109">
        <f>'NKC2-%'!BI84*100</f>
        <v>0</v>
      </c>
      <c r="BC74" s="109">
        <f>'NKC2-%'!BJ84*100</f>
        <v>0</v>
      </c>
      <c r="BD74" s="109">
        <f>'NKC2-%'!BK84*100</f>
        <v>0</v>
      </c>
      <c r="BE74" s="109">
        <f>'NKC2-%'!BL84*100</f>
        <v>0</v>
      </c>
      <c r="BF74" s="109">
        <f>'NKC2-%'!BM84*100</f>
        <v>0</v>
      </c>
      <c r="BG74" s="109">
        <f>'NKC2-%'!BN84*100</f>
        <v>0</v>
      </c>
      <c r="BH74" s="109">
        <f>'NKC2-%'!BO84*100</f>
        <v>0</v>
      </c>
      <c r="BI74" s="109">
        <f>'NKC2-%'!BP84*100</f>
        <v>0</v>
      </c>
      <c r="BJ74" s="109">
        <f>'NKC2-%'!BQ84*100</f>
        <v>0</v>
      </c>
      <c r="BK74" s="109">
        <f>'NKC2-%'!BR84*100</f>
        <v>0</v>
      </c>
      <c r="BL74" s="109">
        <f>'NKC2-%'!BS84*100</f>
        <v>0</v>
      </c>
      <c r="BM74" s="109">
        <f>'NKC2-%'!BT84*100</f>
        <v>0</v>
      </c>
      <c r="BN74" s="109">
        <f>'NKC2-%'!BU84*100</f>
        <v>0</v>
      </c>
      <c r="BO74" s="109">
        <f>'NKC2-%'!BV84*100</f>
        <v>0</v>
      </c>
      <c r="BP74" s="109">
        <f>'NKC2-%'!BW84*100</f>
        <v>0</v>
      </c>
      <c r="BQ74" s="109">
        <f>'NKC2-%'!BX84*100</f>
        <v>0</v>
      </c>
      <c r="BR74" s="109">
        <f>'NKC2-%'!BY84*100</f>
        <v>0</v>
      </c>
      <c r="BS74" s="109">
        <f>'NKC2-%'!BZ84*100</f>
        <v>0</v>
      </c>
      <c r="BT74" s="109">
        <f>'NKC2-%'!CA84*100</f>
        <v>0</v>
      </c>
      <c r="BU74" s="109">
        <f>'NKC2-%'!CB84*100</f>
        <v>0</v>
      </c>
      <c r="BV74" s="109">
        <f>'NKC2-%'!CC84*100</f>
        <v>0</v>
      </c>
      <c r="BW74" s="109">
        <f>'NKC2-%'!CD84*100</f>
        <v>0</v>
      </c>
      <c r="BX74" s="109">
        <f>'NKC2-%'!CE84*100</f>
        <v>0</v>
      </c>
      <c r="BY74" s="109">
        <f>'NKC2-%'!CF84*100</f>
        <v>0</v>
      </c>
      <c r="BZ74" s="109">
        <f>'NKC2-%'!CG84*100</f>
        <v>0</v>
      </c>
      <c r="CA74" s="109">
        <f>'NKC2-%'!CH84*100</f>
        <v>0</v>
      </c>
      <c r="CB74" s="109">
        <f>'NKC2-%'!CI84*100</f>
        <v>0</v>
      </c>
      <c r="CC74" s="109">
        <f>'NKC2-%'!CJ84*100</f>
        <v>0</v>
      </c>
      <c r="CD74" s="109">
        <f>'NKC2-%'!CK84*100</f>
        <v>0</v>
      </c>
      <c r="CE74" s="109">
        <f>'NKC2-%'!CL84*100</f>
        <v>0</v>
      </c>
      <c r="CF74" s="109">
        <f>'NKC2-%'!CM84*100</f>
        <v>0</v>
      </c>
      <c r="CG74" s="109">
        <f>'NKC2-%'!CN84*100</f>
        <v>0</v>
      </c>
      <c r="CH74" s="109">
        <f>'NKC2-%'!CO84*100</f>
        <v>0</v>
      </c>
      <c r="CI74" s="109">
        <f>'NKC2-%'!CP84*100</f>
        <v>0</v>
      </c>
    </row>
    <row r="75" spans="1:87" x14ac:dyDescent="0.45">
      <c r="A75" s="266" t="str">
        <f>'NKC2-%'!B85</f>
        <v>1.6.5</v>
      </c>
      <c r="B75" t="str">
        <f>'NKC2-%'!D85</f>
        <v>Drainage System</v>
      </c>
      <c r="C75" s="104">
        <f>'NKC2-%'!F85</f>
        <v>336808.7939435874</v>
      </c>
      <c r="D75" s="87" t="str">
        <f>'NKC2-%'!G85</f>
        <v>A</v>
      </c>
      <c r="E75" s="109">
        <f>'NKC2-%'!K85*100</f>
        <v>0</v>
      </c>
      <c r="F75" s="109">
        <f>'NKC2-%'!M85*100</f>
        <v>0</v>
      </c>
      <c r="G75" s="109">
        <f>'NKC2-%'!N85*100</f>
        <v>0</v>
      </c>
      <c r="H75" s="109">
        <f>'NKC2-%'!O85*100</f>
        <v>0</v>
      </c>
      <c r="I75" s="109">
        <f>'NKC2-%'!P85*100</f>
        <v>0</v>
      </c>
      <c r="J75" s="109">
        <f>'NKC2-%'!Q85*100</f>
        <v>0</v>
      </c>
      <c r="K75" s="109">
        <f>'NKC2-%'!R85*100</f>
        <v>0</v>
      </c>
      <c r="L75" s="109">
        <f>'NKC2-%'!S85*100</f>
        <v>0</v>
      </c>
      <c r="M75" s="109">
        <f>'NKC2-%'!T85*100</f>
        <v>0</v>
      </c>
      <c r="N75" s="109">
        <f>'NKC2-%'!U85*100</f>
        <v>0</v>
      </c>
      <c r="O75" s="109">
        <f>'NKC2-%'!V85*100</f>
        <v>0</v>
      </c>
      <c r="P75" s="109">
        <f>'NKC2-%'!W85*100</f>
        <v>0</v>
      </c>
      <c r="Q75" s="109">
        <f>'NKC2-%'!X85*100</f>
        <v>0</v>
      </c>
      <c r="R75" s="109">
        <f>'NKC2-%'!Y85*100</f>
        <v>0</v>
      </c>
      <c r="S75" s="109">
        <f>'NKC2-%'!Z85*100</f>
        <v>0</v>
      </c>
      <c r="T75" s="109">
        <f>'NKC2-%'!AA85*100</f>
        <v>0</v>
      </c>
      <c r="U75" s="109">
        <f>'NKC2-%'!AB85*100</f>
        <v>0</v>
      </c>
      <c r="V75" s="109">
        <f>'NKC2-%'!AC85*100</f>
        <v>0</v>
      </c>
      <c r="W75" s="109">
        <f>'NKC2-%'!AD85*100</f>
        <v>0</v>
      </c>
      <c r="X75" s="109">
        <f>'NKC2-%'!AE85*100</f>
        <v>0</v>
      </c>
      <c r="Y75" s="109">
        <f>'NKC2-%'!AF85*100</f>
        <v>0</v>
      </c>
      <c r="Z75" s="109">
        <f>'NKC2-%'!AG85*100</f>
        <v>0</v>
      </c>
      <c r="AA75" s="109">
        <f>'NKC2-%'!AH85*100</f>
        <v>0</v>
      </c>
      <c r="AB75" s="109">
        <f>'NKC2-%'!AI85*100</f>
        <v>0</v>
      </c>
      <c r="AC75" s="109">
        <f>'NKC2-%'!AJ85*100</f>
        <v>0</v>
      </c>
      <c r="AD75" s="109">
        <f>'NKC2-%'!AK85*100</f>
        <v>0</v>
      </c>
      <c r="AE75" s="109">
        <f>'NKC2-%'!AL85*100</f>
        <v>0</v>
      </c>
      <c r="AF75" s="109">
        <f>'NKC2-%'!AM85*100</f>
        <v>0</v>
      </c>
      <c r="AG75" s="109">
        <f>'NKC2-%'!AN85*100</f>
        <v>0</v>
      </c>
      <c r="AH75" s="109">
        <f>'NKC2-%'!AO85*100</f>
        <v>0</v>
      </c>
      <c r="AI75" s="109">
        <f>'NKC2-%'!AP85*100</f>
        <v>0</v>
      </c>
      <c r="AJ75" s="109">
        <f>'NKC2-%'!AQ85*100</f>
        <v>0</v>
      </c>
      <c r="AK75" s="109">
        <f>'NKC2-%'!AR85*100</f>
        <v>0</v>
      </c>
      <c r="AL75" s="109">
        <f>'NKC2-%'!AS85*100</f>
        <v>0</v>
      </c>
      <c r="AM75" s="109">
        <f>'NKC2-%'!AT85*100</f>
        <v>0</v>
      </c>
      <c r="AN75" s="109">
        <f>'NKC2-%'!AU85*100</f>
        <v>0</v>
      </c>
      <c r="AO75" s="109">
        <f>'NKC2-%'!AV85*100</f>
        <v>0</v>
      </c>
      <c r="AP75" s="109">
        <f>'NKC2-%'!AW85*100</f>
        <v>0</v>
      </c>
      <c r="AQ75" s="109">
        <f>'NKC2-%'!AX85*100</f>
        <v>0</v>
      </c>
      <c r="AR75" s="109">
        <f>'NKC2-%'!AY85*100</f>
        <v>0</v>
      </c>
      <c r="AS75" s="109">
        <f>'NKC2-%'!AZ85*100</f>
        <v>0</v>
      </c>
      <c r="AT75" s="109">
        <f>'NKC2-%'!BA85*100</f>
        <v>0</v>
      </c>
      <c r="AU75" s="109">
        <f>'NKC2-%'!BB85*100</f>
        <v>0</v>
      </c>
      <c r="AV75" s="109">
        <f>'NKC2-%'!BC85*100</f>
        <v>0</v>
      </c>
      <c r="AW75" s="109">
        <f>'NKC2-%'!BD85*100</f>
        <v>0</v>
      </c>
      <c r="AX75" s="109">
        <f>'NKC2-%'!BE85*100</f>
        <v>0</v>
      </c>
      <c r="AY75" s="109">
        <f>'NKC2-%'!BF85*100</f>
        <v>0</v>
      </c>
      <c r="AZ75" s="109">
        <f>'NKC2-%'!BG85*100</f>
        <v>0</v>
      </c>
      <c r="BA75" s="109">
        <f>'NKC2-%'!BH85*100</f>
        <v>0</v>
      </c>
      <c r="BB75" s="109">
        <f>'NKC2-%'!BI85*100</f>
        <v>0</v>
      </c>
      <c r="BC75" s="109">
        <f>'NKC2-%'!BJ85*100</f>
        <v>0</v>
      </c>
      <c r="BD75" s="109">
        <f>'NKC2-%'!BK85*100</f>
        <v>0</v>
      </c>
      <c r="BE75" s="109">
        <f>'NKC2-%'!BL85*100</f>
        <v>0</v>
      </c>
      <c r="BF75" s="109">
        <f>'NKC2-%'!BM85*100</f>
        <v>0</v>
      </c>
      <c r="BG75" s="109">
        <f>'NKC2-%'!BN85*100</f>
        <v>0</v>
      </c>
      <c r="BH75" s="109">
        <f>'NKC2-%'!BO85*100</f>
        <v>0</v>
      </c>
      <c r="BI75" s="109">
        <f>'NKC2-%'!BP85*100</f>
        <v>0</v>
      </c>
      <c r="BJ75" s="109">
        <f>'NKC2-%'!BQ85*100</f>
        <v>0</v>
      </c>
      <c r="BK75" s="109">
        <f>'NKC2-%'!BR85*100</f>
        <v>0</v>
      </c>
      <c r="BL75" s="109">
        <f>'NKC2-%'!BS85*100</f>
        <v>0</v>
      </c>
      <c r="BM75" s="109">
        <f>'NKC2-%'!BT85*100</f>
        <v>0</v>
      </c>
      <c r="BN75" s="109">
        <f>'NKC2-%'!BU85*100</f>
        <v>0</v>
      </c>
      <c r="BO75" s="109">
        <f>'NKC2-%'!BV85*100</f>
        <v>0</v>
      </c>
      <c r="BP75" s="109">
        <f>'NKC2-%'!BW85*100</f>
        <v>0</v>
      </c>
      <c r="BQ75" s="109">
        <f>'NKC2-%'!BX85*100</f>
        <v>0</v>
      </c>
      <c r="BR75" s="109">
        <f>'NKC2-%'!BY85*100</f>
        <v>0</v>
      </c>
      <c r="BS75" s="109">
        <f>'NKC2-%'!BZ85*100</f>
        <v>0</v>
      </c>
      <c r="BT75" s="109">
        <f>'NKC2-%'!CA85*100</f>
        <v>0</v>
      </c>
      <c r="BU75" s="109">
        <f>'NKC2-%'!CB85*100</f>
        <v>0</v>
      </c>
      <c r="BV75" s="109">
        <f>'NKC2-%'!CC85*100</f>
        <v>0</v>
      </c>
      <c r="BW75" s="109">
        <f>'NKC2-%'!CD85*100</f>
        <v>0</v>
      </c>
      <c r="BX75" s="109">
        <f>'NKC2-%'!CE85*100</f>
        <v>0</v>
      </c>
      <c r="BY75" s="109">
        <f>'NKC2-%'!CF85*100</f>
        <v>0</v>
      </c>
      <c r="BZ75" s="109">
        <f>'NKC2-%'!CG85*100</f>
        <v>0</v>
      </c>
      <c r="CA75" s="109">
        <f>'NKC2-%'!CH85*100</f>
        <v>0</v>
      </c>
      <c r="CB75" s="109">
        <f>'NKC2-%'!CI85*100</f>
        <v>0</v>
      </c>
      <c r="CC75" s="109">
        <f>'NKC2-%'!CJ85*100</f>
        <v>0</v>
      </c>
      <c r="CD75" s="109">
        <f>'NKC2-%'!CK85*100</f>
        <v>0</v>
      </c>
      <c r="CE75" s="109">
        <f>'NKC2-%'!CL85*100</f>
        <v>0</v>
      </c>
      <c r="CF75" s="109">
        <f>'NKC2-%'!CM85*100</f>
        <v>0</v>
      </c>
      <c r="CG75" s="109">
        <f>'NKC2-%'!CN85*100</f>
        <v>0</v>
      </c>
      <c r="CH75" s="109">
        <f>'NKC2-%'!CO85*100</f>
        <v>0</v>
      </c>
      <c r="CI75" s="109">
        <f>'NKC2-%'!CP85*100</f>
        <v>0</v>
      </c>
    </row>
    <row r="76" spans="1:87" x14ac:dyDescent="0.45">
      <c r="A76" s="266" t="str">
        <f>'NKC2-%'!B86</f>
        <v>1.6.6</v>
      </c>
      <c r="B76" t="str">
        <f>'NKC2-%'!D86</f>
        <v>EE/Communication</v>
      </c>
      <c r="C76" s="104">
        <f>'NKC2-%'!F86</f>
        <v>1856142.6956037888</v>
      </c>
      <c r="D76" s="87" t="str">
        <f>'NKC2-%'!G86</f>
        <v>P</v>
      </c>
      <c r="E76" s="109">
        <f>'NKC2-%'!K86*100</f>
        <v>100</v>
      </c>
      <c r="F76" s="109">
        <f>'NKC2-%'!M86*100</f>
        <v>0</v>
      </c>
      <c r="G76" s="109">
        <f>'NKC2-%'!N86*100</f>
        <v>0</v>
      </c>
      <c r="H76" s="109">
        <f>'NKC2-%'!O86*100</f>
        <v>0</v>
      </c>
      <c r="I76" s="109">
        <f>'NKC2-%'!P86*100</f>
        <v>0</v>
      </c>
      <c r="J76" s="109">
        <f>'NKC2-%'!Q86*100</f>
        <v>0</v>
      </c>
      <c r="K76" s="109">
        <f>'NKC2-%'!R86*100</f>
        <v>0</v>
      </c>
      <c r="L76" s="109">
        <f>'NKC2-%'!S86*100</f>
        <v>0</v>
      </c>
      <c r="M76" s="109">
        <f>'NKC2-%'!T86*100</f>
        <v>0</v>
      </c>
      <c r="N76" s="109">
        <f>'NKC2-%'!U86*100</f>
        <v>0</v>
      </c>
      <c r="O76" s="109">
        <f>'NKC2-%'!V86*100</f>
        <v>0</v>
      </c>
      <c r="P76" s="109">
        <f>'NKC2-%'!W86*100</f>
        <v>0</v>
      </c>
      <c r="Q76" s="109">
        <f>'NKC2-%'!X86*100</f>
        <v>0</v>
      </c>
      <c r="R76" s="109">
        <f>'NKC2-%'!Y86*100</f>
        <v>0</v>
      </c>
      <c r="S76" s="109">
        <f>'NKC2-%'!Z86*100</f>
        <v>0</v>
      </c>
      <c r="T76" s="109">
        <f>'NKC2-%'!AA86*100</f>
        <v>0</v>
      </c>
      <c r="U76" s="109">
        <f>'NKC2-%'!AB86*100</f>
        <v>0</v>
      </c>
      <c r="V76" s="109">
        <f>'NKC2-%'!AC86*100</f>
        <v>0</v>
      </c>
      <c r="W76" s="109">
        <f>'NKC2-%'!AD86*100</f>
        <v>0</v>
      </c>
      <c r="X76" s="109">
        <f>'NKC2-%'!AE86*100</f>
        <v>0</v>
      </c>
      <c r="Y76" s="109">
        <f>'NKC2-%'!AF86*100</f>
        <v>0</v>
      </c>
      <c r="Z76" s="109">
        <f>'NKC2-%'!AG86*100</f>
        <v>0</v>
      </c>
      <c r="AA76" s="109">
        <f>'NKC2-%'!AH86*100</f>
        <v>0</v>
      </c>
      <c r="AB76" s="109">
        <f>'NKC2-%'!AI86*100</f>
        <v>0</v>
      </c>
      <c r="AC76" s="109">
        <f>'NKC2-%'!AJ86*100</f>
        <v>0</v>
      </c>
      <c r="AD76" s="109">
        <f>'NKC2-%'!AK86*100</f>
        <v>0</v>
      </c>
      <c r="AE76" s="109">
        <f>'NKC2-%'!AL86*100</f>
        <v>0</v>
      </c>
      <c r="AF76" s="109">
        <f>'NKC2-%'!AM86*100</f>
        <v>0</v>
      </c>
      <c r="AG76" s="109">
        <f>'NKC2-%'!AN86*100</f>
        <v>0</v>
      </c>
      <c r="AH76" s="109">
        <f>'NKC2-%'!AO86*100</f>
        <v>0</v>
      </c>
      <c r="AI76" s="109">
        <f>'NKC2-%'!AP86*100</f>
        <v>0</v>
      </c>
      <c r="AJ76" s="109">
        <f>'NKC2-%'!AQ86*100</f>
        <v>0</v>
      </c>
      <c r="AK76" s="109">
        <f>'NKC2-%'!AR86*100</f>
        <v>0</v>
      </c>
      <c r="AL76" s="109">
        <f>'NKC2-%'!AS86*100</f>
        <v>0</v>
      </c>
      <c r="AM76" s="109">
        <f>'NKC2-%'!AT86*100</f>
        <v>0</v>
      </c>
      <c r="AN76" s="109">
        <f>'NKC2-%'!AU86*100</f>
        <v>0</v>
      </c>
      <c r="AO76" s="109">
        <f>'NKC2-%'!AV86*100</f>
        <v>0</v>
      </c>
      <c r="AP76" s="109">
        <f>'NKC2-%'!AW86*100</f>
        <v>0</v>
      </c>
      <c r="AQ76" s="109">
        <f>'NKC2-%'!AX86*100</f>
        <v>0</v>
      </c>
      <c r="AR76" s="109">
        <f>'NKC2-%'!AY86*100</f>
        <v>0</v>
      </c>
      <c r="AS76" s="109">
        <f>'NKC2-%'!AZ86*100</f>
        <v>0</v>
      </c>
      <c r="AT76" s="109">
        <f>'NKC2-%'!BA86*100</f>
        <v>0</v>
      </c>
      <c r="AU76" s="109">
        <f>'NKC2-%'!BB86*100</f>
        <v>0</v>
      </c>
      <c r="AV76" s="109">
        <f>'NKC2-%'!BC86*100</f>
        <v>8</v>
      </c>
      <c r="AW76" s="109">
        <f>'NKC2-%'!BD86*100</f>
        <v>8</v>
      </c>
      <c r="AX76" s="109">
        <f>'NKC2-%'!BE86*100</f>
        <v>8</v>
      </c>
      <c r="AY76" s="109">
        <f>'NKC2-%'!BF86*100</f>
        <v>11</v>
      </c>
      <c r="AZ76" s="109">
        <f>'NKC2-%'!BG86*100</f>
        <v>15</v>
      </c>
      <c r="BA76" s="109">
        <f>'NKC2-%'!BH86*100</f>
        <v>15</v>
      </c>
      <c r="BB76" s="109">
        <f>'NKC2-%'!BI86*100</f>
        <v>15</v>
      </c>
      <c r="BC76" s="109">
        <f>'NKC2-%'!BJ86*100</f>
        <v>10</v>
      </c>
      <c r="BD76" s="109">
        <f>'NKC2-%'!BK86*100</f>
        <v>5</v>
      </c>
      <c r="BE76" s="109">
        <f>'NKC2-%'!BL86*100</f>
        <v>5</v>
      </c>
      <c r="BF76" s="109">
        <f>'NKC2-%'!BM86*100</f>
        <v>0</v>
      </c>
      <c r="BG76" s="109">
        <f>'NKC2-%'!BN86*100</f>
        <v>0</v>
      </c>
      <c r="BH76" s="109">
        <f>'NKC2-%'!BO86*100</f>
        <v>0</v>
      </c>
      <c r="BI76" s="109">
        <f>'NKC2-%'!BP86*100</f>
        <v>0</v>
      </c>
      <c r="BJ76" s="109">
        <f>'NKC2-%'!BQ86*100</f>
        <v>0</v>
      </c>
      <c r="BK76" s="109">
        <f>'NKC2-%'!BR86*100</f>
        <v>0</v>
      </c>
      <c r="BL76" s="109">
        <f>'NKC2-%'!BS86*100</f>
        <v>0</v>
      </c>
      <c r="BM76" s="109">
        <f>'NKC2-%'!BT86*100</f>
        <v>0</v>
      </c>
      <c r="BN76" s="109">
        <f>'NKC2-%'!BU86*100</f>
        <v>0</v>
      </c>
      <c r="BO76" s="109">
        <f>'NKC2-%'!BV86*100</f>
        <v>0</v>
      </c>
      <c r="BP76" s="109">
        <f>'NKC2-%'!BW86*100</f>
        <v>0</v>
      </c>
      <c r="BQ76" s="109">
        <f>'NKC2-%'!BX86*100</f>
        <v>0</v>
      </c>
      <c r="BR76" s="109">
        <f>'NKC2-%'!BY86*100</f>
        <v>0</v>
      </c>
      <c r="BS76" s="109">
        <f>'NKC2-%'!BZ86*100</f>
        <v>0</v>
      </c>
      <c r="BT76" s="109">
        <f>'NKC2-%'!CA86*100</f>
        <v>0</v>
      </c>
      <c r="BU76" s="109">
        <f>'NKC2-%'!CB86*100</f>
        <v>0</v>
      </c>
      <c r="BV76" s="109">
        <f>'NKC2-%'!CC86*100</f>
        <v>0</v>
      </c>
      <c r="BW76" s="109">
        <f>'NKC2-%'!CD86*100</f>
        <v>0</v>
      </c>
      <c r="BX76" s="109">
        <f>'NKC2-%'!CE86*100</f>
        <v>0</v>
      </c>
      <c r="BY76" s="109">
        <f>'NKC2-%'!CF86*100</f>
        <v>0</v>
      </c>
      <c r="BZ76" s="109">
        <f>'NKC2-%'!CG86*100</f>
        <v>0</v>
      </c>
      <c r="CA76" s="109">
        <f>'NKC2-%'!CH86*100</f>
        <v>0</v>
      </c>
      <c r="CB76" s="109">
        <f>'NKC2-%'!CI86*100</f>
        <v>0</v>
      </c>
      <c r="CC76" s="109">
        <f>'NKC2-%'!CJ86*100</f>
        <v>0</v>
      </c>
      <c r="CD76" s="109">
        <f>'NKC2-%'!CK86*100</f>
        <v>0</v>
      </c>
      <c r="CE76" s="109">
        <f>'NKC2-%'!CL86*100</f>
        <v>0</v>
      </c>
      <c r="CF76" s="109">
        <f>'NKC2-%'!CM86*100</f>
        <v>0</v>
      </c>
      <c r="CG76" s="109">
        <f>'NKC2-%'!CN86*100</f>
        <v>0</v>
      </c>
      <c r="CH76" s="109">
        <f>'NKC2-%'!CO86*100</f>
        <v>0</v>
      </c>
      <c r="CI76" s="109">
        <f>'NKC2-%'!CP86*100</f>
        <v>0</v>
      </c>
    </row>
    <row r="77" spans="1:87" x14ac:dyDescent="0.45">
      <c r="A77" s="266" t="str">
        <f>'NKC2-%'!B87</f>
        <v>1.6.6</v>
      </c>
      <c r="B77" t="str">
        <f>'NKC2-%'!D87</f>
        <v>EE/Communication</v>
      </c>
      <c r="C77" s="104">
        <f>'NKC2-%'!F87</f>
        <v>1856142.6956037888</v>
      </c>
      <c r="D77" s="87" t="str">
        <f>'NKC2-%'!G87</f>
        <v>A</v>
      </c>
      <c r="E77" s="109">
        <f>'NKC2-%'!K87*100</f>
        <v>0</v>
      </c>
      <c r="F77" s="109">
        <f>'NKC2-%'!M87*100</f>
        <v>0</v>
      </c>
      <c r="G77" s="109">
        <f>'NKC2-%'!N87*100</f>
        <v>0</v>
      </c>
      <c r="H77" s="109">
        <f>'NKC2-%'!O87*100</f>
        <v>0</v>
      </c>
      <c r="I77" s="109">
        <f>'NKC2-%'!P87*100</f>
        <v>0</v>
      </c>
      <c r="J77" s="109">
        <f>'NKC2-%'!Q87*100</f>
        <v>0</v>
      </c>
      <c r="K77" s="109">
        <f>'NKC2-%'!R87*100</f>
        <v>0</v>
      </c>
      <c r="L77" s="109">
        <f>'NKC2-%'!S87*100</f>
        <v>0</v>
      </c>
      <c r="M77" s="109">
        <f>'NKC2-%'!T87*100</f>
        <v>0</v>
      </c>
      <c r="N77" s="109">
        <f>'NKC2-%'!U87*100</f>
        <v>0</v>
      </c>
      <c r="O77" s="109">
        <f>'NKC2-%'!V87*100</f>
        <v>0</v>
      </c>
      <c r="P77" s="109">
        <f>'NKC2-%'!W87*100</f>
        <v>0</v>
      </c>
      <c r="Q77" s="109">
        <f>'NKC2-%'!X87*100</f>
        <v>0</v>
      </c>
      <c r="R77" s="109">
        <f>'NKC2-%'!Y87*100</f>
        <v>0</v>
      </c>
      <c r="S77" s="109">
        <f>'NKC2-%'!Z87*100</f>
        <v>0</v>
      </c>
      <c r="T77" s="109">
        <f>'NKC2-%'!AA87*100</f>
        <v>0</v>
      </c>
      <c r="U77" s="109">
        <f>'NKC2-%'!AB87*100</f>
        <v>0</v>
      </c>
      <c r="V77" s="109">
        <f>'NKC2-%'!AC87*100</f>
        <v>0</v>
      </c>
      <c r="W77" s="109">
        <f>'NKC2-%'!AD87*100</f>
        <v>0</v>
      </c>
      <c r="X77" s="109">
        <f>'NKC2-%'!AE87*100</f>
        <v>0</v>
      </c>
      <c r="Y77" s="109">
        <f>'NKC2-%'!AF87*100</f>
        <v>0</v>
      </c>
      <c r="Z77" s="109">
        <f>'NKC2-%'!AG87*100</f>
        <v>0</v>
      </c>
      <c r="AA77" s="109">
        <f>'NKC2-%'!AH87*100</f>
        <v>0</v>
      </c>
      <c r="AB77" s="109">
        <f>'NKC2-%'!AI87*100</f>
        <v>0</v>
      </c>
      <c r="AC77" s="109">
        <f>'NKC2-%'!AJ87*100</f>
        <v>0</v>
      </c>
      <c r="AD77" s="109">
        <f>'NKC2-%'!AK87*100</f>
        <v>0</v>
      </c>
      <c r="AE77" s="109">
        <f>'NKC2-%'!AL87*100</f>
        <v>0</v>
      </c>
      <c r="AF77" s="109">
        <f>'NKC2-%'!AM87*100</f>
        <v>0</v>
      </c>
      <c r="AG77" s="109">
        <f>'NKC2-%'!AN87*100</f>
        <v>0</v>
      </c>
      <c r="AH77" s="109">
        <f>'NKC2-%'!AO87*100</f>
        <v>0</v>
      </c>
      <c r="AI77" s="109">
        <f>'NKC2-%'!AP87*100</f>
        <v>0</v>
      </c>
      <c r="AJ77" s="109">
        <f>'NKC2-%'!AQ87*100</f>
        <v>0</v>
      </c>
      <c r="AK77" s="109">
        <f>'NKC2-%'!AR87*100</f>
        <v>0</v>
      </c>
      <c r="AL77" s="109">
        <f>'NKC2-%'!AS87*100</f>
        <v>0</v>
      </c>
      <c r="AM77" s="109">
        <f>'NKC2-%'!AT87*100</f>
        <v>0</v>
      </c>
      <c r="AN77" s="109">
        <f>'NKC2-%'!AU87*100</f>
        <v>0</v>
      </c>
      <c r="AO77" s="109">
        <f>'NKC2-%'!AV87*100</f>
        <v>0</v>
      </c>
      <c r="AP77" s="109">
        <f>'NKC2-%'!AW87*100</f>
        <v>0</v>
      </c>
      <c r="AQ77" s="109">
        <f>'NKC2-%'!AX87*100</f>
        <v>0</v>
      </c>
      <c r="AR77" s="109">
        <f>'NKC2-%'!AY87*100</f>
        <v>0</v>
      </c>
      <c r="AS77" s="109">
        <f>'NKC2-%'!AZ87*100</f>
        <v>0</v>
      </c>
      <c r="AT77" s="109">
        <f>'NKC2-%'!BA87*100</f>
        <v>0</v>
      </c>
      <c r="AU77" s="109">
        <f>'NKC2-%'!BB87*100</f>
        <v>0</v>
      </c>
      <c r="AV77" s="109">
        <f>'NKC2-%'!BC87*100</f>
        <v>0</v>
      </c>
      <c r="AW77" s="109">
        <f>'NKC2-%'!BD87*100</f>
        <v>0</v>
      </c>
      <c r="AX77" s="109">
        <f>'NKC2-%'!BE87*100</f>
        <v>0</v>
      </c>
      <c r="AY77" s="109">
        <f>'NKC2-%'!BF87*100</f>
        <v>0</v>
      </c>
      <c r="AZ77" s="109">
        <f>'NKC2-%'!BG87*100</f>
        <v>0</v>
      </c>
      <c r="BA77" s="109">
        <f>'NKC2-%'!BH87*100</f>
        <v>0</v>
      </c>
      <c r="BB77" s="109">
        <f>'NKC2-%'!BI87*100</f>
        <v>0</v>
      </c>
      <c r="BC77" s="109">
        <f>'NKC2-%'!BJ87*100</f>
        <v>0</v>
      </c>
      <c r="BD77" s="109">
        <f>'NKC2-%'!BK87*100</f>
        <v>0</v>
      </c>
      <c r="BE77" s="109">
        <f>'NKC2-%'!BL87*100</f>
        <v>0</v>
      </c>
      <c r="BF77" s="109">
        <f>'NKC2-%'!BM87*100</f>
        <v>0</v>
      </c>
      <c r="BG77" s="109">
        <f>'NKC2-%'!BN87*100</f>
        <v>0</v>
      </c>
      <c r="BH77" s="109">
        <f>'NKC2-%'!BO87*100</f>
        <v>0</v>
      </c>
      <c r="BI77" s="109">
        <f>'NKC2-%'!BP87*100</f>
        <v>0</v>
      </c>
      <c r="BJ77" s="109">
        <f>'NKC2-%'!BQ87*100</f>
        <v>0</v>
      </c>
      <c r="BK77" s="109">
        <f>'NKC2-%'!BR87*100</f>
        <v>0</v>
      </c>
      <c r="BL77" s="109">
        <f>'NKC2-%'!BS87*100</f>
        <v>0</v>
      </c>
      <c r="BM77" s="109">
        <f>'NKC2-%'!BT87*100</f>
        <v>0</v>
      </c>
      <c r="BN77" s="109">
        <f>'NKC2-%'!BU87*100</f>
        <v>0</v>
      </c>
      <c r="BO77" s="109">
        <f>'NKC2-%'!BV87*100</f>
        <v>0</v>
      </c>
      <c r="BP77" s="109">
        <f>'NKC2-%'!BW87*100</f>
        <v>0</v>
      </c>
      <c r="BQ77" s="109">
        <f>'NKC2-%'!BX87*100</f>
        <v>0</v>
      </c>
      <c r="BR77" s="109">
        <f>'NKC2-%'!BY87*100</f>
        <v>0</v>
      </c>
      <c r="BS77" s="109">
        <f>'NKC2-%'!BZ87*100</f>
        <v>0</v>
      </c>
      <c r="BT77" s="109">
        <f>'NKC2-%'!CA87*100</f>
        <v>0</v>
      </c>
      <c r="BU77" s="109">
        <f>'NKC2-%'!CB87*100</f>
        <v>0</v>
      </c>
      <c r="BV77" s="109">
        <f>'NKC2-%'!CC87*100</f>
        <v>0</v>
      </c>
      <c r="BW77" s="109">
        <f>'NKC2-%'!CD87*100</f>
        <v>0</v>
      </c>
      <c r="BX77" s="109">
        <f>'NKC2-%'!CE87*100</f>
        <v>0</v>
      </c>
      <c r="BY77" s="109">
        <f>'NKC2-%'!CF87*100</f>
        <v>0</v>
      </c>
      <c r="BZ77" s="109">
        <f>'NKC2-%'!CG87*100</f>
        <v>0</v>
      </c>
      <c r="CA77" s="109">
        <f>'NKC2-%'!CH87*100</f>
        <v>0</v>
      </c>
      <c r="CB77" s="109">
        <f>'NKC2-%'!CI87*100</f>
        <v>0</v>
      </c>
      <c r="CC77" s="109">
        <f>'NKC2-%'!CJ87*100</f>
        <v>0</v>
      </c>
      <c r="CD77" s="109">
        <f>'NKC2-%'!CK87*100</f>
        <v>0</v>
      </c>
      <c r="CE77" s="109">
        <f>'NKC2-%'!CL87*100</f>
        <v>0</v>
      </c>
      <c r="CF77" s="109">
        <f>'NKC2-%'!CM87*100</f>
        <v>0</v>
      </c>
      <c r="CG77" s="109">
        <f>'NKC2-%'!CN87*100</f>
        <v>0</v>
      </c>
      <c r="CH77" s="109">
        <f>'NKC2-%'!CO87*100</f>
        <v>0</v>
      </c>
      <c r="CI77" s="109">
        <f>'NKC2-%'!CP87*100</f>
        <v>0</v>
      </c>
    </row>
    <row r="78" spans="1:87" x14ac:dyDescent="0.45">
      <c r="A78" s="266" t="str">
        <f>'NKC2-%'!B88</f>
        <v>1.6.7</v>
      </c>
      <c r="B78" t="str">
        <f>'NKC2-%'!D88</f>
        <v>Unit Substation &amp; Generator Set</v>
      </c>
      <c r="C78" s="104">
        <f>'NKC2-%'!F88</f>
        <v>3062745.3903982169</v>
      </c>
      <c r="D78" s="87" t="str">
        <f>'NKC2-%'!G88</f>
        <v>P</v>
      </c>
      <c r="E78" s="109">
        <f>'NKC2-%'!K88*100</f>
        <v>99.999999999999986</v>
      </c>
      <c r="F78" s="109">
        <f>'NKC2-%'!M88*100</f>
        <v>0</v>
      </c>
      <c r="G78" s="109">
        <f>'NKC2-%'!N88*100</f>
        <v>0</v>
      </c>
      <c r="H78" s="109">
        <f>'NKC2-%'!O88*100</f>
        <v>0</v>
      </c>
      <c r="I78" s="109">
        <f>'NKC2-%'!P88*100</f>
        <v>0</v>
      </c>
      <c r="J78" s="109">
        <f>'NKC2-%'!Q88*100</f>
        <v>0</v>
      </c>
      <c r="K78" s="109">
        <f>'NKC2-%'!R88*100</f>
        <v>0</v>
      </c>
      <c r="L78" s="109">
        <f>'NKC2-%'!S88*100</f>
        <v>0</v>
      </c>
      <c r="M78" s="109">
        <f>'NKC2-%'!T88*100</f>
        <v>0</v>
      </c>
      <c r="N78" s="109">
        <f>'NKC2-%'!U88*100</f>
        <v>0</v>
      </c>
      <c r="O78" s="109">
        <f>'NKC2-%'!V88*100</f>
        <v>0</v>
      </c>
      <c r="P78" s="109">
        <f>'NKC2-%'!W88*100</f>
        <v>0</v>
      </c>
      <c r="Q78" s="109">
        <f>'NKC2-%'!X88*100</f>
        <v>0</v>
      </c>
      <c r="R78" s="109">
        <f>'NKC2-%'!Y88*100</f>
        <v>0</v>
      </c>
      <c r="S78" s="109">
        <f>'NKC2-%'!Z88*100</f>
        <v>0</v>
      </c>
      <c r="T78" s="109">
        <f>'NKC2-%'!AA88*100</f>
        <v>0</v>
      </c>
      <c r="U78" s="109">
        <f>'NKC2-%'!AB88*100</f>
        <v>0</v>
      </c>
      <c r="V78" s="109">
        <f>'NKC2-%'!AC88*100</f>
        <v>0</v>
      </c>
      <c r="W78" s="109">
        <f>'NKC2-%'!AD88*100</f>
        <v>0</v>
      </c>
      <c r="X78" s="109">
        <f>'NKC2-%'!AE88*100</f>
        <v>0</v>
      </c>
      <c r="Y78" s="109">
        <f>'NKC2-%'!AF88*100</f>
        <v>0</v>
      </c>
      <c r="Z78" s="109">
        <f>'NKC2-%'!AG88*100</f>
        <v>0</v>
      </c>
      <c r="AA78" s="109">
        <f>'NKC2-%'!AH88*100</f>
        <v>0</v>
      </c>
      <c r="AB78" s="109">
        <f>'NKC2-%'!AI88*100</f>
        <v>0</v>
      </c>
      <c r="AC78" s="109">
        <f>'NKC2-%'!AJ88*100</f>
        <v>0</v>
      </c>
      <c r="AD78" s="109">
        <f>'NKC2-%'!AK88*100</f>
        <v>0</v>
      </c>
      <c r="AE78" s="109">
        <f>'NKC2-%'!AL88*100</f>
        <v>0</v>
      </c>
      <c r="AF78" s="109">
        <f>'NKC2-%'!AM88*100</f>
        <v>0</v>
      </c>
      <c r="AG78" s="109">
        <f>'NKC2-%'!AN88*100</f>
        <v>0</v>
      </c>
      <c r="AH78" s="109">
        <f>'NKC2-%'!AO88*100</f>
        <v>0</v>
      </c>
      <c r="AI78" s="109">
        <f>'NKC2-%'!AP88*100</f>
        <v>0</v>
      </c>
      <c r="AJ78" s="109">
        <f>'NKC2-%'!AQ88*100</f>
        <v>0</v>
      </c>
      <c r="AK78" s="109">
        <f>'NKC2-%'!AR88*100</f>
        <v>0</v>
      </c>
      <c r="AL78" s="109">
        <f>'NKC2-%'!AS88*100</f>
        <v>0</v>
      </c>
      <c r="AM78" s="109">
        <f>'NKC2-%'!AT88*100</f>
        <v>0</v>
      </c>
      <c r="AN78" s="109">
        <f>'NKC2-%'!AU88*100</f>
        <v>0</v>
      </c>
      <c r="AO78" s="109">
        <f>'NKC2-%'!AV88*100</f>
        <v>0</v>
      </c>
      <c r="AP78" s="109">
        <f>'NKC2-%'!AW88*100</f>
        <v>0</v>
      </c>
      <c r="AQ78" s="109">
        <f>'NKC2-%'!AX88*100</f>
        <v>0</v>
      </c>
      <c r="AR78" s="109">
        <f>'NKC2-%'!AY88*100</f>
        <v>0</v>
      </c>
      <c r="AS78" s="109">
        <f>'NKC2-%'!AZ88*100</f>
        <v>0</v>
      </c>
      <c r="AT78" s="109">
        <f>'NKC2-%'!BA88*100</f>
        <v>0</v>
      </c>
      <c r="AU78" s="109">
        <f>'NKC2-%'!BB88*100</f>
        <v>0</v>
      </c>
      <c r="AV78" s="109">
        <f>'NKC2-%'!BC88*100</f>
        <v>0</v>
      </c>
      <c r="AW78" s="109">
        <f>'NKC2-%'!BD88*100</f>
        <v>0</v>
      </c>
      <c r="AX78" s="109">
        <f>'NKC2-%'!BE88*100</f>
        <v>0</v>
      </c>
      <c r="AY78" s="109">
        <f>'NKC2-%'!BF88*100</f>
        <v>5</v>
      </c>
      <c r="AZ78" s="109">
        <f>'NKC2-%'!BG88*100</f>
        <v>5</v>
      </c>
      <c r="BA78" s="109">
        <f>'NKC2-%'!BH88*100</f>
        <v>5</v>
      </c>
      <c r="BB78" s="109">
        <f>'NKC2-%'!BI88*100</f>
        <v>5</v>
      </c>
      <c r="BC78" s="109">
        <f>'NKC2-%'!BJ88*100</f>
        <v>15</v>
      </c>
      <c r="BD78" s="109">
        <f>'NKC2-%'!BK88*100</f>
        <v>10</v>
      </c>
      <c r="BE78" s="109">
        <f>'NKC2-%'!BL88*100</f>
        <v>10</v>
      </c>
      <c r="BF78" s="109">
        <f>'NKC2-%'!BM88*100</f>
        <v>10</v>
      </c>
      <c r="BG78" s="109">
        <f>'NKC2-%'!BN88*100</f>
        <v>10</v>
      </c>
      <c r="BH78" s="109">
        <f>'NKC2-%'!BO88*100</f>
        <v>10</v>
      </c>
      <c r="BI78" s="109">
        <f>'NKC2-%'!BP88*100</f>
        <v>8</v>
      </c>
      <c r="BJ78" s="109">
        <f>'NKC2-%'!BQ88*100</f>
        <v>5</v>
      </c>
      <c r="BK78" s="109">
        <f>'NKC2-%'!BR88*100</f>
        <v>2</v>
      </c>
      <c r="BL78" s="109">
        <f>'NKC2-%'!BS88*100</f>
        <v>0</v>
      </c>
      <c r="BM78" s="109">
        <f>'NKC2-%'!BT88*100</f>
        <v>0</v>
      </c>
      <c r="BN78" s="109">
        <f>'NKC2-%'!BU88*100</f>
        <v>0</v>
      </c>
      <c r="BO78" s="109">
        <f>'NKC2-%'!BV88*100</f>
        <v>0</v>
      </c>
      <c r="BP78" s="109">
        <f>'NKC2-%'!BW88*100</f>
        <v>0</v>
      </c>
      <c r="BQ78" s="109">
        <f>'NKC2-%'!BX88*100</f>
        <v>0</v>
      </c>
      <c r="BR78" s="109">
        <f>'NKC2-%'!BY88*100</f>
        <v>0</v>
      </c>
      <c r="BS78" s="109">
        <f>'NKC2-%'!BZ88*100</f>
        <v>0</v>
      </c>
      <c r="BT78" s="109">
        <f>'NKC2-%'!CA88*100</f>
        <v>0</v>
      </c>
      <c r="BU78" s="109">
        <f>'NKC2-%'!CB88*100</f>
        <v>0</v>
      </c>
      <c r="BV78" s="109">
        <f>'NKC2-%'!CC88*100</f>
        <v>0</v>
      </c>
      <c r="BW78" s="109">
        <f>'NKC2-%'!CD88*100</f>
        <v>0</v>
      </c>
      <c r="BX78" s="109">
        <f>'NKC2-%'!CE88*100</f>
        <v>0</v>
      </c>
      <c r="BY78" s="109">
        <f>'NKC2-%'!CF88*100</f>
        <v>0</v>
      </c>
      <c r="BZ78" s="109">
        <f>'NKC2-%'!CG88*100</f>
        <v>0</v>
      </c>
      <c r="CA78" s="109">
        <f>'NKC2-%'!CH88*100</f>
        <v>0</v>
      </c>
      <c r="CB78" s="109">
        <f>'NKC2-%'!CI88*100</f>
        <v>0</v>
      </c>
      <c r="CC78" s="109">
        <f>'NKC2-%'!CJ88*100</f>
        <v>0</v>
      </c>
      <c r="CD78" s="109">
        <f>'NKC2-%'!CK88*100</f>
        <v>0</v>
      </c>
      <c r="CE78" s="109">
        <f>'NKC2-%'!CL88*100</f>
        <v>0</v>
      </c>
      <c r="CF78" s="109">
        <f>'NKC2-%'!CM88*100</f>
        <v>0</v>
      </c>
      <c r="CG78" s="109">
        <f>'NKC2-%'!CN88*100</f>
        <v>0</v>
      </c>
      <c r="CH78" s="109">
        <f>'NKC2-%'!CO88*100</f>
        <v>0</v>
      </c>
      <c r="CI78" s="109">
        <f>'NKC2-%'!CP88*100</f>
        <v>0</v>
      </c>
    </row>
    <row r="79" spans="1:87" x14ac:dyDescent="0.45">
      <c r="A79" s="266" t="str">
        <f>'NKC2-%'!B89</f>
        <v>1.6.7</v>
      </c>
      <c r="B79" t="str">
        <f>'NKC2-%'!D89</f>
        <v>Unit Substation &amp; Generator Set</v>
      </c>
      <c r="C79" s="104">
        <f>'NKC2-%'!F89</f>
        <v>3062745.3903982169</v>
      </c>
      <c r="D79" s="87" t="str">
        <f>'NKC2-%'!G89</f>
        <v>A</v>
      </c>
      <c r="E79" s="109">
        <f>'NKC2-%'!K89*100</f>
        <v>0</v>
      </c>
      <c r="F79" s="109">
        <f>'NKC2-%'!M89*100</f>
        <v>0</v>
      </c>
      <c r="G79" s="109">
        <f>'NKC2-%'!N89*100</f>
        <v>0</v>
      </c>
      <c r="H79" s="109">
        <f>'NKC2-%'!O89*100</f>
        <v>0</v>
      </c>
      <c r="I79" s="109">
        <f>'NKC2-%'!P89*100</f>
        <v>0</v>
      </c>
      <c r="J79" s="109">
        <f>'NKC2-%'!Q89*100</f>
        <v>0</v>
      </c>
      <c r="K79" s="109">
        <f>'NKC2-%'!R89*100</f>
        <v>0</v>
      </c>
      <c r="L79" s="109">
        <f>'NKC2-%'!S89*100</f>
        <v>0</v>
      </c>
      <c r="M79" s="109">
        <f>'NKC2-%'!T89*100</f>
        <v>0</v>
      </c>
      <c r="N79" s="109">
        <f>'NKC2-%'!U89*100</f>
        <v>0</v>
      </c>
      <c r="O79" s="109">
        <f>'NKC2-%'!V89*100</f>
        <v>0</v>
      </c>
      <c r="P79" s="109">
        <f>'NKC2-%'!W89*100</f>
        <v>0</v>
      </c>
      <c r="Q79" s="109">
        <f>'NKC2-%'!X89*100</f>
        <v>0</v>
      </c>
      <c r="R79" s="109">
        <f>'NKC2-%'!Y89*100</f>
        <v>0</v>
      </c>
      <c r="S79" s="109">
        <f>'NKC2-%'!Z89*100</f>
        <v>0</v>
      </c>
      <c r="T79" s="109">
        <f>'NKC2-%'!AA89*100</f>
        <v>0</v>
      </c>
      <c r="U79" s="109">
        <f>'NKC2-%'!AB89*100</f>
        <v>0</v>
      </c>
      <c r="V79" s="109">
        <f>'NKC2-%'!AC89*100</f>
        <v>0</v>
      </c>
      <c r="W79" s="109">
        <f>'NKC2-%'!AD89*100</f>
        <v>0</v>
      </c>
      <c r="X79" s="109">
        <f>'NKC2-%'!AE89*100</f>
        <v>0</v>
      </c>
      <c r="Y79" s="109">
        <f>'NKC2-%'!AF89*100</f>
        <v>0</v>
      </c>
      <c r="Z79" s="109">
        <f>'NKC2-%'!AG89*100</f>
        <v>0</v>
      </c>
      <c r="AA79" s="109">
        <f>'NKC2-%'!AH89*100</f>
        <v>0</v>
      </c>
      <c r="AB79" s="109">
        <f>'NKC2-%'!AI89*100</f>
        <v>0</v>
      </c>
      <c r="AC79" s="109">
        <f>'NKC2-%'!AJ89*100</f>
        <v>0</v>
      </c>
      <c r="AD79" s="109">
        <f>'NKC2-%'!AK89*100</f>
        <v>0</v>
      </c>
      <c r="AE79" s="109">
        <f>'NKC2-%'!AL89*100</f>
        <v>0</v>
      </c>
      <c r="AF79" s="109">
        <f>'NKC2-%'!AM89*100</f>
        <v>0</v>
      </c>
      <c r="AG79" s="109">
        <f>'NKC2-%'!AN89*100</f>
        <v>0</v>
      </c>
      <c r="AH79" s="109">
        <f>'NKC2-%'!AO89*100</f>
        <v>0</v>
      </c>
      <c r="AI79" s="109">
        <f>'NKC2-%'!AP89*100</f>
        <v>0</v>
      </c>
      <c r="AJ79" s="109">
        <f>'NKC2-%'!AQ89*100</f>
        <v>0</v>
      </c>
      <c r="AK79" s="109">
        <f>'NKC2-%'!AR89*100</f>
        <v>0</v>
      </c>
      <c r="AL79" s="109">
        <f>'NKC2-%'!AS89*100</f>
        <v>0</v>
      </c>
      <c r="AM79" s="109">
        <f>'NKC2-%'!AT89*100</f>
        <v>0</v>
      </c>
      <c r="AN79" s="109">
        <f>'NKC2-%'!AU89*100</f>
        <v>0</v>
      </c>
      <c r="AO79" s="109">
        <f>'NKC2-%'!AV89*100</f>
        <v>0</v>
      </c>
      <c r="AP79" s="109">
        <f>'NKC2-%'!AW89*100</f>
        <v>0</v>
      </c>
      <c r="AQ79" s="109">
        <f>'NKC2-%'!AX89*100</f>
        <v>0</v>
      </c>
      <c r="AR79" s="109">
        <f>'NKC2-%'!AY89*100</f>
        <v>0</v>
      </c>
      <c r="AS79" s="109">
        <f>'NKC2-%'!AZ89*100</f>
        <v>0</v>
      </c>
      <c r="AT79" s="109">
        <f>'NKC2-%'!BA89*100</f>
        <v>0</v>
      </c>
      <c r="AU79" s="109">
        <f>'NKC2-%'!BB89*100</f>
        <v>0</v>
      </c>
      <c r="AV79" s="109">
        <f>'NKC2-%'!BC89*100</f>
        <v>0</v>
      </c>
      <c r="AW79" s="109">
        <f>'NKC2-%'!BD89*100</f>
        <v>0</v>
      </c>
      <c r="AX79" s="109">
        <f>'NKC2-%'!BE89*100</f>
        <v>0</v>
      </c>
      <c r="AY79" s="109">
        <f>'NKC2-%'!BF89*100</f>
        <v>0</v>
      </c>
      <c r="AZ79" s="109">
        <f>'NKC2-%'!BG89*100</f>
        <v>0</v>
      </c>
      <c r="BA79" s="109">
        <f>'NKC2-%'!BH89*100</f>
        <v>0</v>
      </c>
      <c r="BB79" s="109">
        <f>'NKC2-%'!BI89*100</f>
        <v>0</v>
      </c>
      <c r="BC79" s="109">
        <f>'NKC2-%'!BJ89*100</f>
        <v>0</v>
      </c>
      <c r="BD79" s="109">
        <f>'NKC2-%'!BK89*100</f>
        <v>0</v>
      </c>
      <c r="BE79" s="109">
        <f>'NKC2-%'!BL89*100</f>
        <v>0</v>
      </c>
      <c r="BF79" s="109">
        <f>'NKC2-%'!BM89*100</f>
        <v>0</v>
      </c>
      <c r="BG79" s="109">
        <f>'NKC2-%'!BN89*100</f>
        <v>0</v>
      </c>
      <c r="BH79" s="109">
        <f>'NKC2-%'!BO89*100</f>
        <v>0</v>
      </c>
      <c r="BI79" s="109">
        <f>'NKC2-%'!BP89*100</f>
        <v>0</v>
      </c>
      <c r="BJ79" s="109">
        <f>'NKC2-%'!BQ89*100</f>
        <v>0</v>
      </c>
      <c r="BK79" s="109">
        <f>'NKC2-%'!BR89*100</f>
        <v>0</v>
      </c>
      <c r="BL79" s="109">
        <f>'NKC2-%'!BS89*100</f>
        <v>0</v>
      </c>
      <c r="BM79" s="109">
        <f>'NKC2-%'!BT89*100</f>
        <v>0</v>
      </c>
      <c r="BN79" s="109">
        <f>'NKC2-%'!BU89*100</f>
        <v>0</v>
      </c>
      <c r="BO79" s="109">
        <f>'NKC2-%'!BV89*100</f>
        <v>0</v>
      </c>
      <c r="BP79" s="109">
        <f>'NKC2-%'!BW89*100</f>
        <v>0</v>
      </c>
      <c r="BQ79" s="109">
        <f>'NKC2-%'!BX89*100</f>
        <v>0</v>
      </c>
      <c r="BR79" s="109">
        <f>'NKC2-%'!BY89*100</f>
        <v>0</v>
      </c>
      <c r="BS79" s="109">
        <f>'NKC2-%'!BZ89*100</f>
        <v>0</v>
      </c>
      <c r="BT79" s="109">
        <f>'NKC2-%'!CA89*100</f>
        <v>0</v>
      </c>
      <c r="BU79" s="109">
        <f>'NKC2-%'!CB89*100</f>
        <v>0</v>
      </c>
      <c r="BV79" s="109">
        <f>'NKC2-%'!CC89*100</f>
        <v>0</v>
      </c>
      <c r="BW79" s="109">
        <f>'NKC2-%'!CD89*100</f>
        <v>0</v>
      </c>
      <c r="BX79" s="109">
        <f>'NKC2-%'!CE89*100</f>
        <v>0</v>
      </c>
      <c r="BY79" s="109">
        <f>'NKC2-%'!CF89*100</f>
        <v>0</v>
      </c>
      <c r="BZ79" s="109">
        <f>'NKC2-%'!CG89*100</f>
        <v>0</v>
      </c>
      <c r="CA79" s="109">
        <f>'NKC2-%'!CH89*100</f>
        <v>0</v>
      </c>
      <c r="CB79" s="109">
        <f>'NKC2-%'!CI89*100</f>
        <v>0</v>
      </c>
      <c r="CC79" s="109">
        <f>'NKC2-%'!CJ89*100</f>
        <v>0</v>
      </c>
      <c r="CD79" s="109">
        <f>'NKC2-%'!CK89*100</f>
        <v>0</v>
      </c>
      <c r="CE79" s="109">
        <f>'NKC2-%'!CL89*100</f>
        <v>0</v>
      </c>
      <c r="CF79" s="109">
        <f>'NKC2-%'!CM89*100</f>
        <v>0</v>
      </c>
      <c r="CG79" s="109">
        <f>'NKC2-%'!CN89*100</f>
        <v>0</v>
      </c>
      <c r="CH79" s="109">
        <f>'NKC2-%'!CO89*100</f>
        <v>0</v>
      </c>
      <c r="CI79" s="109">
        <f>'NKC2-%'!CP89*100</f>
        <v>0</v>
      </c>
    </row>
    <row r="80" spans="1:87" x14ac:dyDescent="0.45">
      <c r="A80" s="266" t="str">
        <f>'NKC2-%'!B90</f>
        <v>1.6.8</v>
      </c>
      <c r="B80" t="str">
        <f>'NKC2-%'!D90</f>
        <v>Grounding System</v>
      </c>
      <c r="C80" s="104">
        <f>'NKC2-%'!F90</f>
        <v>316419.05365089042</v>
      </c>
      <c r="D80" s="87" t="str">
        <f>'NKC2-%'!G90</f>
        <v>P</v>
      </c>
      <c r="E80" s="109">
        <f>'NKC2-%'!K90*100</f>
        <v>100</v>
      </c>
      <c r="F80" s="109">
        <f>'NKC2-%'!M90*100</f>
        <v>0</v>
      </c>
      <c r="G80" s="109">
        <f>'NKC2-%'!N90*100</f>
        <v>0</v>
      </c>
      <c r="H80" s="109">
        <f>'NKC2-%'!O90*100</f>
        <v>0</v>
      </c>
      <c r="I80" s="109">
        <f>'NKC2-%'!P90*100</f>
        <v>0</v>
      </c>
      <c r="J80" s="109">
        <f>'NKC2-%'!Q90*100</f>
        <v>0</v>
      </c>
      <c r="K80" s="109">
        <f>'NKC2-%'!R90*100</f>
        <v>0</v>
      </c>
      <c r="L80" s="109">
        <f>'NKC2-%'!S90*100</f>
        <v>0</v>
      </c>
      <c r="M80" s="109">
        <f>'NKC2-%'!T90*100</f>
        <v>0</v>
      </c>
      <c r="N80" s="109">
        <f>'NKC2-%'!U90*100</f>
        <v>0</v>
      </c>
      <c r="O80" s="109">
        <f>'NKC2-%'!V90*100</f>
        <v>0</v>
      </c>
      <c r="P80" s="109">
        <f>'NKC2-%'!W90*100</f>
        <v>0</v>
      </c>
      <c r="Q80" s="109">
        <f>'NKC2-%'!X90*100</f>
        <v>0</v>
      </c>
      <c r="R80" s="109">
        <f>'NKC2-%'!Y90*100</f>
        <v>0</v>
      </c>
      <c r="S80" s="109">
        <f>'NKC2-%'!Z90*100</f>
        <v>0</v>
      </c>
      <c r="T80" s="109">
        <f>'NKC2-%'!AA90*100</f>
        <v>0</v>
      </c>
      <c r="U80" s="109">
        <f>'NKC2-%'!AB90*100</f>
        <v>0</v>
      </c>
      <c r="V80" s="109">
        <f>'NKC2-%'!AC90*100</f>
        <v>0</v>
      </c>
      <c r="W80" s="109">
        <f>'NKC2-%'!AD90*100</f>
        <v>0</v>
      </c>
      <c r="X80" s="109">
        <f>'NKC2-%'!AE90*100</f>
        <v>0</v>
      </c>
      <c r="Y80" s="109">
        <f>'NKC2-%'!AF90*100</f>
        <v>0</v>
      </c>
      <c r="Z80" s="109">
        <f>'NKC2-%'!AG90*100</f>
        <v>0</v>
      </c>
      <c r="AA80" s="109">
        <f>'NKC2-%'!AH90*100</f>
        <v>0</v>
      </c>
      <c r="AB80" s="109">
        <f>'NKC2-%'!AI90*100</f>
        <v>0</v>
      </c>
      <c r="AC80" s="109">
        <f>'NKC2-%'!AJ90*100</f>
        <v>0</v>
      </c>
      <c r="AD80" s="109">
        <f>'NKC2-%'!AK90*100</f>
        <v>0</v>
      </c>
      <c r="AE80" s="109">
        <f>'NKC2-%'!AL90*100</f>
        <v>0</v>
      </c>
      <c r="AF80" s="109">
        <f>'NKC2-%'!AM90*100</f>
        <v>0</v>
      </c>
      <c r="AG80" s="109">
        <f>'NKC2-%'!AN90*100</f>
        <v>0</v>
      </c>
      <c r="AH80" s="109">
        <f>'NKC2-%'!AO90*100</f>
        <v>0</v>
      </c>
      <c r="AI80" s="109">
        <f>'NKC2-%'!AP90*100</f>
        <v>0</v>
      </c>
      <c r="AJ80" s="109">
        <f>'NKC2-%'!AQ90*100</f>
        <v>0</v>
      </c>
      <c r="AK80" s="109">
        <f>'NKC2-%'!AR90*100</f>
        <v>0</v>
      </c>
      <c r="AL80" s="109">
        <f>'NKC2-%'!AS90*100</f>
        <v>0</v>
      </c>
      <c r="AM80" s="109">
        <f>'NKC2-%'!AT90*100</f>
        <v>0</v>
      </c>
      <c r="AN80" s="109">
        <f>'NKC2-%'!AU90*100</f>
        <v>0</v>
      </c>
      <c r="AO80" s="109">
        <f>'NKC2-%'!AV90*100</f>
        <v>0</v>
      </c>
      <c r="AP80" s="109">
        <f>'NKC2-%'!AW90*100</f>
        <v>0</v>
      </c>
      <c r="AQ80" s="109">
        <f>'NKC2-%'!AX90*100</f>
        <v>0</v>
      </c>
      <c r="AR80" s="109">
        <f>'NKC2-%'!AY90*100</f>
        <v>0</v>
      </c>
      <c r="AS80" s="109">
        <f>'NKC2-%'!AZ90*100</f>
        <v>0</v>
      </c>
      <c r="AT80" s="109">
        <f>'NKC2-%'!BA90*100</f>
        <v>0</v>
      </c>
      <c r="AU80" s="109">
        <f>'NKC2-%'!BB90*100</f>
        <v>0</v>
      </c>
      <c r="AV80" s="109">
        <f>'NKC2-%'!BC90*100</f>
        <v>0</v>
      </c>
      <c r="AW80" s="109">
        <f>'NKC2-%'!BD90*100</f>
        <v>0</v>
      </c>
      <c r="AX80" s="109">
        <f>'NKC2-%'!BE90*100</f>
        <v>0</v>
      </c>
      <c r="AY80" s="109">
        <f>'NKC2-%'!BF90*100</f>
        <v>0</v>
      </c>
      <c r="AZ80" s="109">
        <f>'NKC2-%'!BG90*100</f>
        <v>0</v>
      </c>
      <c r="BA80" s="109">
        <f>'NKC2-%'!BH90*100</f>
        <v>0</v>
      </c>
      <c r="BB80" s="109">
        <f>'NKC2-%'!BI90*100</f>
        <v>0</v>
      </c>
      <c r="BC80" s="109">
        <f>'NKC2-%'!BJ90*100</f>
        <v>0</v>
      </c>
      <c r="BD80" s="109">
        <f>'NKC2-%'!BK90*100</f>
        <v>0</v>
      </c>
      <c r="BE80" s="109">
        <f>'NKC2-%'!BL90*100</f>
        <v>0</v>
      </c>
      <c r="BF80" s="109">
        <f>'NKC2-%'!BM90*100</f>
        <v>5</v>
      </c>
      <c r="BG80" s="109">
        <f>'NKC2-%'!BN90*100</f>
        <v>10</v>
      </c>
      <c r="BH80" s="109">
        <f>'NKC2-%'!BO90*100</f>
        <v>10</v>
      </c>
      <c r="BI80" s="109">
        <f>'NKC2-%'!BP90*100</f>
        <v>10</v>
      </c>
      <c r="BJ80" s="109">
        <f>'NKC2-%'!BQ90*100</f>
        <v>15</v>
      </c>
      <c r="BK80" s="109">
        <f>'NKC2-%'!BR90*100</f>
        <v>15</v>
      </c>
      <c r="BL80" s="109">
        <f>'NKC2-%'!BS90*100</f>
        <v>15</v>
      </c>
      <c r="BM80" s="109">
        <f>'NKC2-%'!BT90*100</f>
        <v>10</v>
      </c>
      <c r="BN80" s="109">
        <f>'NKC2-%'!BU90*100</f>
        <v>5</v>
      </c>
      <c r="BO80" s="109">
        <f>'NKC2-%'!BV90*100</f>
        <v>5</v>
      </c>
      <c r="BP80" s="109">
        <f>'NKC2-%'!BW90*100</f>
        <v>0</v>
      </c>
      <c r="BQ80" s="109">
        <f>'NKC2-%'!BX90*100</f>
        <v>0</v>
      </c>
      <c r="BR80" s="109">
        <f>'NKC2-%'!BY90*100</f>
        <v>0</v>
      </c>
      <c r="BS80" s="109">
        <f>'NKC2-%'!BZ90*100</f>
        <v>0</v>
      </c>
      <c r="BT80" s="109">
        <f>'NKC2-%'!CA90*100</f>
        <v>0</v>
      </c>
      <c r="BU80" s="109">
        <f>'NKC2-%'!CB90*100</f>
        <v>0</v>
      </c>
      <c r="BV80" s="109">
        <f>'NKC2-%'!CC90*100</f>
        <v>0</v>
      </c>
      <c r="BW80" s="109">
        <f>'NKC2-%'!CD90*100</f>
        <v>0</v>
      </c>
      <c r="BX80" s="109">
        <f>'NKC2-%'!CE90*100</f>
        <v>0</v>
      </c>
      <c r="BY80" s="109">
        <f>'NKC2-%'!CF90*100</f>
        <v>0</v>
      </c>
      <c r="BZ80" s="109">
        <f>'NKC2-%'!CG90*100</f>
        <v>0</v>
      </c>
      <c r="CA80" s="109">
        <f>'NKC2-%'!CH90*100</f>
        <v>0</v>
      </c>
      <c r="CB80" s="109">
        <f>'NKC2-%'!CI90*100</f>
        <v>0</v>
      </c>
      <c r="CC80" s="109">
        <f>'NKC2-%'!CJ90*100</f>
        <v>0</v>
      </c>
      <c r="CD80" s="109">
        <f>'NKC2-%'!CK90*100</f>
        <v>0</v>
      </c>
      <c r="CE80" s="109">
        <f>'NKC2-%'!CL90*100</f>
        <v>0</v>
      </c>
      <c r="CF80" s="109">
        <f>'NKC2-%'!CM90*100</f>
        <v>0</v>
      </c>
      <c r="CG80" s="109">
        <f>'NKC2-%'!CN90*100</f>
        <v>0</v>
      </c>
      <c r="CH80" s="109">
        <f>'NKC2-%'!CO90*100</f>
        <v>0</v>
      </c>
      <c r="CI80" s="109">
        <f>'NKC2-%'!CP90*100</f>
        <v>0</v>
      </c>
    </row>
    <row r="81" spans="1:87" x14ac:dyDescent="0.45">
      <c r="A81" s="266" t="str">
        <f>'NKC2-%'!B91</f>
        <v>1.6.8</v>
      </c>
      <c r="B81" t="str">
        <f>'NKC2-%'!D91</f>
        <v>Grounding System</v>
      </c>
      <c r="C81" s="104">
        <f>'NKC2-%'!F91</f>
        <v>316419.05365089042</v>
      </c>
      <c r="D81" s="87" t="str">
        <f>'NKC2-%'!G91</f>
        <v>A</v>
      </c>
      <c r="E81" s="109">
        <f>'NKC2-%'!K91*100</f>
        <v>0</v>
      </c>
      <c r="F81" s="109">
        <f>'NKC2-%'!M91*100</f>
        <v>0</v>
      </c>
      <c r="G81" s="109">
        <f>'NKC2-%'!N91*100</f>
        <v>0</v>
      </c>
      <c r="H81" s="109">
        <f>'NKC2-%'!O91*100</f>
        <v>0</v>
      </c>
      <c r="I81" s="109">
        <f>'NKC2-%'!P91*100</f>
        <v>0</v>
      </c>
      <c r="J81" s="109">
        <f>'NKC2-%'!Q91*100</f>
        <v>0</v>
      </c>
      <c r="K81" s="109">
        <f>'NKC2-%'!R91*100</f>
        <v>0</v>
      </c>
      <c r="L81" s="109">
        <f>'NKC2-%'!S91*100</f>
        <v>0</v>
      </c>
      <c r="M81" s="109">
        <f>'NKC2-%'!T91*100</f>
        <v>0</v>
      </c>
      <c r="N81" s="109">
        <f>'NKC2-%'!U91*100</f>
        <v>0</v>
      </c>
      <c r="O81" s="109">
        <f>'NKC2-%'!V91*100</f>
        <v>0</v>
      </c>
      <c r="P81" s="109">
        <f>'NKC2-%'!W91*100</f>
        <v>0</v>
      </c>
      <c r="Q81" s="109">
        <f>'NKC2-%'!X91*100</f>
        <v>0</v>
      </c>
      <c r="R81" s="109">
        <f>'NKC2-%'!Y91*100</f>
        <v>0</v>
      </c>
      <c r="S81" s="109">
        <f>'NKC2-%'!Z91*100</f>
        <v>0</v>
      </c>
      <c r="T81" s="109">
        <f>'NKC2-%'!AA91*100</f>
        <v>0</v>
      </c>
      <c r="U81" s="109">
        <f>'NKC2-%'!AB91*100</f>
        <v>0</v>
      </c>
      <c r="V81" s="109">
        <f>'NKC2-%'!AC91*100</f>
        <v>0</v>
      </c>
      <c r="W81" s="109">
        <f>'NKC2-%'!AD91*100</f>
        <v>0</v>
      </c>
      <c r="X81" s="109">
        <f>'NKC2-%'!AE91*100</f>
        <v>0</v>
      </c>
      <c r="Y81" s="109">
        <f>'NKC2-%'!AF91*100</f>
        <v>0</v>
      </c>
      <c r="Z81" s="109">
        <f>'NKC2-%'!AG91*100</f>
        <v>0</v>
      </c>
      <c r="AA81" s="109">
        <f>'NKC2-%'!AH91*100</f>
        <v>0</v>
      </c>
      <c r="AB81" s="109">
        <f>'NKC2-%'!AI91*100</f>
        <v>0</v>
      </c>
      <c r="AC81" s="109">
        <f>'NKC2-%'!AJ91*100</f>
        <v>0</v>
      </c>
      <c r="AD81" s="109">
        <f>'NKC2-%'!AK91*100</f>
        <v>0</v>
      </c>
      <c r="AE81" s="109">
        <f>'NKC2-%'!AL91*100</f>
        <v>0</v>
      </c>
      <c r="AF81" s="109">
        <f>'NKC2-%'!AM91*100</f>
        <v>0</v>
      </c>
      <c r="AG81" s="109">
        <f>'NKC2-%'!AN91*100</f>
        <v>0</v>
      </c>
      <c r="AH81" s="109">
        <f>'NKC2-%'!AO91*100</f>
        <v>0</v>
      </c>
      <c r="AI81" s="109">
        <f>'NKC2-%'!AP91*100</f>
        <v>0</v>
      </c>
      <c r="AJ81" s="109">
        <f>'NKC2-%'!AQ91*100</f>
        <v>0</v>
      </c>
      <c r="AK81" s="109">
        <f>'NKC2-%'!AR91*100</f>
        <v>0</v>
      </c>
      <c r="AL81" s="109">
        <f>'NKC2-%'!AS91*100</f>
        <v>0</v>
      </c>
      <c r="AM81" s="109">
        <f>'NKC2-%'!AT91*100</f>
        <v>0</v>
      </c>
      <c r="AN81" s="109">
        <f>'NKC2-%'!AU91*100</f>
        <v>0</v>
      </c>
      <c r="AO81" s="109">
        <f>'NKC2-%'!AV91*100</f>
        <v>0</v>
      </c>
      <c r="AP81" s="109">
        <f>'NKC2-%'!AW91*100</f>
        <v>0</v>
      </c>
      <c r="AQ81" s="109">
        <f>'NKC2-%'!AX91*100</f>
        <v>0</v>
      </c>
      <c r="AR81" s="109">
        <f>'NKC2-%'!AY91*100</f>
        <v>0</v>
      </c>
      <c r="AS81" s="109">
        <f>'NKC2-%'!AZ91*100</f>
        <v>0</v>
      </c>
      <c r="AT81" s="109">
        <f>'NKC2-%'!BA91*100</f>
        <v>0</v>
      </c>
      <c r="AU81" s="109">
        <f>'NKC2-%'!BB91*100</f>
        <v>0</v>
      </c>
      <c r="AV81" s="109">
        <f>'NKC2-%'!BC91*100</f>
        <v>0</v>
      </c>
      <c r="AW81" s="109">
        <f>'NKC2-%'!BD91*100</f>
        <v>0</v>
      </c>
      <c r="AX81" s="109">
        <f>'NKC2-%'!BE91*100</f>
        <v>0</v>
      </c>
      <c r="AY81" s="109">
        <f>'NKC2-%'!BF91*100</f>
        <v>0</v>
      </c>
      <c r="AZ81" s="109">
        <f>'NKC2-%'!BG91*100</f>
        <v>0</v>
      </c>
      <c r="BA81" s="109">
        <f>'NKC2-%'!BH91*100</f>
        <v>0</v>
      </c>
      <c r="BB81" s="109">
        <f>'NKC2-%'!BI91*100</f>
        <v>0</v>
      </c>
      <c r="BC81" s="109">
        <f>'NKC2-%'!BJ91*100</f>
        <v>0</v>
      </c>
      <c r="BD81" s="109">
        <f>'NKC2-%'!BK91*100</f>
        <v>0</v>
      </c>
      <c r="BE81" s="109">
        <f>'NKC2-%'!BL91*100</f>
        <v>0</v>
      </c>
      <c r="BF81" s="109">
        <f>'NKC2-%'!BM91*100</f>
        <v>0</v>
      </c>
      <c r="BG81" s="109">
        <f>'NKC2-%'!BN91*100</f>
        <v>0</v>
      </c>
      <c r="BH81" s="109">
        <f>'NKC2-%'!BO91*100</f>
        <v>0</v>
      </c>
      <c r="BI81" s="109">
        <f>'NKC2-%'!BP91*100</f>
        <v>0</v>
      </c>
      <c r="BJ81" s="109">
        <f>'NKC2-%'!BQ91*100</f>
        <v>0</v>
      </c>
      <c r="BK81" s="109">
        <f>'NKC2-%'!BR91*100</f>
        <v>0</v>
      </c>
      <c r="BL81" s="109">
        <f>'NKC2-%'!BS91*100</f>
        <v>0</v>
      </c>
      <c r="BM81" s="109">
        <f>'NKC2-%'!BT91*100</f>
        <v>0</v>
      </c>
      <c r="BN81" s="109">
        <f>'NKC2-%'!BU91*100</f>
        <v>0</v>
      </c>
      <c r="BO81" s="109">
        <f>'NKC2-%'!BV91*100</f>
        <v>0</v>
      </c>
      <c r="BP81" s="109">
        <f>'NKC2-%'!BW91*100</f>
        <v>0</v>
      </c>
      <c r="BQ81" s="109">
        <f>'NKC2-%'!BX91*100</f>
        <v>0</v>
      </c>
      <c r="BR81" s="109">
        <f>'NKC2-%'!BY91*100</f>
        <v>0</v>
      </c>
      <c r="BS81" s="109">
        <f>'NKC2-%'!BZ91*100</f>
        <v>0</v>
      </c>
      <c r="BT81" s="109">
        <f>'NKC2-%'!CA91*100</f>
        <v>0</v>
      </c>
      <c r="BU81" s="109">
        <f>'NKC2-%'!CB91*100</f>
        <v>0</v>
      </c>
      <c r="BV81" s="109">
        <f>'NKC2-%'!CC91*100</f>
        <v>0</v>
      </c>
      <c r="BW81" s="109">
        <f>'NKC2-%'!CD91*100</f>
        <v>0</v>
      </c>
      <c r="BX81" s="109">
        <f>'NKC2-%'!CE91*100</f>
        <v>0</v>
      </c>
      <c r="BY81" s="109">
        <f>'NKC2-%'!CF91*100</f>
        <v>0</v>
      </c>
      <c r="BZ81" s="109">
        <f>'NKC2-%'!CG91*100</f>
        <v>0</v>
      </c>
      <c r="CA81" s="109">
        <f>'NKC2-%'!CH91*100</f>
        <v>0</v>
      </c>
      <c r="CB81" s="109">
        <f>'NKC2-%'!CI91*100</f>
        <v>0</v>
      </c>
      <c r="CC81" s="109">
        <f>'NKC2-%'!CJ91*100</f>
        <v>0</v>
      </c>
      <c r="CD81" s="109">
        <f>'NKC2-%'!CK91*100</f>
        <v>0</v>
      </c>
      <c r="CE81" s="109">
        <f>'NKC2-%'!CL91*100</f>
        <v>0</v>
      </c>
      <c r="CF81" s="109">
        <f>'NKC2-%'!CM91*100</f>
        <v>0</v>
      </c>
      <c r="CG81" s="109">
        <f>'NKC2-%'!CN91*100</f>
        <v>0</v>
      </c>
      <c r="CH81" s="109">
        <f>'NKC2-%'!CO91*100</f>
        <v>0</v>
      </c>
      <c r="CI81" s="109">
        <f>'NKC2-%'!CP91*100</f>
        <v>0</v>
      </c>
    </row>
    <row r="82" spans="1:87" x14ac:dyDescent="0.45">
      <c r="A82" s="266">
        <f>'NKC2-%'!B92</f>
        <v>1.7</v>
      </c>
      <c r="B82" t="str">
        <f>'NKC2-%'!D92</f>
        <v>Landscape</v>
      </c>
      <c r="C82" s="104">
        <f>'NKC2-%'!F92</f>
        <v>2143352.4729750021</v>
      </c>
      <c r="D82" s="87" t="str">
        <f>'NKC2-%'!G92</f>
        <v>P</v>
      </c>
      <c r="E82" s="109">
        <f>'NKC2-%'!K92*100</f>
        <v>100</v>
      </c>
      <c r="F82" s="109">
        <f>'NKC2-%'!M92*100</f>
        <v>0</v>
      </c>
      <c r="G82" s="109">
        <f>'NKC2-%'!N92*100</f>
        <v>0</v>
      </c>
      <c r="H82" s="109">
        <f>'NKC2-%'!O92*100</f>
        <v>0</v>
      </c>
      <c r="I82" s="109">
        <f>'NKC2-%'!P92*100</f>
        <v>0</v>
      </c>
      <c r="J82" s="109">
        <f>'NKC2-%'!Q92*100</f>
        <v>0</v>
      </c>
      <c r="K82" s="109">
        <f>'NKC2-%'!R92*100</f>
        <v>0</v>
      </c>
      <c r="L82" s="109">
        <f>'NKC2-%'!S92*100</f>
        <v>0</v>
      </c>
      <c r="M82" s="109">
        <f>'NKC2-%'!T92*100</f>
        <v>0</v>
      </c>
      <c r="N82" s="109">
        <f>'NKC2-%'!U92*100</f>
        <v>0</v>
      </c>
      <c r="O82" s="109">
        <f>'NKC2-%'!V92*100</f>
        <v>0</v>
      </c>
      <c r="P82" s="109">
        <f>'NKC2-%'!W92*100</f>
        <v>0</v>
      </c>
      <c r="Q82" s="109">
        <f>'NKC2-%'!X92*100</f>
        <v>0</v>
      </c>
      <c r="R82" s="109">
        <f>'NKC2-%'!Y92*100</f>
        <v>0</v>
      </c>
      <c r="S82" s="109">
        <f>'NKC2-%'!Z92*100</f>
        <v>0</v>
      </c>
      <c r="T82" s="109">
        <f>'NKC2-%'!AA92*100</f>
        <v>0</v>
      </c>
      <c r="U82" s="109">
        <f>'NKC2-%'!AB92*100</f>
        <v>0</v>
      </c>
      <c r="V82" s="109">
        <f>'NKC2-%'!AC92*100</f>
        <v>0</v>
      </c>
      <c r="W82" s="109">
        <f>'NKC2-%'!AD92*100</f>
        <v>0</v>
      </c>
      <c r="X82" s="109">
        <f>'NKC2-%'!AE92*100</f>
        <v>0</v>
      </c>
      <c r="Y82" s="109">
        <f>'NKC2-%'!AF92*100</f>
        <v>0</v>
      </c>
      <c r="Z82" s="109">
        <f>'NKC2-%'!AG92*100</f>
        <v>0</v>
      </c>
      <c r="AA82" s="109">
        <f>'NKC2-%'!AH92*100</f>
        <v>0</v>
      </c>
      <c r="AB82" s="109">
        <f>'NKC2-%'!AI92*100</f>
        <v>0</v>
      </c>
      <c r="AC82" s="109">
        <f>'NKC2-%'!AJ92*100</f>
        <v>0</v>
      </c>
      <c r="AD82" s="109">
        <f>'NKC2-%'!AK92*100</f>
        <v>0</v>
      </c>
      <c r="AE82" s="109">
        <f>'NKC2-%'!AL92*100</f>
        <v>0</v>
      </c>
      <c r="AF82" s="109">
        <f>'NKC2-%'!AM92*100</f>
        <v>0</v>
      </c>
      <c r="AG82" s="109">
        <f>'NKC2-%'!AN92*100</f>
        <v>0</v>
      </c>
      <c r="AH82" s="109">
        <f>'NKC2-%'!AO92*100</f>
        <v>0</v>
      </c>
      <c r="AI82" s="109">
        <f>'NKC2-%'!AP92*100</f>
        <v>0</v>
      </c>
      <c r="AJ82" s="109">
        <f>'NKC2-%'!AQ92*100</f>
        <v>0</v>
      </c>
      <c r="AK82" s="109">
        <f>'NKC2-%'!AR92*100</f>
        <v>0</v>
      </c>
      <c r="AL82" s="109">
        <f>'NKC2-%'!AS92*100</f>
        <v>0</v>
      </c>
      <c r="AM82" s="109">
        <f>'NKC2-%'!AT92*100</f>
        <v>0</v>
      </c>
      <c r="AN82" s="109">
        <f>'NKC2-%'!AU92*100</f>
        <v>0</v>
      </c>
      <c r="AO82" s="109">
        <f>'NKC2-%'!AV92*100</f>
        <v>0</v>
      </c>
      <c r="AP82" s="109">
        <f>'NKC2-%'!AW92*100</f>
        <v>0</v>
      </c>
      <c r="AQ82" s="109">
        <f>'NKC2-%'!AX92*100</f>
        <v>0</v>
      </c>
      <c r="AR82" s="109">
        <f>'NKC2-%'!AY92*100</f>
        <v>0</v>
      </c>
      <c r="AS82" s="109">
        <f>'NKC2-%'!AZ92*100</f>
        <v>0</v>
      </c>
      <c r="AT82" s="109">
        <f>'NKC2-%'!BA92*100</f>
        <v>0</v>
      </c>
      <c r="AU82" s="109">
        <f>'NKC2-%'!BB92*100</f>
        <v>0</v>
      </c>
      <c r="AV82" s="109">
        <f>'NKC2-%'!BC92*100</f>
        <v>0</v>
      </c>
      <c r="AW82" s="109">
        <f>'NKC2-%'!BD92*100</f>
        <v>0</v>
      </c>
      <c r="AX82" s="109">
        <f>'NKC2-%'!BE92*100</f>
        <v>0</v>
      </c>
      <c r="AY82" s="109">
        <f>'NKC2-%'!BF92*100</f>
        <v>0</v>
      </c>
      <c r="AZ82" s="109">
        <f>'NKC2-%'!BG92*100</f>
        <v>1.9522277144608506</v>
      </c>
      <c r="BA82" s="109">
        <f>'NKC2-%'!BH92*100</f>
        <v>2.4402846430760636</v>
      </c>
      <c r="BB82" s="109">
        <f>'NKC2-%'!BI92*100</f>
        <v>2.4402846430760636</v>
      </c>
      <c r="BC82" s="109">
        <f>'NKC2-%'!BJ92*100</f>
        <v>2.4402846430760636</v>
      </c>
      <c r="BD82" s="109">
        <f>'NKC2-%'!BK92*100</f>
        <v>3.9044554289217013</v>
      </c>
      <c r="BE82" s="109">
        <f>'NKC2-%'!BL92*100</f>
        <v>3.9044554289217013</v>
      </c>
      <c r="BF82" s="109">
        <f>'NKC2-%'!BM92*100</f>
        <v>7.4402846430760627</v>
      </c>
      <c r="BG82" s="109">
        <f>'NKC2-%'!BN92*100</f>
        <v>7.4402846430760627</v>
      </c>
      <c r="BH82" s="109">
        <f>'NKC2-%'!BO92*100</f>
        <v>10</v>
      </c>
      <c r="BI82" s="109">
        <f>'NKC2-%'!BP92*100</f>
        <v>10</v>
      </c>
      <c r="BJ82" s="109">
        <f>'NKC2-%'!BQ92*100</f>
        <v>7.5597153569239364</v>
      </c>
      <c r="BK82" s="109">
        <f>'NKC2-%'!BR92*100</f>
        <v>15.238861427695749</v>
      </c>
      <c r="BL82" s="109">
        <f>'NKC2-%'!BS92*100</f>
        <v>12.679146070771811</v>
      </c>
      <c r="BM82" s="109">
        <f>'NKC2-%'!BT92*100</f>
        <v>7.5597153569239364</v>
      </c>
      <c r="BN82" s="109">
        <f>'NKC2-%'!BU92*100</f>
        <v>5</v>
      </c>
      <c r="BO82" s="109">
        <f>'NKC2-%'!BV92*100</f>
        <v>0</v>
      </c>
      <c r="BP82" s="109">
        <f>'NKC2-%'!BW92*100</f>
        <v>0</v>
      </c>
      <c r="BQ82" s="109">
        <f>'NKC2-%'!BX92*100</f>
        <v>0</v>
      </c>
      <c r="BR82" s="109">
        <f>'NKC2-%'!BY92*100</f>
        <v>0</v>
      </c>
      <c r="BS82" s="109">
        <f>'NKC2-%'!BZ92*100</f>
        <v>0</v>
      </c>
      <c r="BT82" s="109">
        <f>'NKC2-%'!CA92*100</f>
        <v>0</v>
      </c>
      <c r="BU82" s="109">
        <f>'NKC2-%'!CB92*100</f>
        <v>0</v>
      </c>
      <c r="BV82" s="109">
        <f>'NKC2-%'!CC92*100</f>
        <v>0</v>
      </c>
      <c r="BW82" s="109">
        <f>'NKC2-%'!CD92*100</f>
        <v>0</v>
      </c>
      <c r="BX82" s="109">
        <f>'NKC2-%'!CE92*100</f>
        <v>0</v>
      </c>
      <c r="BY82" s="109">
        <f>'NKC2-%'!CF92*100</f>
        <v>0</v>
      </c>
      <c r="BZ82" s="109">
        <f>'NKC2-%'!CG92*100</f>
        <v>0</v>
      </c>
      <c r="CA82" s="109">
        <f>'NKC2-%'!CH92*100</f>
        <v>0</v>
      </c>
      <c r="CB82" s="109">
        <f>'NKC2-%'!CI92*100</f>
        <v>0</v>
      </c>
      <c r="CC82" s="109">
        <f>'NKC2-%'!CJ92*100</f>
        <v>0</v>
      </c>
      <c r="CD82" s="109">
        <f>'NKC2-%'!CK92*100</f>
        <v>0</v>
      </c>
      <c r="CE82" s="109">
        <f>'NKC2-%'!CL92*100</f>
        <v>0</v>
      </c>
      <c r="CF82" s="109">
        <f>'NKC2-%'!CM92*100</f>
        <v>0</v>
      </c>
      <c r="CG82" s="109">
        <f>'NKC2-%'!CN92*100</f>
        <v>0</v>
      </c>
      <c r="CH82" s="109">
        <f>'NKC2-%'!CO92*100</f>
        <v>0</v>
      </c>
      <c r="CI82" s="109">
        <f>'NKC2-%'!CP92*100</f>
        <v>0</v>
      </c>
    </row>
    <row r="83" spans="1:87" x14ac:dyDescent="0.45">
      <c r="A83" s="266">
        <f>'NKC2-%'!B93</f>
        <v>1.7</v>
      </c>
      <c r="B83" t="str">
        <f>'NKC2-%'!D93</f>
        <v>Landscape</v>
      </c>
      <c r="C83" s="104">
        <f>'NKC2-%'!F93</f>
        <v>2143352.4729750021</v>
      </c>
      <c r="D83" s="87" t="str">
        <f>'NKC2-%'!G93</f>
        <v>A</v>
      </c>
      <c r="E83" s="109">
        <f>'NKC2-%'!K93*100</f>
        <v>0</v>
      </c>
      <c r="F83" s="109">
        <f>'NKC2-%'!M93*100</f>
        <v>0</v>
      </c>
      <c r="G83" s="109">
        <f>'NKC2-%'!N93*100</f>
        <v>0</v>
      </c>
      <c r="H83" s="109">
        <f>'NKC2-%'!O93*100</f>
        <v>0</v>
      </c>
      <c r="I83" s="109">
        <f>'NKC2-%'!P93*100</f>
        <v>0</v>
      </c>
      <c r="J83" s="109">
        <f>'NKC2-%'!Q93*100</f>
        <v>0</v>
      </c>
      <c r="K83" s="109">
        <f>'NKC2-%'!R93*100</f>
        <v>0</v>
      </c>
      <c r="L83" s="109">
        <f>'NKC2-%'!S93*100</f>
        <v>0</v>
      </c>
      <c r="M83" s="109">
        <f>'NKC2-%'!T93*100</f>
        <v>0</v>
      </c>
      <c r="N83" s="109">
        <f>'NKC2-%'!U93*100</f>
        <v>0</v>
      </c>
      <c r="O83" s="109">
        <f>'NKC2-%'!V93*100</f>
        <v>0</v>
      </c>
      <c r="P83" s="109">
        <f>'NKC2-%'!W93*100</f>
        <v>0</v>
      </c>
      <c r="Q83" s="109">
        <f>'NKC2-%'!X93*100</f>
        <v>0</v>
      </c>
      <c r="R83" s="109">
        <f>'NKC2-%'!Y93*100</f>
        <v>0</v>
      </c>
      <c r="S83" s="109">
        <f>'NKC2-%'!Z93*100</f>
        <v>0</v>
      </c>
      <c r="T83" s="109">
        <f>'NKC2-%'!AA93*100</f>
        <v>0</v>
      </c>
      <c r="U83" s="109">
        <f>'NKC2-%'!AB93*100</f>
        <v>0</v>
      </c>
      <c r="V83" s="109">
        <f>'NKC2-%'!AC93*100</f>
        <v>0</v>
      </c>
      <c r="W83" s="109">
        <f>'NKC2-%'!AD93*100</f>
        <v>0</v>
      </c>
      <c r="X83" s="109">
        <f>'NKC2-%'!AE93*100</f>
        <v>0</v>
      </c>
      <c r="Y83" s="109">
        <f>'NKC2-%'!AF93*100</f>
        <v>0</v>
      </c>
      <c r="Z83" s="109">
        <f>'NKC2-%'!AG93*100</f>
        <v>0</v>
      </c>
      <c r="AA83" s="109">
        <f>'NKC2-%'!AH93*100</f>
        <v>0</v>
      </c>
      <c r="AB83" s="109">
        <f>'NKC2-%'!AI93*100</f>
        <v>0</v>
      </c>
      <c r="AC83" s="109">
        <f>'NKC2-%'!AJ93*100</f>
        <v>0</v>
      </c>
      <c r="AD83" s="109">
        <f>'NKC2-%'!AK93*100</f>
        <v>0</v>
      </c>
      <c r="AE83" s="109">
        <f>'NKC2-%'!AL93*100</f>
        <v>0</v>
      </c>
      <c r="AF83" s="109">
        <f>'NKC2-%'!AM93*100</f>
        <v>0</v>
      </c>
      <c r="AG83" s="109">
        <f>'NKC2-%'!AN93*100</f>
        <v>0</v>
      </c>
      <c r="AH83" s="109">
        <f>'NKC2-%'!AO93*100</f>
        <v>0</v>
      </c>
      <c r="AI83" s="109">
        <f>'NKC2-%'!AP93*100</f>
        <v>0</v>
      </c>
      <c r="AJ83" s="109">
        <f>'NKC2-%'!AQ93*100</f>
        <v>0</v>
      </c>
      <c r="AK83" s="109">
        <f>'NKC2-%'!AR93*100</f>
        <v>0</v>
      </c>
      <c r="AL83" s="109">
        <f>'NKC2-%'!AS93*100</f>
        <v>0</v>
      </c>
      <c r="AM83" s="109">
        <f>'NKC2-%'!AT93*100</f>
        <v>0</v>
      </c>
      <c r="AN83" s="109">
        <f>'NKC2-%'!AU93*100</f>
        <v>0</v>
      </c>
      <c r="AO83" s="109">
        <f>'NKC2-%'!AV93*100</f>
        <v>0</v>
      </c>
      <c r="AP83" s="109">
        <f>'NKC2-%'!AW93*100</f>
        <v>0</v>
      </c>
      <c r="AQ83" s="109">
        <f>'NKC2-%'!AX93*100</f>
        <v>0</v>
      </c>
      <c r="AR83" s="109">
        <f>'NKC2-%'!AY93*100</f>
        <v>0</v>
      </c>
      <c r="AS83" s="109">
        <f>'NKC2-%'!AZ93*100</f>
        <v>0</v>
      </c>
      <c r="AT83" s="109">
        <f>'NKC2-%'!BA93*100</f>
        <v>0</v>
      </c>
      <c r="AU83" s="109">
        <f>'NKC2-%'!BB93*100</f>
        <v>0</v>
      </c>
      <c r="AV83" s="109">
        <f>'NKC2-%'!BC93*100</f>
        <v>0</v>
      </c>
      <c r="AW83" s="109">
        <f>'NKC2-%'!BD93*100</f>
        <v>0</v>
      </c>
      <c r="AX83" s="109">
        <f>'NKC2-%'!BE93*100</f>
        <v>0</v>
      </c>
      <c r="AY83" s="109">
        <f>'NKC2-%'!BF93*100</f>
        <v>0</v>
      </c>
      <c r="AZ83" s="109">
        <f>'NKC2-%'!BG93*100</f>
        <v>0</v>
      </c>
      <c r="BA83" s="109">
        <f>'NKC2-%'!BH93*100</f>
        <v>0</v>
      </c>
      <c r="BB83" s="109">
        <f>'NKC2-%'!BI93*100</f>
        <v>0</v>
      </c>
      <c r="BC83" s="109">
        <f>'NKC2-%'!BJ93*100</f>
        <v>0</v>
      </c>
      <c r="BD83" s="109">
        <f>'NKC2-%'!BK93*100</f>
        <v>0</v>
      </c>
      <c r="BE83" s="109">
        <f>'NKC2-%'!BL93*100</f>
        <v>0</v>
      </c>
      <c r="BF83" s="109">
        <f>'NKC2-%'!BM93*100</f>
        <v>0</v>
      </c>
      <c r="BG83" s="109">
        <f>'NKC2-%'!BN93*100</f>
        <v>0</v>
      </c>
      <c r="BH83" s="109">
        <f>'NKC2-%'!BO93*100</f>
        <v>0</v>
      </c>
      <c r="BI83" s="109">
        <f>'NKC2-%'!BP93*100</f>
        <v>0</v>
      </c>
      <c r="BJ83" s="109">
        <f>'NKC2-%'!BQ93*100</f>
        <v>0</v>
      </c>
      <c r="BK83" s="109">
        <f>'NKC2-%'!BR93*100</f>
        <v>0</v>
      </c>
      <c r="BL83" s="109">
        <f>'NKC2-%'!BS93*100</f>
        <v>0</v>
      </c>
      <c r="BM83" s="109">
        <f>'NKC2-%'!BT93*100</f>
        <v>0</v>
      </c>
      <c r="BN83" s="109">
        <f>'NKC2-%'!BU93*100</f>
        <v>0</v>
      </c>
      <c r="BO83" s="109">
        <f>'NKC2-%'!BV93*100</f>
        <v>0</v>
      </c>
      <c r="BP83" s="109">
        <f>'NKC2-%'!BW93*100</f>
        <v>0</v>
      </c>
      <c r="BQ83" s="109">
        <f>'NKC2-%'!BX93*100</f>
        <v>0</v>
      </c>
      <c r="BR83" s="109">
        <f>'NKC2-%'!BY93*100</f>
        <v>0</v>
      </c>
      <c r="BS83" s="109">
        <f>'NKC2-%'!BZ93*100</f>
        <v>0</v>
      </c>
      <c r="BT83" s="109">
        <f>'NKC2-%'!CA93*100</f>
        <v>0</v>
      </c>
      <c r="BU83" s="109">
        <f>'NKC2-%'!CB93*100</f>
        <v>0</v>
      </c>
      <c r="BV83" s="109">
        <f>'NKC2-%'!CC93*100</f>
        <v>0</v>
      </c>
      <c r="BW83" s="109">
        <f>'NKC2-%'!CD93*100</f>
        <v>0</v>
      </c>
      <c r="BX83" s="109">
        <f>'NKC2-%'!CE93*100</f>
        <v>0</v>
      </c>
      <c r="BY83" s="109">
        <f>'NKC2-%'!CF93*100</f>
        <v>0</v>
      </c>
      <c r="BZ83" s="109">
        <f>'NKC2-%'!CG93*100</f>
        <v>0</v>
      </c>
      <c r="CA83" s="109">
        <f>'NKC2-%'!CH93*100</f>
        <v>0</v>
      </c>
      <c r="CB83" s="109">
        <f>'NKC2-%'!CI93*100</f>
        <v>0</v>
      </c>
      <c r="CC83" s="109">
        <f>'NKC2-%'!CJ93*100</f>
        <v>0</v>
      </c>
      <c r="CD83" s="109">
        <f>'NKC2-%'!CK93*100</f>
        <v>0</v>
      </c>
      <c r="CE83" s="109">
        <f>'NKC2-%'!CL93*100</f>
        <v>0</v>
      </c>
      <c r="CF83" s="109">
        <f>'NKC2-%'!CM93*100</f>
        <v>0</v>
      </c>
      <c r="CG83" s="109">
        <f>'NKC2-%'!CN93*100</f>
        <v>0</v>
      </c>
      <c r="CH83" s="109">
        <f>'NKC2-%'!CO93*100</f>
        <v>0</v>
      </c>
      <c r="CI83" s="109">
        <f>'NKC2-%'!CP93*100</f>
        <v>0</v>
      </c>
    </row>
    <row r="84" spans="1:87" x14ac:dyDescent="0.45">
      <c r="A84" s="266" t="str">
        <f>'NKC2-%'!B94</f>
        <v>1.7.1</v>
      </c>
      <c r="B84" t="str">
        <f>'NKC2-%'!D94</f>
        <v>Hardscape</v>
      </c>
      <c r="C84" s="104">
        <f>'NKC2-%'!F94</f>
        <v>1046078.0249000001</v>
      </c>
      <c r="D84" s="87" t="str">
        <f>'NKC2-%'!G94</f>
        <v>P</v>
      </c>
      <c r="E84" s="109">
        <f>'NKC2-%'!K94*100</f>
        <v>100.00000000000003</v>
      </c>
      <c r="F84" s="109">
        <f>'NKC2-%'!M94*100</f>
        <v>0</v>
      </c>
      <c r="G84" s="109">
        <f>'NKC2-%'!N94*100</f>
        <v>0</v>
      </c>
      <c r="H84" s="109">
        <f>'NKC2-%'!O94*100</f>
        <v>0</v>
      </c>
      <c r="I84" s="109">
        <f>'NKC2-%'!P94*100</f>
        <v>0</v>
      </c>
      <c r="J84" s="109">
        <f>'NKC2-%'!Q94*100</f>
        <v>0</v>
      </c>
      <c r="K84" s="109">
        <f>'NKC2-%'!R94*100</f>
        <v>0</v>
      </c>
      <c r="L84" s="109">
        <f>'NKC2-%'!S94*100</f>
        <v>0</v>
      </c>
      <c r="M84" s="109">
        <f>'NKC2-%'!T94*100</f>
        <v>0</v>
      </c>
      <c r="N84" s="109">
        <f>'NKC2-%'!U94*100</f>
        <v>0</v>
      </c>
      <c r="O84" s="109">
        <f>'NKC2-%'!V94*100</f>
        <v>0</v>
      </c>
      <c r="P84" s="109">
        <f>'NKC2-%'!W94*100</f>
        <v>0</v>
      </c>
      <c r="Q84" s="109">
        <f>'NKC2-%'!X94*100</f>
        <v>0</v>
      </c>
      <c r="R84" s="109">
        <f>'NKC2-%'!Y94*100</f>
        <v>0</v>
      </c>
      <c r="S84" s="109">
        <f>'NKC2-%'!Z94*100</f>
        <v>0</v>
      </c>
      <c r="T84" s="109">
        <f>'NKC2-%'!AA94*100</f>
        <v>0</v>
      </c>
      <c r="U84" s="109">
        <f>'NKC2-%'!AB94*100</f>
        <v>0</v>
      </c>
      <c r="V84" s="109">
        <f>'NKC2-%'!AC94*100</f>
        <v>0</v>
      </c>
      <c r="W84" s="109">
        <f>'NKC2-%'!AD94*100</f>
        <v>0</v>
      </c>
      <c r="X84" s="109">
        <f>'NKC2-%'!AE94*100</f>
        <v>0</v>
      </c>
      <c r="Y84" s="109">
        <f>'NKC2-%'!AF94*100</f>
        <v>0</v>
      </c>
      <c r="Z84" s="109">
        <f>'NKC2-%'!AG94*100</f>
        <v>0</v>
      </c>
      <c r="AA84" s="109">
        <f>'NKC2-%'!AH94*100</f>
        <v>0</v>
      </c>
      <c r="AB84" s="109">
        <f>'NKC2-%'!AI94*100</f>
        <v>0</v>
      </c>
      <c r="AC84" s="109">
        <f>'NKC2-%'!AJ94*100</f>
        <v>0</v>
      </c>
      <c r="AD84" s="109">
        <f>'NKC2-%'!AK94*100</f>
        <v>0</v>
      </c>
      <c r="AE84" s="109">
        <f>'NKC2-%'!AL94*100</f>
        <v>0</v>
      </c>
      <c r="AF84" s="109">
        <f>'NKC2-%'!AM94*100</f>
        <v>0</v>
      </c>
      <c r="AG84" s="109">
        <f>'NKC2-%'!AN94*100</f>
        <v>0</v>
      </c>
      <c r="AH84" s="109">
        <f>'NKC2-%'!AO94*100</f>
        <v>0</v>
      </c>
      <c r="AI84" s="109">
        <f>'NKC2-%'!AP94*100</f>
        <v>0</v>
      </c>
      <c r="AJ84" s="109">
        <f>'NKC2-%'!AQ94*100</f>
        <v>0</v>
      </c>
      <c r="AK84" s="109">
        <f>'NKC2-%'!AR94*100</f>
        <v>0</v>
      </c>
      <c r="AL84" s="109">
        <f>'NKC2-%'!AS94*100</f>
        <v>0</v>
      </c>
      <c r="AM84" s="109">
        <f>'NKC2-%'!AT94*100</f>
        <v>0</v>
      </c>
      <c r="AN84" s="109">
        <f>'NKC2-%'!AU94*100</f>
        <v>0</v>
      </c>
      <c r="AO84" s="109">
        <f>'NKC2-%'!AV94*100</f>
        <v>0</v>
      </c>
      <c r="AP84" s="109">
        <f>'NKC2-%'!AW94*100</f>
        <v>0</v>
      </c>
      <c r="AQ84" s="109">
        <f>'NKC2-%'!AX94*100</f>
        <v>0</v>
      </c>
      <c r="AR84" s="109">
        <f>'NKC2-%'!AY94*100</f>
        <v>0</v>
      </c>
      <c r="AS84" s="109">
        <f>'NKC2-%'!AZ94*100</f>
        <v>0</v>
      </c>
      <c r="AT84" s="109">
        <f>'NKC2-%'!BA94*100</f>
        <v>0</v>
      </c>
      <c r="AU84" s="109">
        <f>'NKC2-%'!BB94*100</f>
        <v>0</v>
      </c>
      <c r="AV84" s="109">
        <f>'NKC2-%'!BC94*100</f>
        <v>0</v>
      </c>
      <c r="AW84" s="109">
        <f>'NKC2-%'!BD94*100</f>
        <v>0</v>
      </c>
      <c r="AX84" s="109">
        <f>'NKC2-%'!BE94*100</f>
        <v>0</v>
      </c>
      <c r="AY84" s="109">
        <f>'NKC2-%'!BF94*100</f>
        <v>0</v>
      </c>
      <c r="AZ84" s="109">
        <f>'NKC2-%'!BG94*100</f>
        <v>4</v>
      </c>
      <c r="BA84" s="109">
        <f>'NKC2-%'!BH94*100</f>
        <v>5</v>
      </c>
      <c r="BB84" s="109">
        <f>'NKC2-%'!BI94*100</f>
        <v>5</v>
      </c>
      <c r="BC84" s="109">
        <f>'NKC2-%'!BJ94*100</f>
        <v>5</v>
      </c>
      <c r="BD84" s="109">
        <f>'NKC2-%'!BK94*100</f>
        <v>8</v>
      </c>
      <c r="BE84" s="109">
        <f>'NKC2-%'!BL94*100</f>
        <v>8</v>
      </c>
      <c r="BF84" s="109">
        <f>'NKC2-%'!BM94*100</f>
        <v>10</v>
      </c>
      <c r="BG84" s="109">
        <f>'NKC2-%'!BN94*100</f>
        <v>10</v>
      </c>
      <c r="BH84" s="109">
        <f>'NKC2-%'!BO94*100</f>
        <v>10</v>
      </c>
      <c r="BI84" s="109">
        <f>'NKC2-%'!BP94*100</f>
        <v>10</v>
      </c>
      <c r="BJ84" s="109">
        <f>'NKC2-%'!BQ94*100</f>
        <v>5</v>
      </c>
      <c r="BK84" s="109">
        <f>'NKC2-%'!BR94*100</f>
        <v>5</v>
      </c>
      <c r="BL84" s="109">
        <f>'NKC2-%'!BS94*100</f>
        <v>5</v>
      </c>
      <c r="BM84" s="109">
        <f>'NKC2-%'!BT94*100</f>
        <v>5</v>
      </c>
      <c r="BN84" s="109">
        <f>'NKC2-%'!BU94*100</f>
        <v>5</v>
      </c>
      <c r="BO84" s="109">
        <f>'NKC2-%'!BV94*100</f>
        <v>0</v>
      </c>
      <c r="BP84" s="109">
        <f>'NKC2-%'!BW94*100</f>
        <v>0</v>
      </c>
      <c r="BQ84" s="109">
        <f>'NKC2-%'!BX94*100</f>
        <v>0</v>
      </c>
      <c r="BR84" s="109">
        <f>'NKC2-%'!BY94*100</f>
        <v>0</v>
      </c>
      <c r="BS84" s="109">
        <f>'NKC2-%'!BZ94*100</f>
        <v>0</v>
      </c>
      <c r="BT84" s="109">
        <f>'NKC2-%'!CA94*100</f>
        <v>0</v>
      </c>
      <c r="BU84" s="109">
        <f>'NKC2-%'!CB94*100</f>
        <v>0</v>
      </c>
      <c r="BV84" s="109">
        <f>'NKC2-%'!CC94*100</f>
        <v>0</v>
      </c>
      <c r="BW84" s="109">
        <f>'NKC2-%'!CD94*100</f>
        <v>0</v>
      </c>
      <c r="BX84" s="109">
        <f>'NKC2-%'!CE94*100</f>
        <v>0</v>
      </c>
      <c r="BY84" s="109">
        <f>'NKC2-%'!CF94*100</f>
        <v>0</v>
      </c>
      <c r="BZ84" s="109">
        <f>'NKC2-%'!CG94*100</f>
        <v>0</v>
      </c>
      <c r="CA84" s="109">
        <f>'NKC2-%'!CH94*100</f>
        <v>0</v>
      </c>
      <c r="CB84" s="109">
        <f>'NKC2-%'!CI94*100</f>
        <v>0</v>
      </c>
      <c r="CC84" s="109">
        <f>'NKC2-%'!CJ94*100</f>
        <v>0</v>
      </c>
      <c r="CD84" s="109">
        <f>'NKC2-%'!CK94*100</f>
        <v>0</v>
      </c>
      <c r="CE84" s="109">
        <f>'NKC2-%'!CL94*100</f>
        <v>0</v>
      </c>
      <c r="CF84" s="109">
        <f>'NKC2-%'!CM94*100</f>
        <v>0</v>
      </c>
      <c r="CG84" s="109">
        <f>'NKC2-%'!CN94*100</f>
        <v>0</v>
      </c>
      <c r="CH84" s="109">
        <f>'NKC2-%'!CO94*100</f>
        <v>0</v>
      </c>
      <c r="CI84" s="109">
        <f>'NKC2-%'!CP94*100</f>
        <v>0</v>
      </c>
    </row>
    <row r="85" spans="1:87" x14ac:dyDescent="0.45">
      <c r="A85" s="266" t="str">
        <f>'NKC2-%'!B95</f>
        <v>1.7.1</v>
      </c>
      <c r="B85" t="str">
        <f>'NKC2-%'!D95</f>
        <v>Hardscape</v>
      </c>
      <c r="C85" s="104">
        <f>'NKC2-%'!F95</f>
        <v>1046078.0249000001</v>
      </c>
      <c r="D85" s="87" t="str">
        <f>'NKC2-%'!G95</f>
        <v>A</v>
      </c>
      <c r="E85" s="109">
        <f>'NKC2-%'!K95*100</f>
        <v>0</v>
      </c>
      <c r="F85" s="109">
        <f>'NKC2-%'!M95*100</f>
        <v>0</v>
      </c>
      <c r="G85" s="109">
        <f>'NKC2-%'!N95*100</f>
        <v>0</v>
      </c>
      <c r="H85" s="109">
        <f>'NKC2-%'!O95*100</f>
        <v>0</v>
      </c>
      <c r="I85" s="109">
        <f>'NKC2-%'!P95*100</f>
        <v>0</v>
      </c>
      <c r="J85" s="109">
        <f>'NKC2-%'!Q95*100</f>
        <v>0</v>
      </c>
      <c r="K85" s="109">
        <f>'NKC2-%'!R95*100</f>
        <v>0</v>
      </c>
      <c r="L85" s="109">
        <f>'NKC2-%'!S95*100</f>
        <v>0</v>
      </c>
      <c r="M85" s="109">
        <f>'NKC2-%'!T95*100</f>
        <v>0</v>
      </c>
      <c r="N85" s="109">
        <f>'NKC2-%'!U95*100</f>
        <v>0</v>
      </c>
      <c r="O85" s="109">
        <f>'NKC2-%'!V95*100</f>
        <v>0</v>
      </c>
      <c r="P85" s="109">
        <f>'NKC2-%'!W95*100</f>
        <v>0</v>
      </c>
      <c r="Q85" s="109">
        <f>'NKC2-%'!X95*100</f>
        <v>0</v>
      </c>
      <c r="R85" s="109">
        <f>'NKC2-%'!Y95*100</f>
        <v>0</v>
      </c>
      <c r="S85" s="109">
        <f>'NKC2-%'!Z95*100</f>
        <v>0</v>
      </c>
      <c r="T85" s="109">
        <f>'NKC2-%'!AA95*100</f>
        <v>0</v>
      </c>
      <c r="U85" s="109">
        <f>'NKC2-%'!AB95*100</f>
        <v>0</v>
      </c>
      <c r="V85" s="109">
        <f>'NKC2-%'!AC95*100</f>
        <v>0</v>
      </c>
      <c r="W85" s="109">
        <f>'NKC2-%'!AD95*100</f>
        <v>0</v>
      </c>
      <c r="X85" s="109">
        <f>'NKC2-%'!AE95*100</f>
        <v>0</v>
      </c>
      <c r="Y85" s="109">
        <f>'NKC2-%'!AF95*100</f>
        <v>0</v>
      </c>
      <c r="Z85" s="109">
        <f>'NKC2-%'!AG95*100</f>
        <v>0</v>
      </c>
      <c r="AA85" s="109">
        <f>'NKC2-%'!AH95*100</f>
        <v>0</v>
      </c>
      <c r="AB85" s="109">
        <f>'NKC2-%'!AI95*100</f>
        <v>0</v>
      </c>
      <c r="AC85" s="109">
        <f>'NKC2-%'!AJ95*100</f>
        <v>0</v>
      </c>
      <c r="AD85" s="109">
        <f>'NKC2-%'!AK95*100</f>
        <v>0</v>
      </c>
      <c r="AE85" s="109">
        <f>'NKC2-%'!AL95*100</f>
        <v>0</v>
      </c>
      <c r="AF85" s="109">
        <f>'NKC2-%'!AM95*100</f>
        <v>0</v>
      </c>
      <c r="AG85" s="109">
        <f>'NKC2-%'!AN95*100</f>
        <v>0</v>
      </c>
      <c r="AH85" s="109">
        <f>'NKC2-%'!AO95*100</f>
        <v>0</v>
      </c>
      <c r="AI85" s="109">
        <f>'NKC2-%'!AP95*100</f>
        <v>0</v>
      </c>
      <c r="AJ85" s="109">
        <f>'NKC2-%'!AQ95*100</f>
        <v>0</v>
      </c>
      <c r="AK85" s="109">
        <f>'NKC2-%'!AR95*100</f>
        <v>0</v>
      </c>
      <c r="AL85" s="109">
        <f>'NKC2-%'!AS95*100</f>
        <v>0</v>
      </c>
      <c r="AM85" s="109">
        <f>'NKC2-%'!AT95*100</f>
        <v>0</v>
      </c>
      <c r="AN85" s="109">
        <f>'NKC2-%'!AU95*100</f>
        <v>0</v>
      </c>
      <c r="AO85" s="109">
        <f>'NKC2-%'!AV95*100</f>
        <v>0</v>
      </c>
      <c r="AP85" s="109">
        <f>'NKC2-%'!AW95*100</f>
        <v>0</v>
      </c>
      <c r="AQ85" s="109">
        <f>'NKC2-%'!AX95*100</f>
        <v>0</v>
      </c>
      <c r="AR85" s="109">
        <f>'NKC2-%'!AY95*100</f>
        <v>0</v>
      </c>
      <c r="AS85" s="109">
        <f>'NKC2-%'!AZ95*100</f>
        <v>0</v>
      </c>
      <c r="AT85" s="109">
        <f>'NKC2-%'!BA95*100</f>
        <v>0</v>
      </c>
      <c r="AU85" s="109">
        <f>'NKC2-%'!BB95*100</f>
        <v>0</v>
      </c>
      <c r="AV85" s="109">
        <f>'NKC2-%'!BC95*100</f>
        <v>0</v>
      </c>
      <c r="AW85" s="109">
        <f>'NKC2-%'!BD95*100</f>
        <v>0</v>
      </c>
      <c r="AX85" s="109">
        <f>'NKC2-%'!BE95*100</f>
        <v>0</v>
      </c>
      <c r="AY85" s="109">
        <f>'NKC2-%'!BF95*100</f>
        <v>0</v>
      </c>
      <c r="AZ85" s="109">
        <f>'NKC2-%'!BG95*100</f>
        <v>0</v>
      </c>
      <c r="BA85" s="109">
        <f>'NKC2-%'!BH95*100</f>
        <v>0</v>
      </c>
      <c r="BB85" s="109">
        <f>'NKC2-%'!BI95*100</f>
        <v>0</v>
      </c>
      <c r="BC85" s="109">
        <f>'NKC2-%'!BJ95*100</f>
        <v>0</v>
      </c>
      <c r="BD85" s="109">
        <f>'NKC2-%'!BK95*100</f>
        <v>0</v>
      </c>
      <c r="BE85" s="109">
        <f>'NKC2-%'!BL95*100</f>
        <v>0</v>
      </c>
      <c r="BF85" s="109">
        <f>'NKC2-%'!BM95*100</f>
        <v>0</v>
      </c>
      <c r="BG85" s="109">
        <f>'NKC2-%'!BN95*100</f>
        <v>0</v>
      </c>
      <c r="BH85" s="109">
        <f>'NKC2-%'!BO95*100</f>
        <v>0</v>
      </c>
      <c r="BI85" s="109">
        <f>'NKC2-%'!BP95*100</f>
        <v>0</v>
      </c>
      <c r="BJ85" s="109">
        <f>'NKC2-%'!BQ95*100</f>
        <v>0</v>
      </c>
      <c r="BK85" s="109">
        <f>'NKC2-%'!BR95*100</f>
        <v>0</v>
      </c>
      <c r="BL85" s="109">
        <f>'NKC2-%'!BS95*100</f>
        <v>0</v>
      </c>
      <c r="BM85" s="109">
        <f>'NKC2-%'!BT95*100</f>
        <v>0</v>
      </c>
      <c r="BN85" s="109">
        <f>'NKC2-%'!BU95*100</f>
        <v>0</v>
      </c>
      <c r="BO85" s="109">
        <f>'NKC2-%'!BV95*100</f>
        <v>0</v>
      </c>
      <c r="BP85" s="109">
        <f>'NKC2-%'!BW95*100</f>
        <v>0</v>
      </c>
      <c r="BQ85" s="109">
        <f>'NKC2-%'!BX95*100</f>
        <v>0</v>
      </c>
      <c r="BR85" s="109">
        <f>'NKC2-%'!BY95*100</f>
        <v>0</v>
      </c>
      <c r="BS85" s="109">
        <f>'NKC2-%'!BZ95*100</f>
        <v>0</v>
      </c>
      <c r="BT85" s="109">
        <f>'NKC2-%'!CA95*100</f>
        <v>0</v>
      </c>
      <c r="BU85" s="109">
        <f>'NKC2-%'!CB95*100</f>
        <v>0</v>
      </c>
      <c r="BV85" s="109">
        <f>'NKC2-%'!CC95*100</f>
        <v>0</v>
      </c>
      <c r="BW85" s="109">
        <f>'NKC2-%'!CD95*100</f>
        <v>0</v>
      </c>
      <c r="BX85" s="109">
        <f>'NKC2-%'!CE95*100</f>
        <v>0</v>
      </c>
      <c r="BY85" s="109">
        <f>'NKC2-%'!CF95*100</f>
        <v>0</v>
      </c>
      <c r="BZ85" s="109">
        <f>'NKC2-%'!CG95*100</f>
        <v>0</v>
      </c>
      <c r="CA85" s="109">
        <f>'NKC2-%'!CH95*100</f>
        <v>0</v>
      </c>
      <c r="CB85" s="109">
        <f>'NKC2-%'!CI95*100</f>
        <v>0</v>
      </c>
      <c r="CC85" s="109">
        <f>'NKC2-%'!CJ95*100</f>
        <v>0</v>
      </c>
      <c r="CD85" s="109">
        <f>'NKC2-%'!CK95*100</f>
        <v>0</v>
      </c>
      <c r="CE85" s="109">
        <f>'NKC2-%'!CL95*100</f>
        <v>0</v>
      </c>
      <c r="CF85" s="109">
        <f>'NKC2-%'!CM95*100</f>
        <v>0</v>
      </c>
      <c r="CG85" s="109">
        <f>'NKC2-%'!CN95*100</f>
        <v>0</v>
      </c>
      <c r="CH85" s="109">
        <f>'NKC2-%'!CO95*100</f>
        <v>0</v>
      </c>
      <c r="CI85" s="109">
        <f>'NKC2-%'!CP95*100</f>
        <v>0</v>
      </c>
    </row>
    <row r="86" spans="1:87" x14ac:dyDescent="0.45">
      <c r="A86" s="266" t="str">
        <f>'NKC2-%'!B96</f>
        <v>1.7.3</v>
      </c>
      <c r="B86" t="str">
        <f>'NKC2-%'!D96</f>
        <v>Lighting Landscape</v>
      </c>
      <c r="C86" s="104">
        <f>'NKC2-%'!F96</f>
        <v>1097274.4480750021</v>
      </c>
      <c r="D86" s="87" t="str">
        <f>'NKC2-%'!G96</f>
        <v>P</v>
      </c>
      <c r="E86" s="109">
        <f>'NKC2-%'!K96*100</f>
        <v>100</v>
      </c>
      <c r="F86" s="109">
        <f>'NKC2-%'!M96*100</f>
        <v>0</v>
      </c>
      <c r="G86" s="109">
        <f>'NKC2-%'!N96*100</f>
        <v>0</v>
      </c>
      <c r="H86" s="109">
        <f>'NKC2-%'!O96*100</f>
        <v>0</v>
      </c>
      <c r="I86" s="109">
        <f>'NKC2-%'!P96*100</f>
        <v>0</v>
      </c>
      <c r="J86" s="109">
        <f>'NKC2-%'!Q96*100</f>
        <v>0</v>
      </c>
      <c r="K86" s="109">
        <f>'NKC2-%'!R96*100</f>
        <v>0</v>
      </c>
      <c r="L86" s="109">
        <f>'NKC2-%'!S96*100</f>
        <v>0</v>
      </c>
      <c r="M86" s="109">
        <f>'NKC2-%'!T96*100</f>
        <v>0</v>
      </c>
      <c r="N86" s="109">
        <f>'NKC2-%'!U96*100</f>
        <v>0</v>
      </c>
      <c r="O86" s="109">
        <f>'NKC2-%'!V96*100</f>
        <v>0</v>
      </c>
      <c r="P86" s="109">
        <f>'NKC2-%'!W96*100</f>
        <v>0</v>
      </c>
      <c r="Q86" s="109">
        <f>'NKC2-%'!X96*100</f>
        <v>0</v>
      </c>
      <c r="R86" s="109">
        <f>'NKC2-%'!Y96*100</f>
        <v>0</v>
      </c>
      <c r="S86" s="109">
        <f>'NKC2-%'!Z96*100</f>
        <v>0</v>
      </c>
      <c r="T86" s="109">
        <f>'NKC2-%'!AA96*100</f>
        <v>0</v>
      </c>
      <c r="U86" s="109">
        <f>'NKC2-%'!AB96*100</f>
        <v>0</v>
      </c>
      <c r="V86" s="109">
        <f>'NKC2-%'!AC96*100</f>
        <v>0</v>
      </c>
      <c r="W86" s="109">
        <f>'NKC2-%'!AD96*100</f>
        <v>0</v>
      </c>
      <c r="X86" s="109">
        <f>'NKC2-%'!AE96*100</f>
        <v>0</v>
      </c>
      <c r="Y86" s="109">
        <f>'NKC2-%'!AF96*100</f>
        <v>0</v>
      </c>
      <c r="Z86" s="109">
        <f>'NKC2-%'!AG96*100</f>
        <v>0</v>
      </c>
      <c r="AA86" s="109">
        <f>'NKC2-%'!AH96*100</f>
        <v>0</v>
      </c>
      <c r="AB86" s="109">
        <f>'NKC2-%'!AI96*100</f>
        <v>0</v>
      </c>
      <c r="AC86" s="109">
        <f>'NKC2-%'!AJ96*100</f>
        <v>0</v>
      </c>
      <c r="AD86" s="109">
        <f>'NKC2-%'!AK96*100</f>
        <v>0</v>
      </c>
      <c r="AE86" s="109">
        <f>'NKC2-%'!AL96*100</f>
        <v>0</v>
      </c>
      <c r="AF86" s="109">
        <f>'NKC2-%'!AM96*100</f>
        <v>0</v>
      </c>
      <c r="AG86" s="109">
        <f>'NKC2-%'!AN96*100</f>
        <v>0</v>
      </c>
      <c r="AH86" s="109">
        <f>'NKC2-%'!AO96*100</f>
        <v>0</v>
      </c>
      <c r="AI86" s="109">
        <f>'NKC2-%'!AP96*100</f>
        <v>0</v>
      </c>
      <c r="AJ86" s="109">
        <f>'NKC2-%'!AQ96*100</f>
        <v>0</v>
      </c>
      <c r="AK86" s="109">
        <f>'NKC2-%'!AR96*100</f>
        <v>0</v>
      </c>
      <c r="AL86" s="109">
        <f>'NKC2-%'!AS96*100</f>
        <v>0</v>
      </c>
      <c r="AM86" s="109">
        <f>'NKC2-%'!AT96*100</f>
        <v>0</v>
      </c>
      <c r="AN86" s="109">
        <f>'NKC2-%'!AU96*100</f>
        <v>0</v>
      </c>
      <c r="AO86" s="109">
        <f>'NKC2-%'!AV96*100</f>
        <v>0</v>
      </c>
      <c r="AP86" s="109">
        <f>'NKC2-%'!AW96*100</f>
        <v>0</v>
      </c>
      <c r="AQ86" s="109">
        <f>'NKC2-%'!AX96*100</f>
        <v>0</v>
      </c>
      <c r="AR86" s="109">
        <f>'NKC2-%'!AY96*100</f>
        <v>0</v>
      </c>
      <c r="AS86" s="109">
        <f>'NKC2-%'!AZ96*100</f>
        <v>0</v>
      </c>
      <c r="AT86" s="109">
        <f>'NKC2-%'!BA96*100</f>
        <v>0</v>
      </c>
      <c r="AU86" s="109">
        <f>'NKC2-%'!BB96*100</f>
        <v>0</v>
      </c>
      <c r="AV86" s="109">
        <f>'NKC2-%'!BC96*100</f>
        <v>0</v>
      </c>
      <c r="AW86" s="109">
        <f>'NKC2-%'!BD96*100</f>
        <v>0</v>
      </c>
      <c r="AX86" s="109">
        <f>'NKC2-%'!BE96*100</f>
        <v>0</v>
      </c>
      <c r="AY86" s="109">
        <f>'NKC2-%'!BF96*100</f>
        <v>0</v>
      </c>
      <c r="AZ86" s="109">
        <f>'NKC2-%'!BG96*100</f>
        <v>0</v>
      </c>
      <c r="BA86" s="109">
        <f>'NKC2-%'!BH96*100</f>
        <v>0</v>
      </c>
      <c r="BB86" s="109">
        <f>'NKC2-%'!BI96*100</f>
        <v>0</v>
      </c>
      <c r="BC86" s="109">
        <f>'NKC2-%'!BJ96*100</f>
        <v>0</v>
      </c>
      <c r="BD86" s="109">
        <f>'NKC2-%'!BK96*100</f>
        <v>0</v>
      </c>
      <c r="BE86" s="109">
        <f>'NKC2-%'!BL96*100</f>
        <v>0</v>
      </c>
      <c r="BF86" s="109">
        <f>'NKC2-%'!BM96*100</f>
        <v>5</v>
      </c>
      <c r="BG86" s="109">
        <f>'NKC2-%'!BN96*100</f>
        <v>5</v>
      </c>
      <c r="BH86" s="109">
        <f>'NKC2-%'!BO96*100</f>
        <v>10</v>
      </c>
      <c r="BI86" s="109">
        <f>'NKC2-%'!BP96*100</f>
        <v>10</v>
      </c>
      <c r="BJ86" s="109">
        <f>'NKC2-%'!BQ96*100</f>
        <v>10</v>
      </c>
      <c r="BK86" s="109">
        <f>'NKC2-%'!BR96*100</f>
        <v>25</v>
      </c>
      <c r="BL86" s="109">
        <f>'NKC2-%'!BS96*100</f>
        <v>20</v>
      </c>
      <c r="BM86" s="109">
        <f>'NKC2-%'!BT96*100</f>
        <v>10</v>
      </c>
      <c r="BN86" s="109">
        <f>'NKC2-%'!BU96*100</f>
        <v>5</v>
      </c>
      <c r="BO86" s="109">
        <f>'NKC2-%'!BV96*100</f>
        <v>0</v>
      </c>
      <c r="BP86" s="109">
        <f>'NKC2-%'!BW96*100</f>
        <v>0</v>
      </c>
      <c r="BQ86" s="109">
        <f>'NKC2-%'!BX96*100</f>
        <v>0</v>
      </c>
      <c r="BR86" s="109">
        <f>'NKC2-%'!BY96*100</f>
        <v>0</v>
      </c>
      <c r="BS86" s="109">
        <f>'NKC2-%'!BZ96*100</f>
        <v>0</v>
      </c>
      <c r="BT86" s="109">
        <f>'NKC2-%'!CA96*100</f>
        <v>0</v>
      </c>
      <c r="BU86" s="109">
        <f>'NKC2-%'!CB96*100</f>
        <v>0</v>
      </c>
      <c r="BV86" s="109">
        <f>'NKC2-%'!CC96*100</f>
        <v>0</v>
      </c>
      <c r="BW86" s="109">
        <f>'NKC2-%'!CD96*100</f>
        <v>0</v>
      </c>
      <c r="BX86" s="109">
        <f>'NKC2-%'!CE96*100</f>
        <v>0</v>
      </c>
      <c r="BY86" s="109">
        <f>'NKC2-%'!CF96*100</f>
        <v>0</v>
      </c>
      <c r="BZ86" s="109">
        <f>'NKC2-%'!CG96*100</f>
        <v>0</v>
      </c>
      <c r="CA86" s="109">
        <f>'NKC2-%'!CH96*100</f>
        <v>0</v>
      </c>
      <c r="CB86" s="109">
        <f>'NKC2-%'!CI96*100</f>
        <v>0</v>
      </c>
      <c r="CC86" s="109">
        <f>'NKC2-%'!CJ96*100</f>
        <v>0</v>
      </c>
      <c r="CD86" s="109">
        <f>'NKC2-%'!CK96*100</f>
        <v>0</v>
      </c>
      <c r="CE86" s="109">
        <f>'NKC2-%'!CL96*100</f>
        <v>0</v>
      </c>
      <c r="CF86" s="109">
        <f>'NKC2-%'!CM96*100</f>
        <v>0</v>
      </c>
      <c r="CG86" s="109">
        <f>'NKC2-%'!CN96*100</f>
        <v>0</v>
      </c>
      <c r="CH86" s="109">
        <f>'NKC2-%'!CO96*100</f>
        <v>0</v>
      </c>
      <c r="CI86" s="109">
        <f>'NKC2-%'!CP96*100</f>
        <v>0</v>
      </c>
    </row>
    <row r="87" spans="1:87" x14ac:dyDescent="0.45">
      <c r="A87" s="266" t="str">
        <f>'NKC2-%'!B97</f>
        <v>1.7.3</v>
      </c>
      <c r="B87" t="str">
        <f>'NKC2-%'!D97</f>
        <v>Lighting Landscape</v>
      </c>
      <c r="C87" s="104">
        <f>'NKC2-%'!F97</f>
        <v>1097274.4480750021</v>
      </c>
      <c r="D87" s="87" t="str">
        <f>'NKC2-%'!G97</f>
        <v>A</v>
      </c>
      <c r="E87" s="109">
        <f>'NKC2-%'!K97*100</f>
        <v>0</v>
      </c>
      <c r="F87" s="109">
        <f>'NKC2-%'!M97*100</f>
        <v>0</v>
      </c>
      <c r="G87" s="109">
        <f>'NKC2-%'!N97*100</f>
        <v>0</v>
      </c>
      <c r="H87" s="109">
        <f>'NKC2-%'!O97*100</f>
        <v>0</v>
      </c>
      <c r="I87" s="109">
        <f>'NKC2-%'!P97*100</f>
        <v>0</v>
      </c>
      <c r="J87" s="109">
        <f>'NKC2-%'!Q97*100</f>
        <v>0</v>
      </c>
      <c r="K87" s="109">
        <f>'NKC2-%'!R97*100</f>
        <v>0</v>
      </c>
      <c r="L87" s="109">
        <f>'NKC2-%'!S97*100</f>
        <v>0</v>
      </c>
      <c r="M87" s="109">
        <f>'NKC2-%'!T97*100</f>
        <v>0</v>
      </c>
      <c r="N87" s="109">
        <f>'NKC2-%'!U97*100</f>
        <v>0</v>
      </c>
      <c r="O87" s="109">
        <f>'NKC2-%'!V97*100</f>
        <v>0</v>
      </c>
      <c r="P87" s="109">
        <f>'NKC2-%'!W97*100</f>
        <v>0</v>
      </c>
      <c r="Q87" s="109">
        <f>'NKC2-%'!X97*100</f>
        <v>0</v>
      </c>
      <c r="R87" s="109">
        <f>'NKC2-%'!Y97*100</f>
        <v>0</v>
      </c>
      <c r="S87" s="109">
        <f>'NKC2-%'!Z97*100</f>
        <v>0</v>
      </c>
      <c r="T87" s="109">
        <f>'NKC2-%'!AA97*100</f>
        <v>0</v>
      </c>
      <c r="U87" s="109">
        <f>'NKC2-%'!AB97*100</f>
        <v>0</v>
      </c>
      <c r="V87" s="109">
        <f>'NKC2-%'!AC97*100</f>
        <v>0</v>
      </c>
      <c r="W87" s="109">
        <f>'NKC2-%'!AD97*100</f>
        <v>0</v>
      </c>
      <c r="X87" s="109">
        <f>'NKC2-%'!AE97*100</f>
        <v>0</v>
      </c>
      <c r="Y87" s="109">
        <f>'NKC2-%'!AF97*100</f>
        <v>0</v>
      </c>
      <c r="Z87" s="109">
        <f>'NKC2-%'!AG97*100</f>
        <v>0</v>
      </c>
      <c r="AA87" s="109">
        <f>'NKC2-%'!AH97*100</f>
        <v>0</v>
      </c>
      <c r="AB87" s="109">
        <f>'NKC2-%'!AI97*100</f>
        <v>0</v>
      </c>
      <c r="AC87" s="109">
        <f>'NKC2-%'!AJ97*100</f>
        <v>0</v>
      </c>
      <c r="AD87" s="109">
        <f>'NKC2-%'!AK97*100</f>
        <v>0</v>
      </c>
      <c r="AE87" s="109">
        <f>'NKC2-%'!AL97*100</f>
        <v>0</v>
      </c>
      <c r="AF87" s="109">
        <f>'NKC2-%'!AM97*100</f>
        <v>0</v>
      </c>
      <c r="AG87" s="109">
        <f>'NKC2-%'!AN97*100</f>
        <v>0</v>
      </c>
      <c r="AH87" s="109">
        <f>'NKC2-%'!AO97*100</f>
        <v>0</v>
      </c>
      <c r="AI87" s="109">
        <f>'NKC2-%'!AP97*100</f>
        <v>0</v>
      </c>
      <c r="AJ87" s="109">
        <f>'NKC2-%'!AQ97*100</f>
        <v>0</v>
      </c>
      <c r="AK87" s="109">
        <f>'NKC2-%'!AR97*100</f>
        <v>0</v>
      </c>
      <c r="AL87" s="109">
        <f>'NKC2-%'!AS97*100</f>
        <v>0</v>
      </c>
      <c r="AM87" s="109">
        <f>'NKC2-%'!AT97*100</f>
        <v>0</v>
      </c>
      <c r="AN87" s="109">
        <f>'NKC2-%'!AU97*100</f>
        <v>0</v>
      </c>
      <c r="AO87" s="109">
        <f>'NKC2-%'!AV97*100</f>
        <v>0</v>
      </c>
      <c r="AP87" s="109">
        <f>'NKC2-%'!AW97*100</f>
        <v>0</v>
      </c>
      <c r="AQ87" s="109">
        <f>'NKC2-%'!AX97*100</f>
        <v>0</v>
      </c>
      <c r="AR87" s="109">
        <f>'NKC2-%'!AY97*100</f>
        <v>0</v>
      </c>
      <c r="AS87" s="109">
        <f>'NKC2-%'!AZ97*100</f>
        <v>0</v>
      </c>
      <c r="AT87" s="109">
        <f>'NKC2-%'!BA97*100</f>
        <v>0</v>
      </c>
      <c r="AU87" s="109">
        <f>'NKC2-%'!BB97*100</f>
        <v>0</v>
      </c>
      <c r="AV87" s="109">
        <f>'NKC2-%'!BC97*100</f>
        <v>0</v>
      </c>
      <c r="AW87" s="109">
        <f>'NKC2-%'!BD97*100</f>
        <v>0</v>
      </c>
      <c r="AX87" s="109">
        <f>'NKC2-%'!BE97*100</f>
        <v>0</v>
      </c>
      <c r="AY87" s="109">
        <f>'NKC2-%'!BF97*100</f>
        <v>0</v>
      </c>
      <c r="AZ87" s="109">
        <f>'NKC2-%'!BG97*100</f>
        <v>0</v>
      </c>
      <c r="BA87" s="109">
        <f>'NKC2-%'!BH97*100</f>
        <v>0</v>
      </c>
      <c r="BB87" s="109">
        <f>'NKC2-%'!BI97*100</f>
        <v>0</v>
      </c>
      <c r="BC87" s="109">
        <f>'NKC2-%'!BJ97*100</f>
        <v>0</v>
      </c>
      <c r="BD87" s="109">
        <f>'NKC2-%'!BK97*100</f>
        <v>0</v>
      </c>
      <c r="BE87" s="109">
        <f>'NKC2-%'!BL97*100</f>
        <v>0</v>
      </c>
      <c r="BF87" s="109">
        <f>'NKC2-%'!BM97*100</f>
        <v>0</v>
      </c>
      <c r="BG87" s="109">
        <f>'NKC2-%'!BN97*100</f>
        <v>0</v>
      </c>
      <c r="BH87" s="109">
        <f>'NKC2-%'!BO97*100</f>
        <v>0</v>
      </c>
      <c r="BI87" s="109">
        <f>'NKC2-%'!BP97*100</f>
        <v>0</v>
      </c>
      <c r="BJ87" s="109">
        <f>'NKC2-%'!BQ97*100</f>
        <v>0</v>
      </c>
      <c r="BK87" s="109">
        <f>'NKC2-%'!BR97*100</f>
        <v>0</v>
      </c>
      <c r="BL87" s="109">
        <f>'NKC2-%'!BS97*100</f>
        <v>0</v>
      </c>
      <c r="BM87" s="109">
        <f>'NKC2-%'!BT97*100</f>
        <v>0</v>
      </c>
      <c r="BN87" s="109">
        <f>'NKC2-%'!BU97*100</f>
        <v>0</v>
      </c>
      <c r="BO87" s="109">
        <f>'NKC2-%'!BV97*100</f>
        <v>0</v>
      </c>
      <c r="BP87" s="109">
        <f>'NKC2-%'!BW97*100</f>
        <v>0</v>
      </c>
      <c r="BQ87" s="109">
        <f>'NKC2-%'!BX97*100</f>
        <v>0</v>
      </c>
      <c r="BR87" s="109">
        <f>'NKC2-%'!BY97*100</f>
        <v>0</v>
      </c>
      <c r="BS87" s="109">
        <f>'NKC2-%'!BZ97*100</f>
        <v>0</v>
      </c>
      <c r="BT87" s="109">
        <f>'NKC2-%'!CA97*100</f>
        <v>0</v>
      </c>
      <c r="BU87" s="109">
        <f>'NKC2-%'!CB97*100</f>
        <v>0</v>
      </c>
      <c r="BV87" s="109">
        <f>'NKC2-%'!CC97*100</f>
        <v>0</v>
      </c>
      <c r="BW87" s="109">
        <f>'NKC2-%'!CD97*100</f>
        <v>0</v>
      </c>
      <c r="BX87" s="109">
        <f>'NKC2-%'!CE97*100</f>
        <v>0</v>
      </c>
      <c r="BY87" s="109">
        <f>'NKC2-%'!CF97*100</f>
        <v>0</v>
      </c>
      <c r="BZ87" s="109">
        <f>'NKC2-%'!CG97*100</f>
        <v>0</v>
      </c>
      <c r="CA87" s="109">
        <f>'NKC2-%'!CH97*100</f>
        <v>0</v>
      </c>
      <c r="CB87" s="109">
        <f>'NKC2-%'!CI97*100</f>
        <v>0</v>
      </c>
      <c r="CC87" s="109">
        <f>'NKC2-%'!CJ97*100</f>
        <v>0</v>
      </c>
      <c r="CD87" s="109">
        <f>'NKC2-%'!CK97*100</f>
        <v>0</v>
      </c>
      <c r="CE87" s="109">
        <f>'NKC2-%'!CL97*100</f>
        <v>0</v>
      </c>
      <c r="CF87" s="109">
        <f>'NKC2-%'!CM97*100</f>
        <v>0</v>
      </c>
      <c r="CG87" s="109">
        <f>'NKC2-%'!CN97*100</f>
        <v>0</v>
      </c>
      <c r="CH87" s="109">
        <f>'NKC2-%'!CO97*100</f>
        <v>0</v>
      </c>
      <c r="CI87" s="109">
        <f>'NKC2-%'!CP97*100</f>
        <v>0</v>
      </c>
    </row>
    <row r="88" spans="1:87" x14ac:dyDescent="0.45">
      <c r="A88" s="266">
        <f>'NKC2-%'!B98</f>
        <v>1.8</v>
      </c>
      <c r="B88" t="str">
        <f>'NKC2-%'!D98</f>
        <v>Equipments</v>
      </c>
      <c r="C88" s="104">
        <f>'NKC2-%'!F98</f>
        <v>33207814.05848429</v>
      </c>
      <c r="D88" s="87" t="str">
        <f>'NKC2-%'!G98</f>
        <v>P</v>
      </c>
      <c r="E88" s="109">
        <f>'NKC2-%'!K98*100</f>
        <v>100</v>
      </c>
      <c r="F88" s="109">
        <f>'NKC2-%'!M98*100</f>
        <v>0</v>
      </c>
      <c r="G88" s="109">
        <f>'NKC2-%'!N98*100</f>
        <v>0</v>
      </c>
      <c r="H88" s="109">
        <f>'NKC2-%'!O98*100</f>
        <v>0</v>
      </c>
      <c r="I88" s="109">
        <f>'NKC2-%'!P98*100</f>
        <v>0</v>
      </c>
      <c r="J88" s="109">
        <f>'NKC2-%'!Q98*100</f>
        <v>0</v>
      </c>
      <c r="K88" s="109">
        <f>'NKC2-%'!R98*100</f>
        <v>0</v>
      </c>
      <c r="L88" s="109">
        <f>'NKC2-%'!S98*100</f>
        <v>0</v>
      </c>
      <c r="M88" s="109">
        <f>'NKC2-%'!T98*100</f>
        <v>0</v>
      </c>
      <c r="N88" s="109">
        <f>'NKC2-%'!U98*100</f>
        <v>0</v>
      </c>
      <c r="O88" s="109">
        <f>'NKC2-%'!V98*100</f>
        <v>0</v>
      </c>
      <c r="P88" s="109">
        <f>'NKC2-%'!W98*100</f>
        <v>0</v>
      </c>
      <c r="Q88" s="109">
        <f>'NKC2-%'!X98*100</f>
        <v>0</v>
      </c>
      <c r="R88" s="109">
        <f>'NKC2-%'!Y98*100</f>
        <v>0</v>
      </c>
      <c r="S88" s="109">
        <f>'NKC2-%'!Z98*100</f>
        <v>0</v>
      </c>
      <c r="T88" s="109">
        <f>'NKC2-%'!AA98*100</f>
        <v>0</v>
      </c>
      <c r="U88" s="109">
        <f>'NKC2-%'!AB98*100</f>
        <v>0</v>
      </c>
      <c r="V88" s="109">
        <f>'NKC2-%'!AC98*100</f>
        <v>0</v>
      </c>
      <c r="W88" s="109">
        <f>'NKC2-%'!AD98*100</f>
        <v>0</v>
      </c>
      <c r="X88" s="109">
        <f>'NKC2-%'!AE98*100</f>
        <v>0</v>
      </c>
      <c r="Y88" s="109">
        <f>'NKC2-%'!AF98*100</f>
        <v>0</v>
      </c>
      <c r="Z88" s="109">
        <f>'NKC2-%'!AG98*100</f>
        <v>0</v>
      </c>
      <c r="AA88" s="109">
        <f>'NKC2-%'!AH98*100</f>
        <v>0</v>
      </c>
      <c r="AB88" s="109">
        <f>'NKC2-%'!AI98*100</f>
        <v>0</v>
      </c>
      <c r="AC88" s="109">
        <f>'NKC2-%'!AJ98*100</f>
        <v>0</v>
      </c>
      <c r="AD88" s="109">
        <f>'NKC2-%'!AK98*100</f>
        <v>0</v>
      </c>
      <c r="AE88" s="109">
        <f>'NKC2-%'!AL98*100</f>
        <v>0</v>
      </c>
      <c r="AF88" s="109">
        <f>'NKC2-%'!AM98*100</f>
        <v>0</v>
      </c>
      <c r="AG88" s="109">
        <f>'NKC2-%'!AN98*100</f>
        <v>0</v>
      </c>
      <c r="AH88" s="109">
        <f>'NKC2-%'!AO98*100</f>
        <v>0</v>
      </c>
      <c r="AI88" s="109">
        <f>'NKC2-%'!AP98*100</f>
        <v>0</v>
      </c>
      <c r="AJ88" s="109">
        <f>'NKC2-%'!AQ98*100</f>
        <v>0</v>
      </c>
      <c r="AK88" s="109">
        <f>'NKC2-%'!AR98*100</f>
        <v>0</v>
      </c>
      <c r="AL88" s="109">
        <f>'NKC2-%'!AS98*100</f>
        <v>0</v>
      </c>
      <c r="AM88" s="109">
        <f>'NKC2-%'!AT98*100</f>
        <v>0</v>
      </c>
      <c r="AN88" s="109">
        <f>'NKC2-%'!AU98*100</f>
        <v>0</v>
      </c>
      <c r="AO88" s="109">
        <f>'NKC2-%'!AV98*100</f>
        <v>0</v>
      </c>
      <c r="AP88" s="109">
        <f>'NKC2-%'!AW98*100</f>
        <v>0</v>
      </c>
      <c r="AQ88" s="109">
        <f>'NKC2-%'!AX98*100</f>
        <v>0</v>
      </c>
      <c r="AR88" s="109">
        <f>'NKC2-%'!AY98*100</f>
        <v>0</v>
      </c>
      <c r="AS88" s="109">
        <f>'NKC2-%'!AZ98*100</f>
        <v>0</v>
      </c>
      <c r="AT88" s="109">
        <f>'NKC2-%'!BA98*100</f>
        <v>0</v>
      </c>
      <c r="AU88" s="109">
        <f>'NKC2-%'!BB98*100</f>
        <v>0</v>
      </c>
      <c r="AV88" s="109">
        <f>'NKC2-%'!BC98*100</f>
        <v>0</v>
      </c>
      <c r="AW88" s="109">
        <f>'NKC2-%'!BD98*100</f>
        <v>0</v>
      </c>
      <c r="AX88" s="109">
        <f>'NKC2-%'!BE98*100</f>
        <v>0</v>
      </c>
      <c r="AY88" s="109">
        <f>'NKC2-%'!BF98*100</f>
        <v>0</v>
      </c>
      <c r="AZ88" s="109">
        <f>'NKC2-%'!BG98*100</f>
        <v>0</v>
      </c>
      <c r="BA88" s="109">
        <f>'NKC2-%'!BH98*100</f>
        <v>0</v>
      </c>
      <c r="BB88" s="109">
        <f>'NKC2-%'!BI98*100</f>
        <v>0</v>
      </c>
      <c r="BC88" s="109">
        <f>'NKC2-%'!BJ98*100</f>
        <v>0</v>
      </c>
      <c r="BD88" s="109">
        <f>'NKC2-%'!BK98*100</f>
        <v>0</v>
      </c>
      <c r="BE88" s="109">
        <f>'NKC2-%'!BL98*100</f>
        <v>0</v>
      </c>
      <c r="BF88" s="109">
        <f>'NKC2-%'!BM98*100</f>
        <v>0</v>
      </c>
      <c r="BG88" s="109">
        <f>'NKC2-%'!BN98*100</f>
        <v>0</v>
      </c>
      <c r="BH88" s="109">
        <f>'NKC2-%'!BO98*100</f>
        <v>0</v>
      </c>
      <c r="BI88" s="109">
        <f>'NKC2-%'!BP98*100</f>
        <v>0</v>
      </c>
      <c r="BJ88" s="109">
        <f>'NKC2-%'!BQ98*100</f>
        <v>0</v>
      </c>
      <c r="BK88" s="109">
        <f>'NKC2-%'!BR98*100</f>
        <v>0</v>
      </c>
      <c r="BL88" s="109">
        <f>'NKC2-%'!BS98*100</f>
        <v>0</v>
      </c>
      <c r="BM88" s="109">
        <f>'NKC2-%'!BT98*100</f>
        <v>0</v>
      </c>
      <c r="BN88" s="109">
        <f>'NKC2-%'!BU98*100</f>
        <v>2.5509145049396502</v>
      </c>
      <c r="BO88" s="109">
        <f>'NKC2-%'!BV98*100</f>
        <v>2.5509145049396502</v>
      </c>
      <c r="BP88" s="109">
        <f>'NKC2-%'!BW98*100</f>
        <v>2.7796594600209636</v>
      </c>
      <c r="BQ88" s="109">
        <f>'NKC2-%'!BX98*100</f>
        <v>4.4155941446353602</v>
      </c>
      <c r="BR88" s="109">
        <f>'NKC2-%'!BY98*100</f>
        <v>5.5593189200419273</v>
      </c>
      <c r="BS88" s="109">
        <f>'NKC2-%'!BZ98*100</f>
        <v>13.774682640107883</v>
      </c>
      <c r="BT88" s="109">
        <f>'NKC2-%'!CA98*100</f>
        <v>12.630957864701314</v>
      </c>
      <c r="BU88" s="109">
        <f>'NKC2-%'!CB98*100</f>
        <v>12.449346082571157</v>
      </c>
      <c r="BV88" s="109">
        <f>'NKC2-%'!CC98*100</f>
        <v>12.449346082571157</v>
      </c>
      <c r="BW88" s="109">
        <f>'NKC2-%'!CD98*100</f>
        <v>11.190597360846917</v>
      </c>
      <c r="BX88" s="109">
        <f>'NKC2-%'!CE98*100</f>
        <v>7.9534479906633271</v>
      </c>
      <c r="BY88" s="109">
        <f>'NKC2-%'!CF98*100</f>
        <v>5.8476102219803501</v>
      </c>
      <c r="BZ88" s="109">
        <f>'NKC2-%'!CG98*100</f>
        <v>5.8476102219803501</v>
      </c>
      <c r="CA88" s="109">
        <f>'NKC2-%'!CH98*100</f>
        <v>0</v>
      </c>
      <c r="CB88" s="109">
        <f>'NKC2-%'!CI98*100</f>
        <v>0</v>
      </c>
      <c r="CC88" s="109">
        <f>'NKC2-%'!CJ98*100</f>
        <v>0</v>
      </c>
      <c r="CD88" s="109">
        <f>'NKC2-%'!CK98*100</f>
        <v>0</v>
      </c>
      <c r="CE88" s="109">
        <f>'NKC2-%'!CL98*100</f>
        <v>0</v>
      </c>
      <c r="CF88" s="109">
        <f>'NKC2-%'!CM98*100</f>
        <v>0</v>
      </c>
      <c r="CG88" s="109">
        <f>'NKC2-%'!CN98*100</f>
        <v>0</v>
      </c>
      <c r="CH88" s="109">
        <f>'NKC2-%'!CO98*100</f>
        <v>0</v>
      </c>
      <c r="CI88" s="109">
        <f>'NKC2-%'!CP98*100</f>
        <v>0</v>
      </c>
    </row>
    <row r="89" spans="1:87" x14ac:dyDescent="0.45">
      <c r="A89" s="266">
        <f>'NKC2-%'!B99</f>
        <v>1.8</v>
      </c>
      <c r="B89" t="str">
        <f>'NKC2-%'!D99</f>
        <v>Equipments</v>
      </c>
      <c r="C89" s="104">
        <f>'NKC2-%'!F99</f>
        <v>33207814.05848429</v>
      </c>
      <c r="D89" s="87" t="str">
        <f>'NKC2-%'!G99</f>
        <v>A</v>
      </c>
      <c r="E89" s="109">
        <f>'NKC2-%'!K99*100</f>
        <v>0</v>
      </c>
      <c r="F89" s="109">
        <f>'NKC2-%'!M99*100</f>
        <v>0</v>
      </c>
      <c r="G89" s="109">
        <f>'NKC2-%'!N99*100</f>
        <v>0</v>
      </c>
      <c r="H89" s="109">
        <f>'NKC2-%'!O99*100</f>
        <v>0</v>
      </c>
      <c r="I89" s="109">
        <f>'NKC2-%'!P99*100</f>
        <v>0</v>
      </c>
      <c r="J89" s="109">
        <f>'NKC2-%'!Q99*100</f>
        <v>0</v>
      </c>
      <c r="K89" s="109">
        <f>'NKC2-%'!R99*100</f>
        <v>0</v>
      </c>
      <c r="L89" s="109">
        <f>'NKC2-%'!S99*100</f>
        <v>0</v>
      </c>
      <c r="M89" s="109">
        <f>'NKC2-%'!T99*100</f>
        <v>0</v>
      </c>
      <c r="N89" s="109">
        <f>'NKC2-%'!U99*100</f>
        <v>0</v>
      </c>
      <c r="O89" s="109">
        <f>'NKC2-%'!V99*100</f>
        <v>0</v>
      </c>
      <c r="P89" s="109">
        <f>'NKC2-%'!W99*100</f>
        <v>0</v>
      </c>
      <c r="Q89" s="109">
        <f>'NKC2-%'!X99*100</f>
        <v>0</v>
      </c>
      <c r="R89" s="109">
        <f>'NKC2-%'!Y99*100</f>
        <v>0</v>
      </c>
      <c r="S89" s="109">
        <f>'NKC2-%'!Z99*100</f>
        <v>0</v>
      </c>
      <c r="T89" s="109">
        <f>'NKC2-%'!AA99*100</f>
        <v>0</v>
      </c>
      <c r="U89" s="109">
        <f>'NKC2-%'!AB99*100</f>
        <v>0</v>
      </c>
      <c r="V89" s="109">
        <f>'NKC2-%'!AC99*100</f>
        <v>0</v>
      </c>
      <c r="W89" s="109">
        <f>'NKC2-%'!AD99*100</f>
        <v>0</v>
      </c>
      <c r="X89" s="109">
        <f>'NKC2-%'!AE99*100</f>
        <v>0</v>
      </c>
      <c r="Y89" s="109">
        <f>'NKC2-%'!AF99*100</f>
        <v>0</v>
      </c>
      <c r="Z89" s="109">
        <f>'NKC2-%'!AG99*100</f>
        <v>0</v>
      </c>
      <c r="AA89" s="109">
        <f>'NKC2-%'!AH99*100</f>
        <v>0</v>
      </c>
      <c r="AB89" s="109">
        <f>'NKC2-%'!AI99*100</f>
        <v>0</v>
      </c>
      <c r="AC89" s="109">
        <f>'NKC2-%'!AJ99*100</f>
        <v>0</v>
      </c>
      <c r="AD89" s="109">
        <f>'NKC2-%'!AK99*100</f>
        <v>0</v>
      </c>
      <c r="AE89" s="109">
        <f>'NKC2-%'!AL99*100</f>
        <v>0</v>
      </c>
      <c r="AF89" s="109">
        <f>'NKC2-%'!AM99*100</f>
        <v>0</v>
      </c>
      <c r="AG89" s="109">
        <f>'NKC2-%'!AN99*100</f>
        <v>0</v>
      </c>
      <c r="AH89" s="109">
        <f>'NKC2-%'!AO99*100</f>
        <v>0</v>
      </c>
      <c r="AI89" s="109">
        <f>'NKC2-%'!AP99*100</f>
        <v>0</v>
      </c>
      <c r="AJ89" s="109">
        <f>'NKC2-%'!AQ99*100</f>
        <v>0</v>
      </c>
      <c r="AK89" s="109">
        <f>'NKC2-%'!AR99*100</f>
        <v>0</v>
      </c>
      <c r="AL89" s="109">
        <f>'NKC2-%'!AS99*100</f>
        <v>0</v>
      </c>
      <c r="AM89" s="109">
        <f>'NKC2-%'!AT99*100</f>
        <v>0</v>
      </c>
      <c r="AN89" s="109">
        <f>'NKC2-%'!AU99*100</f>
        <v>0</v>
      </c>
      <c r="AO89" s="109">
        <f>'NKC2-%'!AV99*100</f>
        <v>0</v>
      </c>
      <c r="AP89" s="109">
        <f>'NKC2-%'!AW99*100</f>
        <v>0</v>
      </c>
      <c r="AQ89" s="109">
        <f>'NKC2-%'!AX99*100</f>
        <v>0</v>
      </c>
      <c r="AR89" s="109">
        <f>'NKC2-%'!AY99*100</f>
        <v>0</v>
      </c>
      <c r="AS89" s="109">
        <f>'NKC2-%'!AZ99*100</f>
        <v>0</v>
      </c>
      <c r="AT89" s="109">
        <f>'NKC2-%'!BA99*100</f>
        <v>0</v>
      </c>
      <c r="AU89" s="109">
        <f>'NKC2-%'!BB99*100</f>
        <v>0</v>
      </c>
      <c r="AV89" s="109">
        <f>'NKC2-%'!BC99*100</f>
        <v>0</v>
      </c>
      <c r="AW89" s="109">
        <f>'NKC2-%'!BD99*100</f>
        <v>0</v>
      </c>
      <c r="AX89" s="109">
        <f>'NKC2-%'!BE99*100</f>
        <v>0</v>
      </c>
      <c r="AY89" s="109">
        <f>'NKC2-%'!BF99*100</f>
        <v>0</v>
      </c>
      <c r="AZ89" s="109">
        <f>'NKC2-%'!BG99*100</f>
        <v>0</v>
      </c>
      <c r="BA89" s="109">
        <f>'NKC2-%'!BH99*100</f>
        <v>0</v>
      </c>
      <c r="BB89" s="109">
        <f>'NKC2-%'!BI99*100</f>
        <v>0</v>
      </c>
      <c r="BC89" s="109">
        <f>'NKC2-%'!BJ99*100</f>
        <v>0</v>
      </c>
      <c r="BD89" s="109">
        <f>'NKC2-%'!BK99*100</f>
        <v>0</v>
      </c>
      <c r="BE89" s="109">
        <f>'NKC2-%'!BL99*100</f>
        <v>0</v>
      </c>
      <c r="BF89" s="109">
        <f>'NKC2-%'!BM99*100</f>
        <v>0</v>
      </c>
      <c r="BG89" s="109">
        <f>'NKC2-%'!BN99*100</f>
        <v>0</v>
      </c>
      <c r="BH89" s="109">
        <f>'NKC2-%'!BO99*100</f>
        <v>0</v>
      </c>
      <c r="BI89" s="109">
        <f>'NKC2-%'!BP99*100</f>
        <v>0</v>
      </c>
      <c r="BJ89" s="109">
        <f>'NKC2-%'!BQ99*100</f>
        <v>0</v>
      </c>
      <c r="BK89" s="109">
        <f>'NKC2-%'!BR99*100</f>
        <v>0</v>
      </c>
      <c r="BL89" s="109">
        <f>'NKC2-%'!BS99*100</f>
        <v>0</v>
      </c>
      <c r="BM89" s="109">
        <f>'NKC2-%'!BT99*100</f>
        <v>0</v>
      </c>
      <c r="BN89" s="109">
        <f>'NKC2-%'!BU99*100</f>
        <v>0</v>
      </c>
      <c r="BO89" s="109">
        <f>'NKC2-%'!BV99*100</f>
        <v>0</v>
      </c>
      <c r="BP89" s="109">
        <f>'NKC2-%'!BW99*100</f>
        <v>0</v>
      </c>
      <c r="BQ89" s="109">
        <f>'NKC2-%'!BX99*100</f>
        <v>0</v>
      </c>
      <c r="BR89" s="109">
        <f>'NKC2-%'!BY99*100</f>
        <v>0</v>
      </c>
      <c r="BS89" s="109">
        <f>'NKC2-%'!BZ99*100</f>
        <v>0</v>
      </c>
      <c r="BT89" s="109">
        <f>'NKC2-%'!CA99*100</f>
        <v>0</v>
      </c>
      <c r="BU89" s="109">
        <f>'NKC2-%'!CB99*100</f>
        <v>0</v>
      </c>
      <c r="BV89" s="109">
        <f>'NKC2-%'!CC99*100</f>
        <v>0</v>
      </c>
      <c r="BW89" s="109">
        <f>'NKC2-%'!CD99*100</f>
        <v>0</v>
      </c>
      <c r="BX89" s="109">
        <f>'NKC2-%'!CE99*100</f>
        <v>0</v>
      </c>
      <c r="BY89" s="109">
        <f>'NKC2-%'!CF99*100</f>
        <v>0</v>
      </c>
      <c r="BZ89" s="109">
        <f>'NKC2-%'!CG99*100</f>
        <v>0</v>
      </c>
      <c r="CA89" s="109">
        <f>'NKC2-%'!CH99*100</f>
        <v>0</v>
      </c>
      <c r="CB89" s="109">
        <f>'NKC2-%'!CI99*100</f>
        <v>0</v>
      </c>
      <c r="CC89" s="109">
        <f>'NKC2-%'!CJ99*100</f>
        <v>0</v>
      </c>
      <c r="CD89" s="109">
        <f>'NKC2-%'!CK99*100</f>
        <v>0</v>
      </c>
      <c r="CE89" s="109">
        <f>'NKC2-%'!CL99*100</f>
        <v>0</v>
      </c>
      <c r="CF89" s="109">
        <f>'NKC2-%'!CM99*100</f>
        <v>0</v>
      </c>
      <c r="CG89" s="109">
        <f>'NKC2-%'!CN99*100</f>
        <v>0</v>
      </c>
      <c r="CH89" s="109">
        <f>'NKC2-%'!CO99*100</f>
        <v>0</v>
      </c>
      <c r="CI89" s="109">
        <f>'NKC2-%'!CP99*100</f>
        <v>0</v>
      </c>
    </row>
    <row r="90" spans="1:87" x14ac:dyDescent="0.45">
      <c r="A90" s="266" t="str">
        <f>'NKC2-%'!B100</f>
        <v>1.8.1</v>
      </c>
      <c r="B90" t="str">
        <f>'NKC2-%'!D100</f>
        <v>Sound | AV</v>
      </c>
      <c r="C90" s="104">
        <f>'NKC2-%'!F100</f>
        <v>7596119.9351565996</v>
      </c>
      <c r="D90" s="87" t="str">
        <f>'NKC2-%'!G100</f>
        <v>P</v>
      </c>
      <c r="E90" s="109">
        <f>'NKC2-%'!K100*100</f>
        <v>100</v>
      </c>
      <c r="F90" s="109">
        <f>'NKC2-%'!M100*100</f>
        <v>0</v>
      </c>
      <c r="G90" s="109">
        <f>'NKC2-%'!N100*100</f>
        <v>0</v>
      </c>
      <c r="H90" s="109">
        <f>'NKC2-%'!O100*100</f>
        <v>0</v>
      </c>
      <c r="I90" s="109">
        <f>'NKC2-%'!P100*100</f>
        <v>0</v>
      </c>
      <c r="J90" s="109">
        <f>'NKC2-%'!Q100*100</f>
        <v>0</v>
      </c>
      <c r="K90" s="109">
        <f>'NKC2-%'!R100*100</f>
        <v>0</v>
      </c>
      <c r="L90" s="109">
        <f>'NKC2-%'!S100*100</f>
        <v>0</v>
      </c>
      <c r="M90" s="109">
        <f>'NKC2-%'!T100*100</f>
        <v>0</v>
      </c>
      <c r="N90" s="109">
        <f>'NKC2-%'!U100*100</f>
        <v>0</v>
      </c>
      <c r="O90" s="109">
        <f>'NKC2-%'!V100*100</f>
        <v>0</v>
      </c>
      <c r="P90" s="109">
        <f>'NKC2-%'!W100*100</f>
        <v>0</v>
      </c>
      <c r="Q90" s="109">
        <f>'NKC2-%'!X100*100</f>
        <v>0</v>
      </c>
      <c r="R90" s="109">
        <f>'NKC2-%'!Y100*100</f>
        <v>0</v>
      </c>
      <c r="S90" s="109">
        <f>'NKC2-%'!Z100*100</f>
        <v>0</v>
      </c>
      <c r="T90" s="109">
        <f>'NKC2-%'!AA100*100</f>
        <v>0</v>
      </c>
      <c r="U90" s="109">
        <f>'NKC2-%'!AB100*100</f>
        <v>0</v>
      </c>
      <c r="V90" s="109">
        <f>'NKC2-%'!AC100*100</f>
        <v>0</v>
      </c>
      <c r="W90" s="109">
        <f>'NKC2-%'!AD100*100</f>
        <v>0</v>
      </c>
      <c r="X90" s="109">
        <f>'NKC2-%'!AE100*100</f>
        <v>0</v>
      </c>
      <c r="Y90" s="109">
        <f>'NKC2-%'!AF100*100</f>
        <v>0</v>
      </c>
      <c r="Z90" s="109">
        <f>'NKC2-%'!AG100*100</f>
        <v>0</v>
      </c>
      <c r="AA90" s="109">
        <f>'NKC2-%'!AH100*100</f>
        <v>0</v>
      </c>
      <c r="AB90" s="109">
        <f>'NKC2-%'!AI100*100</f>
        <v>0</v>
      </c>
      <c r="AC90" s="109">
        <f>'NKC2-%'!AJ100*100</f>
        <v>0</v>
      </c>
      <c r="AD90" s="109">
        <f>'NKC2-%'!AK100*100</f>
        <v>0</v>
      </c>
      <c r="AE90" s="109">
        <f>'NKC2-%'!AL100*100</f>
        <v>0</v>
      </c>
      <c r="AF90" s="109">
        <f>'NKC2-%'!AM100*100</f>
        <v>0</v>
      </c>
      <c r="AG90" s="109">
        <f>'NKC2-%'!AN100*100</f>
        <v>0</v>
      </c>
      <c r="AH90" s="109">
        <f>'NKC2-%'!AO100*100</f>
        <v>0</v>
      </c>
      <c r="AI90" s="109">
        <f>'NKC2-%'!AP100*100</f>
        <v>0</v>
      </c>
      <c r="AJ90" s="109">
        <f>'NKC2-%'!AQ100*100</f>
        <v>0</v>
      </c>
      <c r="AK90" s="109">
        <f>'NKC2-%'!AR100*100</f>
        <v>0</v>
      </c>
      <c r="AL90" s="109">
        <f>'NKC2-%'!AS100*100</f>
        <v>0</v>
      </c>
      <c r="AM90" s="109">
        <f>'NKC2-%'!AT100*100</f>
        <v>0</v>
      </c>
      <c r="AN90" s="109">
        <f>'NKC2-%'!AU100*100</f>
        <v>0</v>
      </c>
      <c r="AO90" s="109">
        <f>'NKC2-%'!AV100*100</f>
        <v>0</v>
      </c>
      <c r="AP90" s="109">
        <f>'NKC2-%'!AW100*100</f>
        <v>0</v>
      </c>
      <c r="AQ90" s="109">
        <f>'NKC2-%'!AX100*100</f>
        <v>0</v>
      </c>
      <c r="AR90" s="109">
        <f>'NKC2-%'!AY100*100</f>
        <v>0</v>
      </c>
      <c r="AS90" s="109">
        <f>'NKC2-%'!AZ100*100</f>
        <v>0</v>
      </c>
      <c r="AT90" s="109">
        <f>'NKC2-%'!BA100*100</f>
        <v>0</v>
      </c>
      <c r="AU90" s="109">
        <f>'NKC2-%'!BB100*100</f>
        <v>0</v>
      </c>
      <c r="AV90" s="109">
        <f>'NKC2-%'!BC100*100</f>
        <v>0</v>
      </c>
      <c r="AW90" s="109">
        <f>'NKC2-%'!BD100*100</f>
        <v>0</v>
      </c>
      <c r="AX90" s="109">
        <f>'NKC2-%'!BE100*100</f>
        <v>0</v>
      </c>
      <c r="AY90" s="109">
        <f>'NKC2-%'!BF100*100</f>
        <v>0</v>
      </c>
      <c r="AZ90" s="109">
        <f>'NKC2-%'!BG100*100</f>
        <v>0</v>
      </c>
      <c r="BA90" s="109">
        <f>'NKC2-%'!BH100*100</f>
        <v>0</v>
      </c>
      <c r="BB90" s="109">
        <f>'NKC2-%'!BI100*100</f>
        <v>0</v>
      </c>
      <c r="BC90" s="109">
        <f>'NKC2-%'!BJ100*100</f>
        <v>0</v>
      </c>
      <c r="BD90" s="109">
        <f>'NKC2-%'!BK100*100</f>
        <v>0</v>
      </c>
      <c r="BE90" s="109">
        <f>'NKC2-%'!BL100*100</f>
        <v>0</v>
      </c>
      <c r="BF90" s="109">
        <f>'NKC2-%'!BM100*100</f>
        <v>0</v>
      </c>
      <c r="BG90" s="109">
        <f>'NKC2-%'!BN100*100</f>
        <v>0</v>
      </c>
      <c r="BH90" s="109">
        <f>'NKC2-%'!BO100*100</f>
        <v>0</v>
      </c>
      <c r="BI90" s="109">
        <f>'NKC2-%'!BP100*100</f>
        <v>0</v>
      </c>
      <c r="BJ90" s="109">
        <f>'NKC2-%'!BQ100*100</f>
        <v>0</v>
      </c>
      <c r="BK90" s="109">
        <f>'NKC2-%'!BR100*100</f>
        <v>0</v>
      </c>
      <c r="BL90" s="109">
        <f>'NKC2-%'!BS100*100</f>
        <v>0</v>
      </c>
      <c r="BM90" s="109">
        <f>'NKC2-%'!BT100*100</f>
        <v>0</v>
      </c>
      <c r="BN90" s="109">
        <f>'NKC2-%'!BU100*100</f>
        <v>4</v>
      </c>
      <c r="BO90" s="109">
        <f>'NKC2-%'!BV100*100</f>
        <v>4</v>
      </c>
      <c r="BP90" s="109">
        <f>'NKC2-%'!BW100*100</f>
        <v>5</v>
      </c>
      <c r="BQ90" s="109">
        <f>'NKC2-%'!BX100*100</f>
        <v>5</v>
      </c>
      <c r="BR90" s="109">
        <f>'NKC2-%'!BY100*100</f>
        <v>10</v>
      </c>
      <c r="BS90" s="109">
        <f>'NKC2-%'!BZ100*100</f>
        <v>25</v>
      </c>
      <c r="BT90" s="109">
        <f>'NKC2-%'!CA100*100</f>
        <v>20</v>
      </c>
      <c r="BU90" s="109">
        <f>'NKC2-%'!CB100*100</f>
        <v>10</v>
      </c>
      <c r="BV90" s="109">
        <f>'NKC2-%'!CC100*100</f>
        <v>10</v>
      </c>
      <c r="BW90" s="109">
        <f>'NKC2-%'!CD100*100</f>
        <v>7.0000000000000009</v>
      </c>
      <c r="BX90" s="109">
        <f>'NKC2-%'!CE100*100</f>
        <v>0</v>
      </c>
      <c r="BY90" s="109">
        <f>'NKC2-%'!CF100*100</f>
        <v>0</v>
      </c>
      <c r="BZ90" s="109">
        <f>'NKC2-%'!CG100*100</f>
        <v>0</v>
      </c>
      <c r="CA90" s="109">
        <f>'NKC2-%'!CH100*100</f>
        <v>0</v>
      </c>
      <c r="CB90" s="109">
        <f>'NKC2-%'!CI100*100</f>
        <v>0</v>
      </c>
      <c r="CC90" s="109">
        <f>'NKC2-%'!CJ100*100</f>
        <v>0</v>
      </c>
      <c r="CD90" s="109">
        <f>'NKC2-%'!CK100*100</f>
        <v>0</v>
      </c>
      <c r="CE90" s="109">
        <f>'NKC2-%'!CL100*100</f>
        <v>0</v>
      </c>
      <c r="CF90" s="109">
        <f>'NKC2-%'!CM100*100</f>
        <v>0</v>
      </c>
      <c r="CG90" s="109">
        <f>'NKC2-%'!CN100*100</f>
        <v>0</v>
      </c>
      <c r="CH90" s="109">
        <f>'NKC2-%'!CO100*100</f>
        <v>0</v>
      </c>
      <c r="CI90" s="109">
        <f>'NKC2-%'!CP100*100</f>
        <v>0</v>
      </c>
    </row>
    <row r="91" spans="1:87" x14ac:dyDescent="0.45">
      <c r="A91" s="266" t="str">
        <f>'NKC2-%'!B101</f>
        <v>1.8.1</v>
      </c>
      <c r="B91" t="str">
        <f>'NKC2-%'!D101</f>
        <v>Sound | AV</v>
      </c>
      <c r="C91" s="104">
        <f>'NKC2-%'!F101</f>
        <v>7596119.9351565996</v>
      </c>
      <c r="D91" s="87" t="str">
        <f>'NKC2-%'!G101</f>
        <v>A</v>
      </c>
      <c r="E91" s="109">
        <f>'NKC2-%'!K101*100</f>
        <v>0</v>
      </c>
      <c r="F91" s="109">
        <f>'NKC2-%'!M101*100</f>
        <v>0</v>
      </c>
      <c r="G91" s="109">
        <f>'NKC2-%'!N101*100</f>
        <v>0</v>
      </c>
      <c r="H91" s="109">
        <f>'NKC2-%'!O101*100</f>
        <v>0</v>
      </c>
      <c r="I91" s="109">
        <f>'NKC2-%'!P101*100</f>
        <v>0</v>
      </c>
      <c r="J91" s="109">
        <f>'NKC2-%'!Q101*100</f>
        <v>0</v>
      </c>
      <c r="K91" s="109">
        <f>'NKC2-%'!R101*100</f>
        <v>0</v>
      </c>
      <c r="L91" s="109">
        <f>'NKC2-%'!S101*100</f>
        <v>0</v>
      </c>
      <c r="M91" s="109">
        <f>'NKC2-%'!T101*100</f>
        <v>0</v>
      </c>
      <c r="N91" s="109">
        <f>'NKC2-%'!U101*100</f>
        <v>0</v>
      </c>
      <c r="O91" s="109">
        <f>'NKC2-%'!V101*100</f>
        <v>0</v>
      </c>
      <c r="P91" s="109">
        <f>'NKC2-%'!W101*100</f>
        <v>0</v>
      </c>
      <c r="Q91" s="109">
        <f>'NKC2-%'!X101*100</f>
        <v>0</v>
      </c>
      <c r="R91" s="109">
        <f>'NKC2-%'!Y101*100</f>
        <v>0</v>
      </c>
      <c r="S91" s="109">
        <f>'NKC2-%'!Z101*100</f>
        <v>0</v>
      </c>
      <c r="T91" s="109">
        <f>'NKC2-%'!AA101*100</f>
        <v>0</v>
      </c>
      <c r="U91" s="109">
        <f>'NKC2-%'!AB101*100</f>
        <v>0</v>
      </c>
      <c r="V91" s="109">
        <f>'NKC2-%'!AC101*100</f>
        <v>0</v>
      </c>
      <c r="W91" s="109">
        <f>'NKC2-%'!AD101*100</f>
        <v>0</v>
      </c>
      <c r="X91" s="109">
        <f>'NKC2-%'!AE101*100</f>
        <v>0</v>
      </c>
      <c r="Y91" s="109">
        <f>'NKC2-%'!AF101*100</f>
        <v>0</v>
      </c>
      <c r="Z91" s="109">
        <f>'NKC2-%'!AG101*100</f>
        <v>0</v>
      </c>
      <c r="AA91" s="109">
        <f>'NKC2-%'!AH101*100</f>
        <v>0</v>
      </c>
      <c r="AB91" s="109">
        <f>'NKC2-%'!AI101*100</f>
        <v>0</v>
      </c>
      <c r="AC91" s="109">
        <f>'NKC2-%'!AJ101*100</f>
        <v>0</v>
      </c>
      <c r="AD91" s="109">
        <f>'NKC2-%'!AK101*100</f>
        <v>0</v>
      </c>
      <c r="AE91" s="109">
        <f>'NKC2-%'!AL101*100</f>
        <v>0</v>
      </c>
      <c r="AF91" s="109">
        <f>'NKC2-%'!AM101*100</f>
        <v>0</v>
      </c>
      <c r="AG91" s="109">
        <f>'NKC2-%'!AN101*100</f>
        <v>0</v>
      </c>
      <c r="AH91" s="109">
        <f>'NKC2-%'!AO101*100</f>
        <v>0</v>
      </c>
      <c r="AI91" s="109">
        <f>'NKC2-%'!AP101*100</f>
        <v>0</v>
      </c>
      <c r="AJ91" s="109">
        <f>'NKC2-%'!AQ101*100</f>
        <v>0</v>
      </c>
      <c r="AK91" s="109">
        <f>'NKC2-%'!AR101*100</f>
        <v>0</v>
      </c>
      <c r="AL91" s="109">
        <f>'NKC2-%'!AS101*100</f>
        <v>0</v>
      </c>
      <c r="AM91" s="109">
        <f>'NKC2-%'!AT101*100</f>
        <v>0</v>
      </c>
      <c r="AN91" s="109">
        <f>'NKC2-%'!AU101*100</f>
        <v>0</v>
      </c>
      <c r="AO91" s="109">
        <f>'NKC2-%'!AV101*100</f>
        <v>0</v>
      </c>
      <c r="AP91" s="109">
        <f>'NKC2-%'!AW101*100</f>
        <v>0</v>
      </c>
      <c r="AQ91" s="109">
        <f>'NKC2-%'!AX101*100</f>
        <v>0</v>
      </c>
      <c r="AR91" s="109">
        <f>'NKC2-%'!AY101*100</f>
        <v>0</v>
      </c>
      <c r="AS91" s="109">
        <f>'NKC2-%'!AZ101*100</f>
        <v>0</v>
      </c>
      <c r="AT91" s="109">
        <f>'NKC2-%'!BA101*100</f>
        <v>0</v>
      </c>
      <c r="AU91" s="109">
        <f>'NKC2-%'!BB101*100</f>
        <v>0</v>
      </c>
      <c r="AV91" s="109">
        <f>'NKC2-%'!BC101*100</f>
        <v>0</v>
      </c>
      <c r="AW91" s="109">
        <f>'NKC2-%'!BD101*100</f>
        <v>0</v>
      </c>
      <c r="AX91" s="109">
        <f>'NKC2-%'!BE101*100</f>
        <v>0</v>
      </c>
      <c r="AY91" s="109">
        <f>'NKC2-%'!BF101*100</f>
        <v>0</v>
      </c>
      <c r="AZ91" s="109">
        <f>'NKC2-%'!BG101*100</f>
        <v>0</v>
      </c>
      <c r="BA91" s="109">
        <f>'NKC2-%'!BH101*100</f>
        <v>0</v>
      </c>
      <c r="BB91" s="109">
        <f>'NKC2-%'!BI101*100</f>
        <v>0</v>
      </c>
      <c r="BC91" s="109">
        <f>'NKC2-%'!BJ101*100</f>
        <v>0</v>
      </c>
      <c r="BD91" s="109">
        <f>'NKC2-%'!BK101*100</f>
        <v>0</v>
      </c>
      <c r="BE91" s="109">
        <f>'NKC2-%'!BL101*100</f>
        <v>0</v>
      </c>
      <c r="BF91" s="109">
        <f>'NKC2-%'!BM101*100</f>
        <v>0</v>
      </c>
      <c r="BG91" s="109">
        <f>'NKC2-%'!BN101*100</f>
        <v>0</v>
      </c>
      <c r="BH91" s="109">
        <f>'NKC2-%'!BO101*100</f>
        <v>0</v>
      </c>
      <c r="BI91" s="109">
        <f>'NKC2-%'!BP101*100</f>
        <v>0</v>
      </c>
      <c r="BJ91" s="109">
        <f>'NKC2-%'!BQ101*100</f>
        <v>0</v>
      </c>
      <c r="BK91" s="109">
        <f>'NKC2-%'!BR101*100</f>
        <v>0</v>
      </c>
      <c r="BL91" s="109">
        <f>'NKC2-%'!BS101*100</f>
        <v>0</v>
      </c>
      <c r="BM91" s="109">
        <f>'NKC2-%'!BT101*100</f>
        <v>0</v>
      </c>
      <c r="BN91" s="109">
        <f>'NKC2-%'!BU101*100</f>
        <v>0</v>
      </c>
      <c r="BO91" s="109">
        <f>'NKC2-%'!BV101*100</f>
        <v>0</v>
      </c>
      <c r="BP91" s="109">
        <f>'NKC2-%'!BW101*100</f>
        <v>0</v>
      </c>
      <c r="BQ91" s="109">
        <f>'NKC2-%'!BX101*100</f>
        <v>0</v>
      </c>
      <c r="BR91" s="109">
        <f>'NKC2-%'!BY101*100</f>
        <v>0</v>
      </c>
      <c r="BS91" s="109">
        <f>'NKC2-%'!BZ101*100</f>
        <v>0</v>
      </c>
      <c r="BT91" s="109">
        <f>'NKC2-%'!CA101*100</f>
        <v>0</v>
      </c>
      <c r="BU91" s="109">
        <f>'NKC2-%'!CB101*100</f>
        <v>0</v>
      </c>
      <c r="BV91" s="109">
        <f>'NKC2-%'!CC101*100</f>
        <v>0</v>
      </c>
      <c r="BW91" s="109">
        <f>'NKC2-%'!CD101*100</f>
        <v>0</v>
      </c>
      <c r="BX91" s="109">
        <f>'NKC2-%'!CE101*100</f>
        <v>0</v>
      </c>
      <c r="BY91" s="109">
        <f>'NKC2-%'!CF101*100</f>
        <v>0</v>
      </c>
      <c r="BZ91" s="109">
        <f>'NKC2-%'!CG101*100</f>
        <v>0</v>
      </c>
      <c r="CA91" s="109">
        <f>'NKC2-%'!CH101*100</f>
        <v>0</v>
      </c>
      <c r="CB91" s="109">
        <f>'NKC2-%'!CI101*100</f>
        <v>0</v>
      </c>
      <c r="CC91" s="109">
        <f>'NKC2-%'!CJ101*100</f>
        <v>0</v>
      </c>
      <c r="CD91" s="109">
        <f>'NKC2-%'!CK101*100</f>
        <v>0</v>
      </c>
      <c r="CE91" s="109">
        <f>'NKC2-%'!CL101*100</f>
        <v>0</v>
      </c>
      <c r="CF91" s="109">
        <f>'NKC2-%'!CM101*100</f>
        <v>0</v>
      </c>
      <c r="CG91" s="109">
        <f>'NKC2-%'!CN101*100</f>
        <v>0</v>
      </c>
      <c r="CH91" s="109">
        <f>'NKC2-%'!CO101*100</f>
        <v>0</v>
      </c>
      <c r="CI91" s="109">
        <f>'NKC2-%'!CP101*100</f>
        <v>0</v>
      </c>
    </row>
    <row r="92" spans="1:87" x14ac:dyDescent="0.45">
      <c r="A92" s="266" t="str">
        <f>'NKC2-%'!B102</f>
        <v>1.8.2</v>
      </c>
      <c r="B92" t="str">
        <f>'NKC2-%'!D102</f>
        <v>Loose Fur.</v>
      </c>
      <c r="C92" s="104">
        <f>'NKC2-%'!F102</f>
        <v>13986053.81195155</v>
      </c>
      <c r="D92" s="87" t="str">
        <f>'NKC2-%'!G102</f>
        <v>P</v>
      </c>
      <c r="E92" s="109">
        <f>'NKC2-%'!K102*100</f>
        <v>100</v>
      </c>
      <c r="F92" s="109">
        <f>'NKC2-%'!M102*100</f>
        <v>0</v>
      </c>
      <c r="G92" s="109">
        <f>'NKC2-%'!N102*100</f>
        <v>0</v>
      </c>
      <c r="H92" s="109">
        <f>'NKC2-%'!O102*100</f>
        <v>0</v>
      </c>
      <c r="I92" s="109">
        <f>'NKC2-%'!P102*100</f>
        <v>0</v>
      </c>
      <c r="J92" s="109">
        <f>'NKC2-%'!Q102*100</f>
        <v>0</v>
      </c>
      <c r="K92" s="109">
        <f>'NKC2-%'!R102*100</f>
        <v>0</v>
      </c>
      <c r="L92" s="109">
        <f>'NKC2-%'!S102*100</f>
        <v>0</v>
      </c>
      <c r="M92" s="109">
        <f>'NKC2-%'!T102*100</f>
        <v>0</v>
      </c>
      <c r="N92" s="109">
        <f>'NKC2-%'!U102*100</f>
        <v>0</v>
      </c>
      <c r="O92" s="109">
        <f>'NKC2-%'!V102*100</f>
        <v>0</v>
      </c>
      <c r="P92" s="109">
        <f>'NKC2-%'!W102*100</f>
        <v>0</v>
      </c>
      <c r="Q92" s="109">
        <f>'NKC2-%'!X102*100</f>
        <v>0</v>
      </c>
      <c r="R92" s="109">
        <f>'NKC2-%'!Y102*100</f>
        <v>0</v>
      </c>
      <c r="S92" s="109">
        <f>'NKC2-%'!Z102*100</f>
        <v>0</v>
      </c>
      <c r="T92" s="109">
        <f>'NKC2-%'!AA102*100</f>
        <v>0</v>
      </c>
      <c r="U92" s="109">
        <f>'NKC2-%'!AB102*100</f>
        <v>0</v>
      </c>
      <c r="V92" s="109">
        <f>'NKC2-%'!AC102*100</f>
        <v>0</v>
      </c>
      <c r="W92" s="109">
        <f>'NKC2-%'!AD102*100</f>
        <v>0</v>
      </c>
      <c r="X92" s="109">
        <f>'NKC2-%'!AE102*100</f>
        <v>0</v>
      </c>
      <c r="Y92" s="109">
        <f>'NKC2-%'!AF102*100</f>
        <v>0</v>
      </c>
      <c r="Z92" s="109">
        <f>'NKC2-%'!AG102*100</f>
        <v>0</v>
      </c>
      <c r="AA92" s="109">
        <f>'NKC2-%'!AH102*100</f>
        <v>0</v>
      </c>
      <c r="AB92" s="109">
        <f>'NKC2-%'!AI102*100</f>
        <v>0</v>
      </c>
      <c r="AC92" s="109">
        <f>'NKC2-%'!AJ102*100</f>
        <v>0</v>
      </c>
      <c r="AD92" s="109">
        <f>'NKC2-%'!AK102*100</f>
        <v>0</v>
      </c>
      <c r="AE92" s="109">
        <f>'NKC2-%'!AL102*100</f>
        <v>0</v>
      </c>
      <c r="AF92" s="109">
        <f>'NKC2-%'!AM102*100</f>
        <v>0</v>
      </c>
      <c r="AG92" s="109">
        <f>'NKC2-%'!AN102*100</f>
        <v>0</v>
      </c>
      <c r="AH92" s="109">
        <f>'NKC2-%'!AO102*100</f>
        <v>0</v>
      </c>
      <c r="AI92" s="109">
        <f>'NKC2-%'!AP102*100</f>
        <v>0</v>
      </c>
      <c r="AJ92" s="109">
        <f>'NKC2-%'!AQ102*100</f>
        <v>0</v>
      </c>
      <c r="AK92" s="109">
        <f>'NKC2-%'!AR102*100</f>
        <v>0</v>
      </c>
      <c r="AL92" s="109">
        <f>'NKC2-%'!AS102*100</f>
        <v>0</v>
      </c>
      <c r="AM92" s="109">
        <f>'NKC2-%'!AT102*100</f>
        <v>0</v>
      </c>
      <c r="AN92" s="109">
        <f>'NKC2-%'!AU102*100</f>
        <v>0</v>
      </c>
      <c r="AO92" s="109">
        <f>'NKC2-%'!AV102*100</f>
        <v>0</v>
      </c>
      <c r="AP92" s="109">
        <f>'NKC2-%'!AW102*100</f>
        <v>0</v>
      </c>
      <c r="AQ92" s="109">
        <f>'NKC2-%'!AX102*100</f>
        <v>0</v>
      </c>
      <c r="AR92" s="109">
        <f>'NKC2-%'!AY102*100</f>
        <v>0</v>
      </c>
      <c r="AS92" s="109">
        <f>'NKC2-%'!AZ102*100</f>
        <v>0</v>
      </c>
      <c r="AT92" s="109">
        <f>'NKC2-%'!BA102*100</f>
        <v>0</v>
      </c>
      <c r="AU92" s="109">
        <f>'NKC2-%'!BB102*100</f>
        <v>0</v>
      </c>
      <c r="AV92" s="109">
        <f>'NKC2-%'!BC102*100</f>
        <v>0</v>
      </c>
      <c r="AW92" s="109">
        <f>'NKC2-%'!BD102*100</f>
        <v>0</v>
      </c>
      <c r="AX92" s="109">
        <f>'NKC2-%'!BE102*100</f>
        <v>0</v>
      </c>
      <c r="AY92" s="109">
        <f>'NKC2-%'!BF102*100</f>
        <v>0</v>
      </c>
      <c r="AZ92" s="109">
        <f>'NKC2-%'!BG102*100</f>
        <v>0</v>
      </c>
      <c r="BA92" s="109">
        <f>'NKC2-%'!BH102*100</f>
        <v>0</v>
      </c>
      <c r="BB92" s="109">
        <f>'NKC2-%'!BI102*100</f>
        <v>0</v>
      </c>
      <c r="BC92" s="109">
        <f>'NKC2-%'!BJ102*100</f>
        <v>0</v>
      </c>
      <c r="BD92" s="109">
        <f>'NKC2-%'!BK102*100</f>
        <v>0</v>
      </c>
      <c r="BE92" s="109">
        <f>'NKC2-%'!BL102*100</f>
        <v>0</v>
      </c>
      <c r="BF92" s="109">
        <f>'NKC2-%'!BM102*100</f>
        <v>0</v>
      </c>
      <c r="BG92" s="109">
        <f>'NKC2-%'!BN102*100</f>
        <v>0</v>
      </c>
      <c r="BH92" s="109">
        <f>'NKC2-%'!BO102*100</f>
        <v>0</v>
      </c>
      <c r="BI92" s="109">
        <f>'NKC2-%'!BP102*100</f>
        <v>0</v>
      </c>
      <c r="BJ92" s="109">
        <f>'NKC2-%'!BQ102*100</f>
        <v>0</v>
      </c>
      <c r="BK92" s="109">
        <f>'NKC2-%'!BR102*100</f>
        <v>0</v>
      </c>
      <c r="BL92" s="109">
        <f>'NKC2-%'!BS102*100</f>
        <v>0</v>
      </c>
      <c r="BM92" s="109">
        <f>'NKC2-%'!BT102*100</f>
        <v>0</v>
      </c>
      <c r="BN92" s="109">
        <f>'NKC2-%'!BU102*100</f>
        <v>0</v>
      </c>
      <c r="BO92" s="109">
        <f>'NKC2-%'!BV102*100</f>
        <v>0</v>
      </c>
      <c r="BP92" s="109">
        <f>'NKC2-%'!BW102*100</f>
        <v>0</v>
      </c>
      <c r="BQ92" s="109">
        <f>'NKC2-%'!BX102*100</f>
        <v>0</v>
      </c>
      <c r="BR92" s="109">
        <f>'NKC2-%'!BY102*100</f>
        <v>0</v>
      </c>
      <c r="BS92" s="109">
        <f>'NKC2-%'!BZ102*100</f>
        <v>10</v>
      </c>
      <c r="BT92" s="109">
        <f>'NKC2-%'!CA102*100</f>
        <v>10</v>
      </c>
      <c r="BU92" s="109">
        <f>'NKC2-%'!CB102*100</f>
        <v>15</v>
      </c>
      <c r="BV92" s="109">
        <f>'NKC2-%'!CC102*100</f>
        <v>15</v>
      </c>
      <c r="BW92" s="109">
        <f>'NKC2-%'!CD102*100</f>
        <v>15</v>
      </c>
      <c r="BX92" s="109">
        <f>'NKC2-%'!CE102*100</f>
        <v>15</v>
      </c>
      <c r="BY92" s="109">
        <f>'NKC2-%'!CF102*100</f>
        <v>10</v>
      </c>
      <c r="BZ92" s="109">
        <f>'NKC2-%'!CG102*100</f>
        <v>10</v>
      </c>
      <c r="CA92" s="109">
        <f>'NKC2-%'!CH102*100</f>
        <v>0</v>
      </c>
      <c r="CB92" s="109">
        <f>'NKC2-%'!CI102*100</f>
        <v>0</v>
      </c>
      <c r="CC92" s="109">
        <f>'NKC2-%'!CJ102*100</f>
        <v>0</v>
      </c>
      <c r="CD92" s="109">
        <f>'NKC2-%'!CK102*100</f>
        <v>0</v>
      </c>
      <c r="CE92" s="109">
        <f>'NKC2-%'!CL102*100</f>
        <v>0</v>
      </c>
      <c r="CF92" s="109">
        <f>'NKC2-%'!CM102*100</f>
        <v>0</v>
      </c>
      <c r="CG92" s="109">
        <f>'NKC2-%'!CN102*100</f>
        <v>0</v>
      </c>
      <c r="CH92" s="109">
        <f>'NKC2-%'!CO102*100</f>
        <v>0</v>
      </c>
      <c r="CI92" s="109">
        <f>'NKC2-%'!CP102*100</f>
        <v>0</v>
      </c>
    </row>
    <row r="93" spans="1:87" x14ac:dyDescent="0.45">
      <c r="A93" s="266" t="str">
        <f>'NKC2-%'!B103</f>
        <v>1.8.2</v>
      </c>
      <c r="B93" t="str">
        <f>'NKC2-%'!D103</f>
        <v>Loose Fur.</v>
      </c>
      <c r="C93" s="104">
        <f>'NKC2-%'!F103</f>
        <v>13986053.81195155</v>
      </c>
      <c r="D93" s="87" t="str">
        <f>'NKC2-%'!G103</f>
        <v>A</v>
      </c>
      <c r="E93" s="109">
        <f>'NKC2-%'!K103*100</f>
        <v>0</v>
      </c>
      <c r="F93" s="109">
        <f>'NKC2-%'!M103*100</f>
        <v>0</v>
      </c>
      <c r="G93" s="109">
        <f>'NKC2-%'!N103*100</f>
        <v>0</v>
      </c>
      <c r="H93" s="109">
        <f>'NKC2-%'!O103*100</f>
        <v>0</v>
      </c>
      <c r="I93" s="109">
        <f>'NKC2-%'!P103*100</f>
        <v>0</v>
      </c>
      <c r="J93" s="109">
        <f>'NKC2-%'!Q103*100</f>
        <v>0</v>
      </c>
      <c r="K93" s="109">
        <f>'NKC2-%'!R103*100</f>
        <v>0</v>
      </c>
      <c r="L93" s="109">
        <f>'NKC2-%'!S103*100</f>
        <v>0</v>
      </c>
      <c r="M93" s="109">
        <f>'NKC2-%'!T103*100</f>
        <v>0</v>
      </c>
      <c r="N93" s="109">
        <f>'NKC2-%'!U103*100</f>
        <v>0</v>
      </c>
      <c r="O93" s="109">
        <f>'NKC2-%'!V103*100</f>
        <v>0</v>
      </c>
      <c r="P93" s="109">
        <f>'NKC2-%'!W103*100</f>
        <v>0</v>
      </c>
      <c r="Q93" s="109">
        <f>'NKC2-%'!X103*100</f>
        <v>0</v>
      </c>
      <c r="R93" s="109">
        <f>'NKC2-%'!Y103*100</f>
        <v>0</v>
      </c>
      <c r="S93" s="109">
        <f>'NKC2-%'!Z103*100</f>
        <v>0</v>
      </c>
      <c r="T93" s="109">
        <f>'NKC2-%'!AA103*100</f>
        <v>0</v>
      </c>
      <c r="U93" s="109">
        <f>'NKC2-%'!AB103*100</f>
        <v>0</v>
      </c>
      <c r="V93" s="109">
        <f>'NKC2-%'!AC103*100</f>
        <v>0</v>
      </c>
      <c r="W93" s="109">
        <f>'NKC2-%'!AD103*100</f>
        <v>0</v>
      </c>
      <c r="X93" s="109">
        <f>'NKC2-%'!AE103*100</f>
        <v>0</v>
      </c>
      <c r="Y93" s="109">
        <f>'NKC2-%'!AF103*100</f>
        <v>0</v>
      </c>
      <c r="Z93" s="109">
        <f>'NKC2-%'!AG103*100</f>
        <v>0</v>
      </c>
      <c r="AA93" s="109">
        <f>'NKC2-%'!AH103*100</f>
        <v>0</v>
      </c>
      <c r="AB93" s="109">
        <f>'NKC2-%'!AI103*100</f>
        <v>0</v>
      </c>
      <c r="AC93" s="109">
        <f>'NKC2-%'!AJ103*100</f>
        <v>0</v>
      </c>
      <c r="AD93" s="109">
        <f>'NKC2-%'!AK103*100</f>
        <v>0</v>
      </c>
      <c r="AE93" s="109">
        <f>'NKC2-%'!AL103*100</f>
        <v>0</v>
      </c>
      <c r="AF93" s="109">
        <f>'NKC2-%'!AM103*100</f>
        <v>0</v>
      </c>
      <c r="AG93" s="109">
        <f>'NKC2-%'!AN103*100</f>
        <v>0</v>
      </c>
      <c r="AH93" s="109">
        <f>'NKC2-%'!AO103*100</f>
        <v>0</v>
      </c>
      <c r="AI93" s="109">
        <f>'NKC2-%'!AP103*100</f>
        <v>0</v>
      </c>
      <c r="AJ93" s="109">
        <f>'NKC2-%'!AQ103*100</f>
        <v>0</v>
      </c>
      <c r="AK93" s="109">
        <f>'NKC2-%'!AR103*100</f>
        <v>0</v>
      </c>
      <c r="AL93" s="109">
        <f>'NKC2-%'!AS103*100</f>
        <v>0</v>
      </c>
      <c r="AM93" s="109">
        <f>'NKC2-%'!AT103*100</f>
        <v>0</v>
      </c>
      <c r="AN93" s="109">
        <f>'NKC2-%'!AU103*100</f>
        <v>0</v>
      </c>
      <c r="AO93" s="109">
        <f>'NKC2-%'!AV103*100</f>
        <v>0</v>
      </c>
      <c r="AP93" s="109">
        <f>'NKC2-%'!AW103*100</f>
        <v>0</v>
      </c>
      <c r="AQ93" s="109">
        <f>'NKC2-%'!AX103*100</f>
        <v>0</v>
      </c>
      <c r="AR93" s="109">
        <f>'NKC2-%'!AY103*100</f>
        <v>0</v>
      </c>
      <c r="AS93" s="109">
        <f>'NKC2-%'!AZ103*100</f>
        <v>0</v>
      </c>
      <c r="AT93" s="109">
        <f>'NKC2-%'!BA103*100</f>
        <v>0</v>
      </c>
      <c r="AU93" s="109">
        <f>'NKC2-%'!BB103*100</f>
        <v>0</v>
      </c>
      <c r="AV93" s="109">
        <f>'NKC2-%'!BC103*100</f>
        <v>0</v>
      </c>
      <c r="AW93" s="109">
        <f>'NKC2-%'!BD103*100</f>
        <v>0</v>
      </c>
      <c r="AX93" s="109">
        <f>'NKC2-%'!BE103*100</f>
        <v>0</v>
      </c>
      <c r="AY93" s="109">
        <f>'NKC2-%'!BF103*100</f>
        <v>0</v>
      </c>
      <c r="AZ93" s="109">
        <f>'NKC2-%'!BG103*100</f>
        <v>0</v>
      </c>
      <c r="BA93" s="109">
        <f>'NKC2-%'!BH103*100</f>
        <v>0</v>
      </c>
      <c r="BB93" s="109">
        <f>'NKC2-%'!BI103*100</f>
        <v>0</v>
      </c>
      <c r="BC93" s="109">
        <f>'NKC2-%'!BJ103*100</f>
        <v>0</v>
      </c>
      <c r="BD93" s="109">
        <f>'NKC2-%'!BK103*100</f>
        <v>0</v>
      </c>
      <c r="BE93" s="109">
        <f>'NKC2-%'!BL103*100</f>
        <v>0</v>
      </c>
      <c r="BF93" s="109">
        <f>'NKC2-%'!BM103*100</f>
        <v>0</v>
      </c>
      <c r="BG93" s="109">
        <f>'NKC2-%'!BN103*100</f>
        <v>0</v>
      </c>
      <c r="BH93" s="109">
        <f>'NKC2-%'!BO103*100</f>
        <v>0</v>
      </c>
      <c r="BI93" s="109">
        <f>'NKC2-%'!BP103*100</f>
        <v>0</v>
      </c>
      <c r="BJ93" s="109">
        <f>'NKC2-%'!BQ103*100</f>
        <v>0</v>
      </c>
      <c r="BK93" s="109">
        <f>'NKC2-%'!BR103*100</f>
        <v>0</v>
      </c>
      <c r="BL93" s="109">
        <f>'NKC2-%'!BS103*100</f>
        <v>0</v>
      </c>
      <c r="BM93" s="109">
        <f>'NKC2-%'!BT103*100</f>
        <v>0</v>
      </c>
      <c r="BN93" s="109">
        <f>'NKC2-%'!BU103*100</f>
        <v>0</v>
      </c>
      <c r="BO93" s="109">
        <f>'NKC2-%'!BV103*100</f>
        <v>0</v>
      </c>
      <c r="BP93" s="109">
        <f>'NKC2-%'!BW103*100</f>
        <v>0</v>
      </c>
      <c r="BQ93" s="109">
        <f>'NKC2-%'!BX103*100</f>
        <v>0</v>
      </c>
      <c r="BR93" s="109">
        <f>'NKC2-%'!BY103*100</f>
        <v>0</v>
      </c>
      <c r="BS93" s="109">
        <f>'NKC2-%'!BZ103*100</f>
        <v>0</v>
      </c>
      <c r="BT93" s="109">
        <f>'NKC2-%'!CA103*100</f>
        <v>0</v>
      </c>
      <c r="BU93" s="109">
        <f>'NKC2-%'!CB103*100</f>
        <v>0</v>
      </c>
      <c r="BV93" s="109">
        <f>'NKC2-%'!CC103*100</f>
        <v>0</v>
      </c>
      <c r="BW93" s="109">
        <f>'NKC2-%'!CD103*100</f>
        <v>0</v>
      </c>
      <c r="BX93" s="109">
        <f>'NKC2-%'!CE103*100</f>
        <v>0</v>
      </c>
      <c r="BY93" s="109">
        <f>'NKC2-%'!CF103*100</f>
        <v>0</v>
      </c>
      <c r="BZ93" s="109">
        <f>'NKC2-%'!CG103*100</f>
        <v>0</v>
      </c>
      <c r="CA93" s="109">
        <f>'NKC2-%'!CH103*100</f>
        <v>0</v>
      </c>
      <c r="CB93" s="109">
        <f>'NKC2-%'!CI103*100</f>
        <v>0</v>
      </c>
      <c r="CC93" s="109">
        <f>'NKC2-%'!CJ103*100</f>
        <v>0</v>
      </c>
      <c r="CD93" s="109">
        <f>'NKC2-%'!CK103*100</f>
        <v>0</v>
      </c>
      <c r="CE93" s="109">
        <f>'NKC2-%'!CL103*100</f>
        <v>0</v>
      </c>
      <c r="CF93" s="109">
        <f>'NKC2-%'!CM103*100</f>
        <v>0</v>
      </c>
      <c r="CG93" s="109">
        <f>'NKC2-%'!CN103*100</f>
        <v>0</v>
      </c>
      <c r="CH93" s="109">
        <f>'NKC2-%'!CO103*100</f>
        <v>0</v>
      </c>
      <c r="CI93" s="109">
        <f>'NKC2-%'!CP103*100</f>
        <v>0</v>
      </c>
    </row>
    <row r="94" spans="1:87" x14ac:dyDescent="0.45">
      <c r="A94" s="266" t="str">
        <f>'NKC2-%'!B104</f>
        <v>1.8.5</v>
      </c>
      <c r="B94" t="str">
        <f>'NKC2-%'!D104</f>
        <v>Main Eq.</v>
      </c>
      <c r="C94" s="104">
        <f>'NKC2-%'!F104</f>
        <v>10865162.9637</v>
      </c>
      <c r="D94" s="87" t="str">
        <f>'NKC2-%'!G104</f>
        <v>P</v>
      </c>
      <c r="E94" s="109">
        <f>'NKC2-%'!K104*100</f>
        <v>100</v>
      </c>
      <c r="F94" s="109">
        <f>'NKC2-%'!M104*100</f>
        <v>0</v>
      </c>
      <c r="G94" s="109">
        <f>'NKC2-%'!N104*100</f>
        <v>0</v>
      </c>
      <c r="H94" s="109">
        <f>'NKC2-%'!O104*100</f>
        <v>0</v>
      </c>
      <c r="I94" s="109">
        <f>'NKC2-%'!P104*100</f>
        <v>0</v>
      </c>
      <c r="J94" s="109">
        <f>'NKC2-%'!Q104*100</f>
        <v>0</v>
      </c>
      <c r="K94" s="109">
        <f>'NKC2-%'!R104*100</f>
        <v>0</v>
      </c>
      <c r="L94" s="109">
        <f>'NKC2-%'!S104*100</f>
        <v>0</v>
      </c>
      <c r="M94" s="109">
        <f>'NKC2-%'!T104*100</f>
        <v>0</v>
      </c>
      <c r="N94" s="109">
        <f>'NKC2-%'!U104*100</f>
        <v>0</v>
      </c>
      <c r="O94" s="109">
        <f>'NKC2-%'!V104*100</f>
        <v>0</v>
      </c>
      <c r="P94" s="109">
        <f>'NKC2-%'!W104*100</f>
        <v>0</v>
      </c>
      <c r="Q94" s="109">
        <f>'NKC2-%'!X104*100</f>
        <v>0</v>
      </c>
      <c r="R94" s="109">
        <f>'NKC2-%'!Y104*100</f>
        <v>0</v>
      </c>
      <c r="S94" s="109">
        <f>'NKC2-%'!Z104*100</f>
        <v>0</v>
      </c>
      <c r="T94" s="109">
        <f>'NKC2-%'!AA104*100</f>
        <v>0</v>
      </c>
      <c r="U94" s="109">
        <f>'NKC2-%'!AB104*100</f>
        <v>0</v>
      </c>
      <c r="V94" s="109">
        <f>'NKC2-%'!AC104*100</f>
        <v>0</v>
      </c>
      <c r="W94" s="109">
        <f>'NKC2-%'!AD104*100</f>
        <v>0</v>
      </c>
      <c r="X94" s="109">
        <f>'NKC2-%'!AE104*100</f>
        <v>0</v>
      </c>
      <c r="Y94" s="109">
        <f>'NKC2-%'!AF104*100</f>
        <v>0</v>
      </c>
      <c r="Z94" s="109">
        <f>'NKC2-%'!AG104*100</f>
        <v>0</v>
      </c>
      <c r="AA94" s="109">
        <f>'NKC2-%'!AH104*100</f>
        <v>0</v>
      </c>
      <c r="AB94" s="109">
        <f>'NKC2-%'!AI104*100</f>
        <v>0</v>
      </c>
      <c r="AC94" s="109">
        <f>'NKC2-%'!AJ104*100</f>
        <v>0</v>
      </c>
      <c r="AD94" s="109">
        <f>'NKC2-%'!AK104*100</f>
        <v>0</v>
      </c>
      <c r="AE94" s="109">
        <f>'NKC2-%'!AL104*100</f>
        <v>0</v>
      </c>
      <c r="AF94" s="109">
        <f>'NKC2-%'!AM104*100</f>
        <v>0</v>
      </c>
      <c r="AG94" s="109">
        <f>'NKC2-%'!AN104*100</f>
        <v>0</v>
      </c>
      <c r="AH94" s="109">
        <f>'NKC2-%'!AO104*100</f>
        <v>0</v>
      </c>
      <c r="AI94" s="109">
        <f>'NKC2-%'!AP104*100</f>
        <v>0</v>
      </c>
      <c r="AJ94" s="109">
        <f>'NKC2-%'!AQ104*100</f>
        <v>0</v>
      </c>
      <c r="AK94" s="109">
        <f>'NKC2-%'!AR104*100</f>
        <v>0</v>
      </c>
      <c r="AL94" s="109">
        <f>'NKC2-%'!AS104*100</f>
        <v>0</v>
      </c>
      <c r="AM94" s="109">
        <f>'NKC2-%'!AT104*100</f>
        <v>0</v>
      </c>
      <c r="AN94" s="109">
        <f>'NKC2-%'!AU104*100</f>
        <v>0</v>
      </c>
      <c r="AO94" s="109">
        <f>'NKC2-%'!AV104*100</f>
        <v>0</v>
      </c>
      <c r="AP94" s="109">
        <f>'NKC2-%'!AW104*100</f>
        <v>0</v>
      </c>
      <c r="AQ94" s="109">
        <f>'NKC2-%'!AX104*100</f>
        <v>0</v>
      </c>
      <c r="AR94" s="109">
        <f>'NKC2-%'!AY104*100</f>
        <v>0</v>
      </c>
      <c r="AS94" s="109">
        <f>'NKC2-%'!AZ104*100</f>
        <v>0</v>
      </c>
      <c r="AT94" s="109">
        <f>'NKC2-%'!BA104*100</f>
        <v>0</v>
      </c>
      <c r="AU94" s="109">
        <f>'NKC2-%'!BB104*100</f>
        <v>0</v>
      </c>
      <c r="AV94" s="109">
        <f>'NKC2-%'!BC104*100</f>
        <v>0</v>
      </c>
      <c r="AW94" s="109">
        <f>'NKC2-%'!BD104*100</f>
        <v>0</v>
      </c>
      <c r="AX94" s="109">
        <f>'NKC2-%'!BE104*100</f>
        <v>0</v>
      </c>
      <c r="AY94" s="109">
        <f>'NKC2-%'!BF104*100</f>
        <v>0</v>
      </c>
      <c r="AZ94" s="109">
        <f>'NKC2-%'!BG104*100</f>
        <v>0</v>
      </c>
      <c r="BA94" s="109">
        <f>'NKC2-%'!BH104*100</f>
        <v>0</v>
      </c>
      <c r="BB94" s="109">
        <f>'NKC2-%'!BI104*100</f>
        <v>0</v>
      </c>
      <c r="BC94" s="109">
        <f>'NKC2-%'!BJ104*100</f>
        <v>0</v>
      </c>
      <c r="BD94" s="109">
        <f>'NKC2-%'!BK104*100</f>
        <v>0</v>
      </c>
      <c r="BE94" s="109">
        <f>'NKC2-%'!BL104*100</f>
        <v>0</v>
      </c>
      <c r="BF94" s="109">
        <f>'NKC2-%'!BM104*100</f>
        <v>0</v>
      </c>
      <c r="BG94" s="109">
        <f>'NKC2-%'!BN104*100</f>
        <v>0</v>
      </c>
      <c r="BH94" s="109">
        <f>'NKC2-%'!BO104*100</f>
        <v>0</v>
      </c>
      <c r="BI94" s="109">
        <f>'NKC2-%'!BP104*100</f>
        <v>0</v>
      </c>
      <c r="BJ94" s="109">
        <f>'NKC2-%'!BQ104*100</f>
        <v>0</v>
      </c>
      <c r="BK94" s="109">
        <f>'NKC2-%'!BR104*100</f>
        <v>0</v>
      </c>
      <c r="BL94" s="109">
        <f>'NKC2-%'!BS104*100</f>
        <v>0</v>
      </c>
      <c r="BM94" s="109">
        <f>'NKC2-%'!BT104*100</f>
        <v>0</v>
      </c>
      <c r="BN94" s="109">
        <f>'NKC2-%'!BU104*100</f>
        <v>5</v>
      </c>
      <c r="BO94" s="109">
        <f>'NKC2-%'!BV104*100</f>
        <v>5</v>
      </c>
      <c r="BP94" s="109">
        <f>'NKC2-%'!BW104*100</f>
        <v>5</v>
      </c>
      <c r="BQ94" s="109">
        <f>'NKC2-%'!BX104*100</f>
        <v>10</v>
      </c>
      <c r="BR94" s="109">
        <f>'NKC2-%'!BY104*100</f>
        <v>10</v>
      </c>
      <c r="BS94" s="109">
        <f>'NKC2-%'!BZ104*100</f>
        <v>10</v>
      </c>
      <c r="BT94" s="109">
        <f>'NKC2-%'!CA104*100</f>
        <v>10</v>
      </c>
      <c r="BU94" s="109">
        <f>'NKC2-%'!CB104*100</f>
        <v>10</v>
      </c>
      <c r="BV94" s="109">
        <f>'NKC2-%'!CC104*100</f>
        <v>10</v>
      </c>
      <c r="BW94" s="109">
        <f>'NKC2-%'!CD104*100</f>
        <v>10</v>
      </c>
      <c r="BX94" s="109">
        <f>'NKC2-%'!CE104*100</f>
        <v>5</v>
      </c>
      <c r="BY94" s="109">
        <f>'NKC2-%'!CF104*100</f>
        <v>5</v>
      </c>
      <c r="BZ94" s="109">
        <f>'NKC2-%'!CG104*100</f>
        <v>5</v>
      </c>
      <c r="CA94" s="109">
        <f>'NKC2-%'!CH104*100</f>
        <v>0</v>
      </c>
      <c r="CB94" s="109">
        <f>'NKC2-%'!CI104*100</f>
        <v>0</v>
      </c>
      <c r="CC94" s="109">
        <f>'NKC2-%'!CJ104*100</f>
        <v>0</v>
      </c>
      <c r="CD94" s="109">
        <f>'NKC2-%'!CK104*100</f>
        <v>0</v>
      </c>
      <c r="CE94" s="109">
        <f>'NKC2-%'!CL104*100</f>
        <v>0</v>
      </c>
      <c r="CF94" s="109">
        <f>'NKC2-%'!CM104*100</f>
        <v>0</v>
      </c>
      <c r="CG94" s="109">
        <f>'NKC2-%'!CN104*100</f>
        <v>0</v>
      </c>
      <c r="CH94" s="109">
        <f>'NKC2-%'!CO104*100</f>
        <v>0</v>
      </c>
      <c r="CI94" s="109">
        <f>'NKC2-%'!CP104*100</f>
        <v>0</v>
      </c>
    </row>
    <row r="95" spans="1:87" x14ac:dyDescent="0.45">
      <c r="A95" s="266" t="str">
        <f>'NKC2-%'!B105</f>
        <v>1.8.5</v>
      </c>
      <c r="B95" t="str">
        <f>'NKC2-%'!D105</f>
        <v>Main Eq.</v>
      </c>
      <c r="C95" s="104">
        <f>'NKC2-%'!F105</f>
        <v>10865162.9637</v>
      </c>
      <c r="D95" s="87" t="str">
        <f>'NKC2-%'!G105</f>
        <v>A</v>
      </c>
      <c r="E95" s="109">
        <f>'NKC2-%'!K105*100</f>
        <v>0</v>
      </c>
      <c r="F95" s="109">
        <f>'NKC2-%'!M105*100</f>
        <v>0</v>
      </c>
      <c r="G95" s="109">
        <f>'NKC2-%'!N105*100</f>
        <v>0</v>
      </c>
      <c r="H95" s="109">
        <f>'NKC2-%'!O105*100</f>
        <v>0</v>
      </c>
      <c r="I95" s="109">
        <f>'NKC2-%'!P105*100</f>
        <v>0</v>
      </c>
      <c r="J95" s="109">
        <f>'NKC2-%'!Q105*100</f>
        <v>0</v>
      </c>
      <c r="K95" s="109">
        <f>'NKC2-%'!R105*100</f>
        <v>0</v>
      </c>
      <c r="L95" s="109">
        <f>'NKC2-%'!S105*100</f>
        <v>0</v>
      </c>
      <c r="M95" s="109">
        <f>'NKC2-%'!T105*100</f>
        <v>0</v>
      </c>
      <c r="N95" s="109">
        <f>'NKC2-%'!U105*100</f>
        <v>0</v>
      </c>
      <c r="O95" s="109">
        <f>'NKC2-%'!V105*100</f>
        <v>0</v>
      </c>
      <c r="P95" s="109">
        <f>'NKC2-%'!W105*100</f>
        <v>0</v>
      </c>
      <c r="Q95" s="109">
        <f>'NKC2-%'!X105*100</f>
        <v>0</v>
      </c>
      <c r="R95" s="109">
        <f>'NKC2-%'!Y105*100</f>
        <v>0</v>
      </c>
      <c r="S95" s="109">
        <f>'NKC2-%'!Z105*100</f>
        <v>0</v>
      </c>
      <c r="T95" s="109">
        <f>'NKC2-%'!AA105*100</f>
        <v>0</v>
      </c>
      <c r="U95" s="109">
        <f>'NKC2-%'!AB105*100</f>
        <v>0</v>
      </c>
      <c r="V95" s="109">
        <f>'NKC2-%'!AC105*100</f>
        <v>0</v>
      </c>
      <c r="W95" s="109">
        <f>'NKC2-%'!AD105*100</f>
        <v>0</v>
      </c>
      <c r="X95" s="109">
        <f>'NKC2-%'!AE105*100</f>
        <v>0</v>
      </c>
      <c r="Y95" s="109">
        <f>'NKC2-%'!AF105*100</f>
        <v>0</v>
      </c>
      <c r="Z95" s="109">
        <f>'NKC2-%'!AG105*100</f>
        <v>0</v>
      </c>
      <c r="AA95" s="109">
        <f>'NKC2-%'!AH105*100</f>
        <v>0</v>
      </c>
      <c r="AB95" s="109">
        <f>'NKC2-%'!AI105*100</f>
        <v>0</v>
      </c>
      <c r="AC95" s="109">
        <f>'NKC2-%'!AJ105*100</f>
        <v>0</v>
      </c>
      <c r="AD95" s="109">
        <f>'NKC2-%'!AK105*100</f>
        <v>0</v>
      </c>
      <c r="AE95" s="109">
        <f>'NKC2-%'!AL105*100</f>
        <v>0</v>
      </c>
      <c r="AF95" s="109">
        <f>'NKC2-%'!AM105*100</f>
        <v>0</v>
      </c>
      <c r="AG95" s="109">
        <f>'NKC2-%'!AN105*100</f>
        <v>0</v>
      </c>
      <c r="AH95" s="109">
        <f>'NKC2-%'!AO105*100</f>
        <v>0</v>
      </c>
      <c r="AI95" s="109">
        <f>'NKC2-%'!AP105*100</f>
        <v>0</v>
      </c>
      <c r="AJ95" s="109">
        <f>'NKC2-%'!AQ105*100</f>
        <v>0</v>
      </c>
      <c r="AK95" s="109">
        <f>'NKC2-%'!AR105*100</f>
        <v>0</v>
      </c>
      <c r="AL95" s="109">
        <f>'NKC2-%'!AS105*100</f>
        <v>0</v>
      </c>
      <c r="AM95" s="109">
        <f>'NKC2-%'!AT105*100</f>
        <v>0</v>
      </c>
      <c r="AN95" s="109">
        <f>'NKC2-%'!AU105*100</f>
        <v>0</v>
      </c>
      <c r="AO95" s="109">
        <f>'NKC2-%'!AV105*100</f>
        <v>0</v>
      </c>
      <c r="AP95" s="109">
        <f>'NKC2-%'!AW105*100</f>
        <v>0</v>
      </c>
      <c r="AQ95" s="109">
        <f>'NKC2-%'!AX105*100</f>
        <v>0</v>
      </c>
      <c r="AR95" s="109">
        <f>'NKC2-%'!AY105*100</f>
        <v>0</v>
      </c>
      <c r="AS95" s="109">
        <f>'NKC2-%'!AZ105*100</f>
        <v>0</v>
      </c>
      <c r="AT95" s="109">
        <f>'NKC2-%'!BA105*100</f>
        <v>0</v>
      </c>
      <c r="AU95" s="109">
        <f>'NKC2-%'!BB105*100</f>
        <v>0</v>
      </c>
      <c r="AV95" s="109">
        <f>'NKC2-%'!BC105*100</f>
        <v>0</v>
      </c>
      <c r="AW95" s="109">
        <f>'NKC2-%'!BD105*100</f>
        <v>0</v>
      </c>
      <c r="AX95" s="109">
        <f>'NKC2-%'!BE105*100</f>
        <v>0</v>
      </c>
      <c r="AY95" s="109">
        <f>'NKC2-%'!BF105*100</f>
        <v>0</v>
      </c>
      <c r="AZ95" s="109">
        <f>'NKC2-%'!BG105*100</f>
        <v>0</v>
      </c>
      <c r="BA95" s="109">
        <f>'NKC2-%'!BH105*100</f>
        <v>0</v>
      </c>
      <c r="BB95" s="109">
        <f>'NKC2-%'!BI105*100</f>
        <v>0</v>
      </c>
      <c r="BC95" s="109">
        <f>'NKC2-%'!BJ105*100</f>
        <v>0</v>
      </c>
      <c r="BD95" s="109">
        <f>'NKC2-%'!BK105*100</f>
        <v>0</v>
      </c>
      <c r="BE95" s="109">
        <f>'NKC2-%'!BL105*100</f>
        <v>0</v>
      </c>
      <c r="BF95" s="109">
        <f>'NKC2-%'!BM105*100</f>
        <v>0</v>
      </c>
      <c r="BG95" s="109">
        <f>'NKC2-%'!BN105*100</f>
        <v>0</v>
      </c>
      <c r="BH95" s="109">
        <f>'NKC2-%'!BO105*100</f>
        <v>0</v>
      </c>
      <c r="BI95" s="109">
        <f>'NKC2-%'!BP105*100</f>
        <v>0</v>
      </c>
      <c r="BJ95" s="109">
        <f>'NKC2-%'!BQ105*100</f>
        <v>0</v>
      </c>
      <c r="BK95" s="109">
        <f>'NKC2-%'!BR105*100</f>
        <v>0</v>
      </c>
      <c r="BL95" s="109">
        <f>'NKC2-%'!BS105*100</f>
        <v>0</v>
      </c>
      <c r="BM95" s="109">
        <f>'NKC2-%'!BT105*100</f>
        <v>0</v>
      </c>
      <c r="BN95" s="109">
        <f>'NKC2-%'!BU105*100</f>
        <v>0</v>
      </c>
      <c r="BO95" s="109">
        <f>'NKC2-%'!BV105*100</f>
        <v>0</v>
      </c>
      <c r="BP95" s="109">
        <f>'NKC2-%'!BW105*100</f>
        <v>0</v>
      </c>
      <c r="BQ95" s="109">
        <f>'NKC2-%'!BX105*100</f>
        <v>0</v>
      </c>
      <c r="BR95" s="109">
        <f>'NKC2-%'!BY105*100</f>
        <v>0</v>
      </c>
      <c r="BS95" s="109">
        <f>'NKC2-%'!BZ105*100</f>
        <v>0</v>
      </c>
      <c r="BT95" s="109">
        <f>'NKC2-%'!CA105*100</f>
        <v>0</v>
      </c>
      <c r="BU95" s="109">
        <f>'NKC2-%'!CB105*100</f>
        <v>0</v>
      </c>
      <c r="BV95" s="109">
        <f>'NKC2-%'!CC105*100</f>
        <v>0</v>
      </c>
      <c r="BW95" s="109">
        <f>'NKC2-%'!CD105*100</f>
        <v>0</v>
      </c>
      <c r="BX95" s="109">
        <f>'NKC2-%'!CE105*100</f>
        <v>0</v>
      </c>
      <c r="BY95" s="109">
        <f>'NKC2-%'!CF105*100</f>
        <v>0</v>
      </c>
      <c r="BZ95" s="109">
        <f>'NKC2-%'!CG105*100</f>
        <v>0</v>
      </c>
      <c r="CA95" s="109">
        <f>'NKC2-%'!CH105*100</f>
        <v>0</v>
      </c>
      <c r="CB95" s="109">
        <f>'NKC2-%'!CI105*100</f>
        <v>0</v>
      </c>
      <c r="CC95" s="109">
        <f>'NKC2-%'!CJ105*100</f>
        <v>0</v>
      </c>
      <c r="CD95" s="109">
        <f>'NKC2-%'!CK105*100</f>
        <v>0</v>
      </c>
      <c r="CE95" s="109">
        <f>'NKC2-%'!CL105*100</f>
        <v>0</v>
      </c>
      <c r="CF95" s="109">
        <f>'NKC2-%'!CM105*100</f>
        <v>0</v>
      </c>
      <c r="CG95" s="109">
        <f>'NKC2-%'!CN105*100</f>
        <v>0</v>
      </c>
      <c r="CH95" s="109">
        <f>'NKC2-%'!CO105*100</f>
        <v>0</v>
      </c>
      <c r="CI95" s="109">
        <f>'NKC2-%'!CP105*100</f>
        <v>0</v>
      </c>
    </row>
    <row r="96" spans="1:87" x14ac:dyDescent="0.45">
      <c r="A96" s="266" t="str">
        <f>'NKC2-%'!B106</f>
        <v>1.8.6</v>
      </c>
      <c r="B96" t="str">
        <f>'NKC2-%'!D106</f>
        <v>Soft Scape Eq.</v>
      </c>
      <c r="C96" s="104">
        <f>'NKC2-%'!F106</f>
        <v>760477.34767614095</v>
      </c>
      <c r="D96" s="87" t="str">
        <f>'NKC2-%'!G106</f>
        <v>P</v>
      </c>
      <c r="E96" s="109">
        <f>'NKC2-%'!K106*100</f>
        <v>100</v>
      </c>
      <c r="F96" s="109">
        <f>'NKC2-%'!M106*100</f>
        <v>0</v>
      </c>
      <c r="G96" s="109">
        <f>'NKC2-%'!N106*100</f>
        <v>0</v>
      </c>
      <c r="H96" s="109">
        <f>'NKC2-%'!O106*100</f>
        <v>0</v>
      </c>
      <c r="I96" s="109">
        <f>'NKC2-%'!P106*100</f>
        <v>0</v>
      </c>
      <c r="J96" s="109">
        <f>'NKC2-%'!Q106*100</f>
        <v>0</v>
      </c>
      <c r="K96" s="109">
        <f>'NKC2-%'!R106*100</f>
        <v>0</v>
      </c>
      <c r="L96" s="109">
        <f>'NKC2-%'!S106*100</f>
        <v>0</v>
      </c>
      <c r="M96" s="109">
        <f>'NKC2-%'!T106*100</f>
        <v>0</v>
      </c>
      <c r="N96" s="109">
        <f>'NKC2-%'!U106*100</f>
        <v>0</v>
      </c>
      <c r="O96" s="109">
        <f>'NKC2-%'!V106*100</f>
        <v>0</v>
      </c>
      <c r="P96" s="109">
        <f>'NKC2-%'!W106*100</f>
        <v>0</v>
      </c>
      <c r="Q96" s="109">
        <f>'NKC2-%'!X106*100</f>
        <v>0</v>
      </c>
      <c r="R96" s="109">
        <f>'NKC2-%'!Y106*100</f>
        <v>0</v>
      </c>
      <c r="S96" s="109">
        <f>'NKC2-%'!Z106*100</f>
        <v>0</v>
      </c>
      <c r="T96" s="109">
        <f>'NKC2-%'!AA106*100</f>
        <v>0</v>
      </c>
      <c r="U96" s="109">
        <f>'NKC2-%'!AB106*100</f>
        <v>0</v>
      </c>
      <c r="V96" s="109">
        <f>'NKC2-%'!AC106*100</f>
        <v>0</v>
      </c>
      <c r="W96" s="109">
        <f>'NKC2-%'!AD106*100</f>
        <v>0</v>
      </c>
      <c r="X96" s="109">
        <f>'NKC2-%'!AE106*100</f>
        <v>0</v>
      </c>
      <c r="Y96" s="109">
        <f>'NKC2-%'!AF106*100</f>
        <v>0</v>
      </c>
      <c r="Z96" s="109">
        <f>'NKC2-%'!AG106*100</f>
        <v>0</v>
      </c>
      <c r="AA96" s="109">
        <f>'NKC2-%'!AH106*100</f>
        <v>0</v>
      </c>
      <c r="AB96" s="109">
        <f>'NKC2-%'!AI106*100</f>
        <v>0</v>
      </c>
      <c r="AC96" s="109">
        <f>'NKC2-%'!AJ106*100</f>
        <v>0</v>
      </c>
      <c r="AD96" s="109">
        <f>'NKC2-%'!AK106*100</f>
        <v>0</v>
      </c>
      <c r="AE96" s="109">
        <f>'NKC2-%'!AL106*100</f>
        <v>0</v>
      </c>
      <c r="AF96" s="109">
        <f>'NKC2-%'!AM106*100</f>
        <v>0</v>
      </c>
      <c r="AG96" s="109">
        <f>'NKC2-%'!AN106*100</f>
        <v>0</v>
      </c>
      <c r="AH96" s="109">
        <f>'NKC2-%'!AO106*100</f>
        <v>0</v>
      </c>
      <c r="AI96" s="109">
        <f>'NKC2-%'!AP106*100</f>
        <v>0</v>
      </c>
      <c r="AJ96" s="109">
        <f>'NKC2-%'!AQ106*100</f>
        <v>0</v>
      </c>
      <c r="AK96" s="109">
        <f>'NKC2-%'!AR106*100</f>
        <v>0</v>
      </c>
      <c r="AL96" s="109">
        <f>'NKC2-%'!AS106*100</f>
        <v>0</v>
      </c>
      <c r="AM96" s="109">
        <f>'NKC2-%'!AT106*100</f>
        <v>0</v>
      </c>
      <c r="AN96" s="109">
        <f>'NKC2-%'!AU106*100</f>
        <v>0</v>
      </c>
      <c r="AO96" s="109">
        <f>'NKC2-%'!AV106*100</f>
        <v>0</v>
      </c>
      <c r="AP96" s="109">
        <f>'NKC2-%'!AW106*100</f>
        <v>0</v>
      </c>
      <c r="AQ96" s="109">
        <f>'NKC2-%'!AX106*100</f>
        <v>0</v>
      </c>
      <c r="AR96" s="109">
        <f>'NKC2-%'!AY106*100</f>
        <v>0</v>
      </c>
      <c r="AS96" s="109">
        <f>'NKC2-%'!AZ106*100</f>
        <v>0</v>
      </c>
      <c r="AT96" s="109">
        <f>'NKC2-%'!BA106*100</f>
        <v>0</v>
      </c>
      <c r="AU96" s="109">
        <f>'NKC2-%'!BB106*100</f>
        <v>0</v>
      </c>
      <c r="AV96" s="109">
        <f>'NKC2-%'!BC106*100</f>
        <v>0</v>
      </c>
      <c r="AW96" s="109">
        <f>'NKC2-%'!BD106*100</f>
        <v>0</v>
      </c>
      <c r="AX96" s="109">
        <f>'NKC2-%'!BE106*100</f>
        <v>0</v>
      </c>
      <c r="AY96" s="109">
        <f>'NKC2-%'!BF106*100</f>
        <v>0</v>
      </c>
      <c r="AZ96" s="109">
        <f>'NKC2-%'!BG106*100</f>
        <v>0</v>
      </c>
      <c r="BA96" s="109">
        <f>'NKC2-%'!BH106*100</f>
        <v>0</v>
      </c>
      <c r="BB96" s="109">
        <f>'NKC2-%'!BI106*100</f>
        <v>0</v>
      </c>
      <c r="BC96" s="109">
        <f>'NKC2-%'!BJ106*100</f>
        <v>0</v>
      </c>
      <c r="BD96" s="109">
        <f>'NKC2-%'!BK106*100</f>
        <v>0</v>
      </c>
      <c r="BE96" s="109">
        <f>'NKC2-%'!BL106*100</f>
        <v>0</v>
      </c>
      <c r="BF96" s="109">
        <f>'NKC2-%'!BM106*100</f>
        <v>0</v>
      </c>
      <c r="BG96" s="109">
        <f>'NKC2-%'!BN106*100</f>
        <v>0</v>
      </c>
      <c r="BH96" s="109">
        <f>'NKC2-%'!BO106*100</f>
        <v>0</v>
      </c>
      <c r="BI96" s="109">
        <f>'NKC2-%'!BP106*100</f>
        <v>0</v>
      </c>
      <c r="BJ96" s="109">
        <f>'NKC2-%'!BQ106*100</f>
        <v>0</v>
      </c>
      <c r="BK96" s="109">
        <f>'NKC2-%'!BR106*100</f>
        <v>0</v>
      </c>
      <c r="BL96" s="109">
        <f>'NKC2-%'!BS106*100</f>
        <v>0</v>
      </c>
      <c r="BM96" s="109">
        <f>'NKC2-%'!BT106*100</f>
        <v>0</v>
      </c>
      <c r="BN96" s="109">
        <f>'NKC2-%'!BU106*100</f>
        <v>0</v>
      </c>
      <c r="BO96" s="109">
        <f>'NKC2-%'!BV106*100</f>
        <v>0</v>
      </c>
      <c r="BP96" s="109">
        <f>'NKC2-%'!BW106*100</f>
        <v>0</v>
      </c>
      <c r="BQ96" s="109">
        <f>'NKC2-%'!BX106*100</f>
        <v>0</v>
      </c>
      <c r="BR96" s="109">
        <f>'NKC2-%'!BY106*100</f>
        <v>0</v>
      </c>
      <c r="BS96" s="109">
        <f>'NKC2-%'!BZ106*100</f>
        <v>25</v>
      </c>
      <c r="BT96" s="109">
        <f>'NKC2-%'!CA106*100</f>
        <v>25</v>
      </c>
      <c r="BU96" s="109">
        <f>'NKC2-%'!CB106*100</f>
        <v>25</v>
      </c>
      <c r="BV96" s="109">
        <f>'NKC2-%'!CC106*100</f>
        <v>25</v>
      </c>
      <c r="BW96" s="109">
        <f>'NKC2-%'!CD106*100</f>
        <v>0</v>
      </c>
      <c r="BX96" s="109">
        <f>'NKC2-%'!CE106*100</f>
        <v>0</v>
      </c>
      <c r="BY96" s="109">
        <f>'NKC2-%'!CF106*100</f>
        <v>0</v>
      </c>
      <c r="BZ96" s="109">
        <f>'NKC2-%'!CG106*100</f>
        <v>0</v>
      </c>
      <c r="CA96" s="109">
        <f>'NKC2-%'!CH106*100</f>
        <v>0</v>
      </c>
      <c r="CB96" s="109">
        <f>'NKC2-%'!CI106*100</f>
        <v>0</v>
      </c>
      <c r="CC96" s="109">
        <f>'NKC2-%'!CJ106*100</f>
        <v>0</v>
      </c>
      <c r="CD96" s="109">
        <f>'NKC2-%'!CK106*100</f>
        <v>0</v>
      </c>
      <c r="CE96" s="109">
        <f>'NKC2-%'!CL106*100</f>
        <v>0</v>
      </c>
      <c r="CF96" s="109">
        <f>'NKC2-%'!CM106*100</f>
        <v>0</v>
      </c>
      <c r="CG96" s="109">
        <f>'NKC2-%'!CN106*100</f>
        <v>0</v>
      </c>
      <c r="CH96" s="109">
        <f>'NKC2-%'!CO106*100</f>
        <v>0</v>
      </c>
      <c r="CI96" s="109">
        <f>'NKC2-%'!CP106*100</f>
        <v>0</v>
      </c>
    </row>
    <row r="97" spans="1:87" x14ac:dyDescent="0.45">
      <c r="A97" s="266" t="str">
        <f>'NKC2-%'!B107</f>
        <v>1.8.6</v>
      </c>
      <c r="B97" t="str">
        <f>'NKC2-%'!D107</f>
        <v>Soft Scape Eq.</v>
      </c>
      <c r="C97" s="104">
        <f>'NKC2-%'!F107</f>
        <v>760477.34767614095</v>
      </c>
      <c r="D97" s="87" t="str">
        <f>'NKC2-%'!G107</f>
        <v>A</v>
      </c>
      <c r="E97" s="109">
        <f>'NKC2-%'!K107*100</f>
        <v>0</v>
      </c>
      <c r="F97" s="109">
        <f>'NKC2-%'!M107*100</f>
        <v>0</v>
      </c>
      <c r="G97" s="109">
        <f>'NKC2-%'!N107*100</f>
        <v>0</v>
      </c>
      <c r="H97" s="109">
        <f>'NKC2-%'!O107*100</f>
        <v>0</v>
      </c>
      <c r="I97" s="109">
        <f>'NKC2-%'!P107*100</f>
        <v>0</v>
      </c>
      <c r="J97" s="109">
        <f>'NKC2-%'!Q107*100</f>
        <v>0</v>
      </c>
      <c r="K97" s="109">
        <f>'NKC2-%'!R107*100</f>
        <v>0</v>
      </c>
      <c r="L97" s="109">
        <f>'NKC2-%'!S107*100</f>
        <v>0</v>
      </c>
      <c r="M97" s="109">
        <f>'NKC2-%'!T107*100</f>
        <v>0</v>
      </c>
      <c r="N97" s="109">
        <f>'NKC2-%'!U107*100</f>
        <v>0</v>
      </c>
      <c r="O97" s="109">
        <f>'NKC2-%'!V107*100</f>
        <v>0</v>
      </c>
      <c r="P97" s="109">
        <f>'NKC2-%'!W107*100</f>
        <v>0</v>
      </c>
      <c r="Q97" s="109">
        <f>'NKC2-%'!X107*100</f>
        <v>0</v>
      </c>
      <c r="R97" s="109">
        <f>'NKC2-%'!Y107*100</f>
        <v>0</v>
      </c>
      <c r="S97" s="109">
        <f>'NKC2-%'!Z107*100</f>
        <v>0</v>
      </c>
      <c r="T97" s="109">
        <f>'NKC2-%'!AA107*100</f>
        <v>0</v>
      </c>
      <c r="U97" s="109">
        <f>'NKC2-%'!AB107*100</f>
        <v>0</v>
      </c>
      <c r="V97" s="109">
        <f>'NKC2-%'!AC107*100</f>
        <v>0</v>
      </c>
      <c r="W97" s="109">
        <f>'NKC2-%'!AD107*100</f>
        <v>0</v>
      </c>
      <c r="X97" s="109">
        <f>'NKC2-%'!AE107*100</f>
        <v>0</v>
      </c>
      <c r="Y97" s="109">
        <f>'NKC2-%'!AF107*100</f>
        <v>0</v>
      </c>
      <c r="Z97" s="109">
        <f>'NKC2-%'!AG107*100</f>
        <v>0</v>
      </c>
      <c r="AA97" s="109">
        <f>'NKC2-%'!AH107*100</f>
        <v>0</v>
      </c>
      <c r="AB97" s="109">
        <f>'NKC2-%'!AI107*100</f>
        <v>0</v>
      </c>
      <c r="AC97" s="109">
        <f>'NKC2-%'!AJ107*100</f>
        <v>0</v>
      </c>
      <c r="AD97" s="109">
        <f>'NKC2-%'!AK107*100</f>
        <v>0</v>
      </c>
      <c r="AE97" s="109">
        <f>'NKC2-%'!AL107*100</f>
        <v>0</v>
      </c>
      <c r="AF97" s="109">
        <f>'NKC2-%'!AM107*100</f>
        <v>0</v>
      </c>
      <c r="AG97" s="109">
        <f>'NKC2-%'!AN107*100</f>
        <v>0</v>
      </c>
      <c r="AH97" s="109">
        <f>'NKC2-%'!AO107*100</f>
        <v>0</v>
      </c>
      <c r="AI97" s="109">
        <f>'NKC2-%'!AP107*100</f>
        <v>0</v>
      </c>
      <c r="AJ97" s="109">
        <f>'NKC2-%'!AQ107*100</f>
        <v>0</v>
      </c>
      <c r="AK97" s="109">
        <f>'NKC2-%'!AR107*100</f>
        <v>0</v>
      </c>
      <c r="AL97" s="109">
        <f>'NKC2-%'!AS107*100</f>
        <v>0</v>
      </c>
      <c r="AM97" s="109">
        <f>'NKC2-%'!AT107*100</f>
        <v>0</v>
      </c>
      <c r="AN97" s="109">
        <f>'NKC2-%'!AU107*100</f>
        <v>0</v>
      </c>
      <c r="AO97" s="109">
        <f>'NKC2-%'!AV107*100</f>
        <v>0</v>
      </c>
      <c r="AP97" s="109">
        <f>'NKC2-%'!AW107*100</f>
        <v>0</v>
      </c>
      <c r="AQ97" s="109">
        <f>'NKC2-%'!AX107*100</f>
        <v>0</v>
      </c>
      <c r="AR97" s="109">
        <f>'NKC2-%'!AY107*100</f>
        <v>0</v>
      </c>
      <c r="AS97" s="109">
        <f>'NKC2-%'!AZ107*100</f>
        <v>0</v>
      </c>
      <c r="AT97" s="109">
        <f>'NKC2-%'!BA107*100</f>
        <v>0</v>
      </c>
      <c r="AU97" s="109">
        <f>'NKC2-%'!BB107*100</f>
        <v>0</v>
      </c>
      <c r="AV97" s="109">
        <f>'NKC2-%'!BC107*100</f>
        <v>0</v>
      </c>
      <c r="AW97" s="109">
        <f>'NKC2-%'!BD107*100</f>
        <v>0</v>
      </c>
      <c r="AX97" s="109">
        <f>'NKC2-%'!BE107*100</f>
        <v>0</v>
      </c>
      <c r="AY97" s="109">
        <f>'NKC2-%'!BF107*100</f>
        <v>0</v>
      </c>
      <c r="AZ97" s="109">
        <f>'NKC2-%'!BG107*100</f>
        <v>0</v>
      </c>
      <c r="BA97" s="109">
        <f>'NKC2-%'!BH107*100</f>
        <v>0</v>
      </c>
      <c r="BB97" s="109">
        <f>'NKC2-%'!BI107*100</f>
        <v>0</v>
      </c>
      <c r="BC97" s="109">
        <f>'NKC2-%'!BJ107*100</f>
        <v>0</v>
      </c>
      <c r="BD97" s="109">
        <f>'NKC2-%'!BK107*100</f>
        <v>0</v>
      </c>
      <c r="BE97" s="109">
        <f>'NKC2-%'!BL107*100</f>
        <v>0</v>
      </c>
      <c r="BF97" s="109">
        <f>'NKC2-%'!BM107*100</f>
        <v>0</v>
      </c>
      <c r="BG97" s="109">
        <f>'NKC2-%'!BN107*100</f>
        <v>0</v>
      </c>
      <c r="BH97" s="109">
        <f>'NKC2-%'!BO107*100</f>
        <v>0</v>
      </c>
      <c r="BI97" s="109">
        <f>'NKC2-%'!BP107*100</f>
        <v>0</v>
      </c>
      <c r="BJ97" s="109">
        <f>'NKC2-%'!BQ107*100</f>
        <v>0</v>
      </c>
      <c r="BK97" s="109">
        <f>'NKC2-%'!BR107*100</f>
        <v>0</v>
      </c>
      <c r="BL97" s="109">
        <f>'NKC2-%'!BS107*100</f>
        <v>0</v>
      </c>
      <c r="BM97" s="109">
        <f>'NKC2-%'!BT107*100</f>
        <v>0</v>
      </c>
      <c r="BN97" s="109">
        <f>'NKC2-%'!BU107*100</f>
        <v>0</v>
      </c>
      <c r="BO97" s="109">
        <f>'NKC2-%'!BV107*100</f>
        <v>0</v>
      </c>
      <c r="BP97" s="109">
        <f>'NKC2-%'!BW107*100</f>
        <v>0</v>
      </c>
      <c r="BQ97" s="109">
        <f>'NKC2-%'!BX107*100</f>
        <v>0</v>
      </c>
      <c r="BR97" s="109">
        <f>'NKC2-%'!BY107*100</f>
        <v>0</v>
      </c>
      <c r="BS97" s="109">
        <f>'NKC2-%'!BZ107*100</f>
        <v>0</v>
      </c>
      <c r="BT97" s="109">
        <f>'NKC2-%'!CA107*100</f>
        <v>0</v>
      </c>
      <c r="BU97" s="109">
        <f>'NKC2-%'!CB107*100</f>
        <v>0</v>
      </c>
      <c r="BV97" s="109">
        <f>'NKC2-%'!CC107*100</f>
        <v>0</v>
      </c>
      <c r="BW97" s="109">
        <f>'NKC2-%'!CD107*100</f>
        <v>0</v>
      </c>
      <c r="BX97" s="109">
        <f>'NKC2-%'!CE107*100</f>
        <v>0</v>
      </c>
      <c r="BY97" s="109">
        <f>'NKC2-%'!CF107*100</f>
        <v>0</v>
      </c>
      <c r="BZ97" s="109">
        <f>'NKC2-%'!CG107*100</f>
        <v>0</v>
      </c>
      <c r="CA97" s="109">
        <f>'NKC2-%'!CH107*100</f>
        <v>0</v>
      </c>
      <c r="CB97" s="109">
        <f>'NKC2-%'!CI107*100</f>
        <v>0</v>
      </c>
      <c r="CC97" s="109">
        <f>'NKC2-%'!CJ107*100</f>
        <v>0</v>
      </c>
      <c r="CD97" s="109">
        <f>'NKC2-%'!CK107*100</f>
        <v>0</v>
      </c>
      <c r="CE97" s="109">
        <f>'NKC2-%'!CL107*100</f>
        <v>0</v>
      </c>
      <c r="CF97" s="109">
        <f>'NKC2-%'!CM107*100</f>
        <v>0</v>
      </c>
      <c r="CG97" s="109">
        <f>'NKC2-%'!CN107*100</f>
        <v>0</v>
      </c>
      <c r="CH97" s="109">
        <f>'NKC2-%'!CO107*100</f>
        <v>0</v>
      </c>
      <c r="CI97" s="109">
        <f>'NKC2-%'!CP107*100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NKC2-%</vt:lpstr>
      <vt:lpstr>progress</vt:lpstr>
      <vt:lpstr>progress_table</vt:lpstr>
      <vt:lpstr>'NKC2-%'!Print_Area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molsupa kongjaroen</dc:creator>
  <cp:lastModifiedBy>Suzanoo S.</cp:lastModifiedBy>
  <cp:lastPrinted>2026-07-09T03:21:46Z</cp:lastPrinted>
  <dcterms:created xsi:type="dcterms:W3CDTF">2025-05-17T06:29:00Z</dcterms:created>
  <dcterms:modified xsi:type="dcterms:W3CDTF">2026-07-10T01:38:15Z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1033-12.1.0.26372</vt:lpwstr>
  </property>
  <property fmtid="{D5CDD505-2E9C-101B-9397-08002B2CF9AE}" pid="3" name="KSOReadingLayout">
    <vt:bool>true</vt:bool>
  </property>
  <property fmtid="{D5CDD505-2E9C-101B-9397-08002B2CF9AE}" pid="4" name="ICV">
    <vt:lpwstr>C4CACC4A80C64A089B54E63EB4911DD2</vt:lpwstr>
  </property>
  <property fmtid="{D5CDD505-2E9C-101B-9397-08002B2CF9AE}" pid="5" name="CalculationRule">
    <vt:i4>0</vt:i4>
  </property>
</Properties>
</file>