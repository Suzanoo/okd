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zanoo\Desktop\"/>
    </mc:Choice>
  </mc:AlternateContent>
  <xr:revisionPtr revIDLastSave="0" documentId="13_ncr:1_{9158AD2A-5849-491A-BA09-F27CC7EFEEDB}" xr6:coauthVersionLast="47" xr6:coauthVersionMax="47" xr10:uidLastSave="{00000000-0000-0000-0000-000000000000}"/>
  <bookViews>
    <workbookView xWindow="-120" yWindow="-120" windowWidth="29040" windowHeight="15840" tabRatio="357" activeTab="2" xr2:uid="{00000000-000D-0000-FFFF-FFFF00000000}"/>
  </bookViews>
  <sheets>
    <sheet name="NKC2" sheetId="64" r:id="rId1"/>
    <sheet name="progress" sheetId="63" r:id="rId2"/>
    <sheet name="progress_table" sheetId="6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___VE32" hidden="1">{#N/A,#N/A,TRUE,"Str.";#N/A,#N/A,TRUE,"Steel &amp; Roof";#N/A,#N/A,TRUE,"Arc.";#N/A,#N/A,TRUE,"Preliminary";#N/A,#N/A,TRUE,"Sum_Prelim"}</definedName>
    <definedName name="__________VE32" hidden="1">{#N/A,#N/A,TRUE,"Str.";#N/A,#N/A,TRUE,"Steel &amp; Roof";#N/A,#N/A,TRUE,"Arc.";#N/A,#N/A,TRUE,"Preliminary";#N/A,#N/A,TRUE,"Sum_Prelim"}</definedName>
    <definedName name="_________VE32" hidden="1">{#N/A,#N/A,TRUE,"Str.";#N/A,#N/A,TRUE,"Steel &amp; Roof";#N/A,#N/A,TRUE,"Arc.";#N/A,#N/A,TRUE,"Preliminary";#N/A,#N/A,TRUE,"Sum_Prelim"}</definedName>
    <definedName name="________VE32" hidden="1">{#N/A,#N/A,TRUE,"Str.";#N/A,#N/A,TRUE,"Steel &amp; Roof";#N/A,#N/A,TRUE,"Arc.";#N/A,#N/A,TRUE,"Preliminary";#N/A,#N/A,TRUE,"Sum_Prelim"}</definedName>
    <definedName name="_______VE32" hidden="1">{#N/A,#N/A,TRUE,"Str.";#N/A,#N/A,TRUE,"Steel &amp; Roof";#N/A,#N/A,TRUE,"Arc.";#N/A,#N/A,TRUE,"Preliminary";#N/A,#N/A,TRUE,"Sum_Prelim"}</definedName>
    <definedName name="______DAT1" localSheetId="0">[1]CI!#REF!</definedName>
    <definedName name="______DAT1">[1]CI!#REF!</definedName>
    <definedName name="______DAT5" localSheetId="0">[1]CI!#REF!</definedName>
    <definedName name="______DAT5">[1]CI!#REF!</definedName>
    <definedName name="______f100" localSheetId="0">'[2]EE-SIMC'!#REF!</definedName>
    <definedName name="______f100">'[2]EE-SIMC'!#REF!</definedName>
    <definedName name="______new2" hidden="1">{#N/A,#N/A,TRUE,"SUM";#N/A,#N/A,TRUE,"EE";#N/A,#N/A,TRUE,"AC";#N/A,#N/A,TRUE,"SN"}</definedName>
    <definedName name="______VE32" hidden="1">{#N/A,#N/A,TRUE,"Str.";#N/A,#N/A,TRUE,"Steel &amp; Roof";#N/A,#N/A,TRUE,"Arc.";#N/A,#N/A,TRUE,"Preliminary";#N/A,#N/A,TRUE,"Sum_Prelim"}</definedName>
    <definedName name="_____bb2" hidden="1">{#N/A,#N/A,TRUE,"SUM";#N/A,#N/A,TRUE,"EE";#N/A,#N/A,TRUE,"AC";#N/A,#N/A,TRUE,"SN"}</definedName>
    <definedName name="_____DAT10" localSheetId="0">#REF!</definedName>
    <definedName name="_____DAT10">#REF!</definedName>
    <definedName name="_____DAT11" localSheetId="0">#REF!</definedName>
    <definedName name="_____DAT11">#REF!</definedName>
    <definedName name="_____DAT12" localSheetId="0">#REF!</definedName>
    <definedName name="_____DAT12">#REF!</definedName>
    <definedName name="_____DAT13" localSheetId="0">#REF!</definedName>
    <definedName name="_____DAT13">#REF!</definedName>
    <definedName name="_____DAT14" localSheetId="0">#REF!</definedName>
    <definedName name="_____DAT14">#REF!</definedName>
    <definedName name="_____DAT15" localSheetId="0">#REF!</definedName>
    <definedName name="_____DAT15">#REF!</definedName>
    <definedName name="_____DAT16" localSheetId="0">#REF!</definedName>
    <definedName name="_____DAT16">#REF!</definedName>
    <definedName name="_____DAT17" localSheetId="0">#REF!</definedName>
    <definedName name="_____DAT17">#REF!</definedName>
    <definedName name="_____DAT18" localSheetId="0">#REF!</definedName>
    <definedName name="_____DAT18">#REF!</definedName>
    <definedName name="_____DAT19" localSheetId="0">#REF!</definedName>
    <definedName name="_____DAT19">#REF!</definedName>
    <definedName name="_____DAT2" localSheetId="0">#REF!</definedName>
    <definedName name="_____DAT2">#REF!</definedName>
    <definedName name="_____DAT20" localSheetId="0">#REF!</definedName>
    <definedName name="_____DAT20">#REF!</definedName>
    <definedName name="_____DAT21" localSheetId="0">#REF!</definedName>
    <definedName name="_____DAT21">#REF!</definedName>
    <definedName name="_____DAT3" localSheetId="0">#REF!</definedName>
    <definedName name="_____DAT3">#REF!</definedName>
    <definedName name="_____DAT4" localSheetId="0">#REF!</definedName>
    <definedName name="_____DAT4">#REF!</definedName>
    <definedName name="_____DAT6" localSheetId="0">#REF!</definedName>
    <definedName name="_____DAT6">#REF!</definedName>
    <definedName name="_____DAT7" localSheetId="0">#REF!</definedName>
    <definedName name="_____DAT7">#REF!</definedName>
    <definedName name="_____DAT8" localSheetId="0">#REF!</definedName>
    <definedName name="_____DAT8">#REF!</definedName>
    <definedName name="_____DAT9" localSheetId="0">#REF!</definedName>
    <definedName name="_____DAT9">#REF!</definedName>
    <definedName name="_____FAC1">[3]สรุป!$C$307</definedName>
    <definedName name="_____new2" hidden="1">{#N/A,#N/A,TRUE,"SUM";#N/A,#N/A,TRUE,"EE";#N/A,#N/A,TRUE,"AC";#N/A,#N/A,TRUE,"SN"}</definedName>
    <definedName name="_____VE32" hidden="1">{#N/A,#N/A,TRUE,"Str.";#N/A,#N/A,TRUE,"Steel &amp; Roof";#N/A,#N/A,TRUE,"Arc.";#N/A,#N/A,TRUE,"Preliminary";#N/A,#N/A,TRUE,"Sum_Prelim"}</definedName>
    <definedName name="____bb2" hidden="1">{#N/A,#N/A,TRUE,"SUM";#N/A,#N/A,TRUE,"EE";#N/A,#N/A,TRUE,"AC";#N/A,#N/A,TRUE,"SN"}</definedName>
    <definedName name="____DAT1" localSheetId="0">[1]CI!#REF!</definedName>
    <definedName name="____DAT1">[1]CI!#REF!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17" localSheetId="0">#REF!</definedName>
    <definedName name="____DAT17">#REF!</definedName>
    <definedName name="____DAT18" localSheetId="0">#REF!</definedName>
    <definedName name="____DAT18">#REF!</definedName>
    <definedName name="____DAT19" localSheetId="0">#REF!</definedName>
    <definedName name="____DAT19">#REF!</definedName>
    <definedName name="____DAT2" localSheetId="0">#REF!</definedName>
    <definedName name="____DAT2">#REF!</definedName>
    <definedName name="____DAT20" localSheetId="0">#REF!</definedName>
    <definedName name="____DAT20">#REF!</definedName>
    <definedName name="____DAT21" localSheetId="0">#REF!</definedName>
    <definedName name="____DAT21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[1]CI!#REF!</definedName>
    <definedName name="____DAT5">[1]CI!#REF!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f100" localSheetId="0">'[2]EE-SIMC'!#REF!</definedName>
    <definedName name="____f100">'[2]EE-SIMC'!#REF!</definedName>
    <definedName name="____FAC1">[3]สรุป!$C$307</definedName>
    <definedName name="____new2" hidden="1">{#N/A,#N/A,TRUE,"SUM";#N/A,#N/A,TRUE,"EE";#N/A,#N/A,TRUE,"AC";#N/A,#N/A,TRUE,"SN"}</definedName>
    <definedName name="____str1" localSheetId="0">#REF!</definedName>
    <definedName name="____str1">#REF!</definedName>
    <definedName name="____str2" localSheetId="0">#REF!</definedName>
    <definedName name="____str2">#REF!</definedName>
    <definedName name="____str3" localSheetId="0">#REF!</definedName>
    <definedName name="____str3">#REF!</definedName>
    <definedName name="____VE32" hidden="1">{#N/A,#N/A,TRUE,"Str.";#N/A,#N/A,TRUE,"Steel &amp; Roof";#N/A,#N/A,TRUE,"Arc.";#N/A,#N/A,TRUE,"Preliminary";#N/A,#N/A,TRUE,"Sum_Prelim"}</definedName>
    <definedName name="___bb2" hidden="1">{#N/A,#N/A,TRUE,"SUM";#N/A,#N/A,TRUE,"EE";#N/A,#N/A,TRUE,"AC";#N/A,#N/A,TRUE,"SN"}</definedName>
    <definedName name="___DAT1" localSheetId="0">[1]CI!#REF!</definedName>
    <definedName name="___DAT1">[1]CI!#REF!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17" localSheetId="0">#REF!</definedName>
    <definedName name="___DAT17">#REF!</definedName>
    <definedName name="___DAT18" localSheetId="0">#REF!</definedName>
    <definedName name="___DAT18">#REF!</definedName>
    <definedName name="___DAT19" localSheetId="0">#REF!</definedName>
    <definedName name="___DAT19">#REF!</definedName>
    <definedName name="___DAT2" localSheetId="0">#REF!</definedName>
    <definedName name="___DAT2">#REF!</definedName>
    <definedName name="___DAT20" localSheetId="0">#REF!</definedName>
    <definedName name="___DAT20">#REF!</definedName>
    <definedName name="___DAT21" localSheetId="0">#REF!</definedName>
    <definedName name="___DAT21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[1]CI!#REF!</definedName>
    <definedName name="___DAT5">[1]CI!#REF!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f100" localSheetId="0">'[2]EE-SIMC'!#REF!</definedName>
    <definedName name="___f100">'[2]EE-SIMC'!#REF!</definedName>
    <definedName name="___FAC1">[3]สรุป!$C$307</definedName>
    <definedName name="___new2" hidden="1">{#N/A,#N/A,TRUE,"SUM";#N/A,#N/A,TRUE,"EE";#N/A,#N/A,TRUE,"AC";#N/A,#N/A,TRUE,"SN"}</definedName>
    <definedName name="___str1" localSheetId="0">#REF!</definedName>
    <definedName name="___str1">#REF!</definedName>
    <definedName name="___str2" localSheetId="0">#REF!</definedName>
    <definedName name="___str2">#REF!</definedName>
    <definedName name="___str3" localSheetId="0">#REF!</definedName>
    <definedName name="___str3">#REF!</definedName>
    <definedName name="___VE32" hidden="1">{#N/A,#N/A,TRUE,"Str.";#N/A,#N/A,TRUE,"Steel &amp; Roof";#N/A,#N/A,TRUE,"Arc.";#N/A,#N/A,TRUE,"Preliminary";#N/A,#N/A,TRUE,"Sum_Prelim"}</definedName>
    <definedName name="__123Graph_AMAIN" localSheetId="0" hidden="1">#REF!</definedName>
    <definedName name="__123Graph_AMAIN" hidden="1">#REF!</definedName>
    <definedName name="__123Graph_BMAIN" localSheetId="0" hidden="1">#REF!</definedName>
    <definedName name="__123Graph_BMAIN" hidden="1">#REF!</definedName>
    <definedName name="__123Graph_CMAIN" localSheetId="0" hidden="1">#REF!</definedName>
    <definedName name="__123Graph_CMAIN" hidden="1">#REF!</definedName>
    <definedName name="__123Graph_D" localSheetId="0" hidden="1">#REF!</definedName>
    <definedName name="__123Graph_D" hidden="1">#REF!</definedName>
    <definedName name="__123Graph_XMAIN" localSheetId="0" hidden="1">#REF!</definedName>
    <definedName name="__123Graph_XMAIN" hidden="1">#REF!</definedName>
    <definedName name="__bb2" hidden="1">{#N/A,#N/A,TRUE,"SUM";#N/A,#N/A,TRUE,"EE";#N/A,#N/A,TRUE,"AC";#N/A,#N/A,TRUE,"SN"}</definedName>
    <definedName name="__DAT1" localSheetId="0">[1]CI!#REF!</definedName>
    <definedName name="__DAT1">[1]CI!#REF!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[1]CI!#REF!</definedName>
    <definedName name="__DAT5">[1]CI!#REF!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100" localSheetId="0">'[2]EE-SIMC'!#REF!</definedName>
    <definedName name="__f100">'[2]EE-SIMC'!#REF!</definedName>
    <definedName name="__FAC1">[3]สรุป!$C$307</definedName>
    <definedName name="__M5" hidden="1">{#N/A,#N/A,TRUE,"SUM";#N/A,#N/A,TRUE,"EE";#N/A,#N/A,TRUE,"AC";#N/A,#N/A,TRUE,"SN"}</definedName>
    <definedName name="__new2" hidden="1">{#N/A,#N/A,TRUE,"SUM";#N/A,#N/A,TRUE,"EE";#N/A,#N/A,TRUE,"AC";#N/A,#N/A,TRUE,"SN"}</definedName>
    <definedName name="__san2" hidden="1">{#N/A,#N/A,TRUE,"SUM";#N/A,#N/A,TRUE,"EE";#N/A,#N/A,TRUE,"AC";#N/A,#N/A,TRUE,"SN"}</definedName>
    <definedName name="__str1" localSheetId="0">#REF!</definedName>
    <definedName name="__str1">#REF!</definedName>
    <definedName name="__str2" localSheetId="0">#REF!</definedName>
    <definedName name="__str2">#REF!</definedName>
    <definedName name="__str3" localSheetId="0">#REF!</definedName>
    <definedName name="__str3">#REF!</definedName>
    <definedName name="__VE32" hidden="1">{#N/A,#N/A,TRUE,"Str.";#N/A,#N/A,TRUE,"Steel &amp; Roof";#N/A,#N/A,TRUE,"Arc.";#N/A,#N/A,TRUE,"Preliminary";#N/A,#N/A,TRUE,"Sum_Prelim"}</definedName>
    <definedName name="_0000" hidden="1">{#N/A,#N/A,TRUE,"Str.";#N/A,#N/A,TRUE,"Steel &amp; Roof";#N/A,#N/A,TRUE,"Arc.";#N/A,#N/A,TRUE,"Preliminary";#N/A,#N/A,TRUE,"Sum_Prelim"}</definedName>
    <definedName name="_1__123Graph_ACHART_1" localSheetId="0" hidden="1">#REF!</definedName>
    <definedName name="_1__123Graph_ACHART_1" hidden="1">#REF!</definedName>
    <definedName name="_123Graph_D" localSheetId="0" hidden="1">#REF!</definedName>
    <definedName name="_123Graph_D" hidden="1">#REF!</definedName>
    <definedName name="_1Excel_BuiltIn_Print_Area_1_1" localSheetId="0">#REF!</definedName>
    <definedName name="_1Excel_BuiltIn_Print_Area_1_1">#REF!</definedName>
    <definedName name="_2__123Graph_ACHART_2" localSheetId="0" hidden="1">#REF!</definedName>
    <definedName name="_2__123Graph_ACHART_2" hidden="1">#REF!</definedName>
    <definedName name="_3__123Graph_XCHART_1" localSheetId="0" hidden="1">#REF!</definedName>
    <definedName name="_3__123Graph_XCHART_1" hidden="1">#REF!</definedName>
    <definedName name="_4__123Graph_XCHART_2" localSheetId="0" hidden="1">#REF!</definedName>
    <definedName name="_4__123Graph_XCHART_2" hidden="1">#REF!</definedName>
    <definedName name="_bb2" hidden="1">{#N/A,#N/A,TRUE,"SUM";#N/A,#N/A,TRUE,"EE";#N/A,#N/A,TRUE,"AC";#N/A,#N/A,TRUE,"SN"}</definedName>
    <definedName name="_DAT1" localSheetId="0">[1]CI!#REF!</definedName>
    <definedName name="_DAT1">[1]CI!#REF!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[1]CI!#REF!</definedName>
    <definedName name="_DAT5">[1]CI!#REF!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100" localSheetId="0">'[2]EE-SIMC'!#REF!</definedName>
    <definedName name="_f100">'[2]EE-SIMC'!#REF!</definedName>
    <definedName name="_FAC1">[3]สรุป!$C$307</definedName>
    <definedName name="_Fill" localSheetId="0" hidden="1">#REF!</definedName>
    <definedName name="_Fill" hidden="1">#REF!</definedName>
    <definedName name="_xlnm._FilterDatabase" localSheetId="0" hidden="1">'NKC2'!$A$10:$CZ$137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5" hidden="1">{#N/A,#N/A,TRUE,"SUM";#N/A,#N/A,TRUE,"EE";#N/A,#N/A,TRUE,"AC";#N/A,#N/A,TRUE,"SN"}</definedName>
    <definedName name="_MatInverse_In" localSheetId="0" hidden="1">#REF!</definedName>
    <definedName name="_MatInverse_In" hidden="1">#REF!</definedName>
    <definedName name="_new2" hidden="1">{#N/A,#N/A,TRUE,"SUM";#N/A,#N/A,TRUE,"EE";#N/A,#N/A,TRUE,"AC";#N/A,#N/A,TRUE,"SN"}</definedName>
    <definedName name="_Order1" hidden="1">255</definedName>
    <definedName name="_Order2" hidden="1">255</definedName>
    <definedName name="_san2" hidden="1">{#N/A,#N/A,TRUE,"SUM";#N/A,#N/A,TRUE,"EE";#N/A,#N/A,TRUE,"AC";#N/A,#N/A,TRUE,"SN"}</definedName>
    <definedName name="_Sort" localSheetId="0" hidden="1">#REF!</definedName>
    <definedName name="_Sort" hidden="1">#REF!</definedName>
    <definedName name="_str1" localSheetId="0">#REF!</definedName>
    <definedName name="_str1">#REF!</definedName>
    <definedName name="_str2" localSheetId="0">#REF!</definedName>
    <definedName name="_str2">#REF!</definedName>
    <definedName name="_str3" localSheetId="0">#REF!</definedName>
    <definedName name="_str3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A" localSheetId="0">#REF!</definedName>
    <definedName name="A">#REF!</definedName>
    <definedName name="AA" hidden="1">{#N/A,#N/A,TRUE,"SUM";#N/A,#N/A,TRUE,"EE";#N/A,#N/A,TRUE,"AC";#N/A,#N/A,TRUE,"SN"}</definedName>
    <definedName name="aaa" localSheetId="0">#REF!</definedName>
    <definedName name="aaa">#REF!</definedName>
    <definedName name="aaaaaaa" hidden="1">{"conso",#N/A,FALSE,"cash flow"}</definedName>
    <definedName name="aaaaaaaaa" hidden="1">{"conso",#N/A,FALSE,"cash flow"}</definedName>
    <definedName name="aaag" hidden="1">{#N/A,#N/A,TRUE,"SUM";#N/A,#N/A,TRUE,"EE";#N/A,#N/A,TRUE,"AC";#N/A,#N/A,TRUE,"SN"}</definedName>
    <definedName name="aaag_1" hidden="1">{#N/A,#N/A,TRUE,"SUM";#N/A,#N/A,TRUE,"EE";#N/A,#N/A,TRUE,"AC";#N/A,#N/A,TRUE,"SN"}</definedName>
    <definedName name="aaag2" hidden="1">{#N/A,#N/A,TRUE,"SUM";#N/A,#N/A,TRUE,"EE";#N/A,#N/A,TRUE,"AC";#N/A,#N/A,TRUE,"SN"}</definedName>
    <definedName name="AAX" hidden="1">{#N/A,#N/A,TRUE,"SUM";#N/A,#N/A,TRUE,"EE";#N/A,#N/A,TRUE,"AC";#N/A,#N/A,TRUE,"SN"}</definedName>
    <definedName name="AB" hidden="1">{#N/A,#N/A,TRUE,"SUM";#N/A,#N/A,TRUE,"EE";#N/A,#N/A,TRUE,"AC";#N/A,#N/A,TRUE,"SN"}</definedName>
    <definedName name="abc" hidden="1">{"cashflow",#N/A,FALSE,"cash flow"}</definedName>
    <definedName name="ABL" localSheetId="0">'[4]Summary SN FP'!#REF!</definedName>
    <definedName name="ABL">'[4]Summary SN FP'!#REF!</definedName>
    <definedName name="AC" hidden="1">{#N/A,#N/A,TRUE,"Str.";#N/A,#N/A,TRUE,"Steel &amp; Roof";#N/A,#N/A,TRUE,"Arc.";#N/A,#N/A,TRUE,"Preliminary";#N/A,#N/A,TRUE,"Sum_Prelim"}</definedName>
    <definedName name="AccessDatabase" hidden="1">"C:\My Documents\tippaporn\MAT PRICE.mdb"</definedName>
    <definedName name="ada" localSheetId="0">#REF!</definedName>
    <definedName name="ada">#REF!</definedName>
    <definedName name="adafdadsf" hidden="1">{"conso",#N/A,FALSE,"cash flow"}</definedName>
    <definedName name="adfadf" hidden="1">{"cashflow",#N/A,FALSE,"cash flow"}</definedName>
    <definedName name="adsfds" hidden="1">{#N/A,#N/A,TRUE,"SUM";#N/A,#N/A,TRUE,"EE";#N/A,#N/A,TRUE,"AC";#N/A,#N/A,TRUE,"SN"}</definedName>
    <definedName name="aefewq" hidden="1">{"cashflow",#N/A,FALSE,"cash flow"}</definedName>
    <definedName name="ARCH_LAB" localSheetId="0">#REF!</definedName>
    <definedName name="ARCH_LAB">#REF!</definedName>
    <definedName name="ARCH_MAT" localSheetId="0">#REF!</definedName>
    <definedName name="ARCH_MAT">#REF!</definedName>
    <definedName name="ASD" hidden="1">{#N/A,#N/A,TRUE,"SUM";#N/A,#N/A,TRUE,"EE";#N/A,#N/A,TRUE,"AC";#N/A,#N/A,TRUE,"SN"}</definedName>
    <definedName name="asdfg" hidden="1">{#N/A,#N/A,TRUE,"SUM";#N/A,#N/A,TRUE,"EE";#N/A,#N/A,TRUE,"AC";#N/A,#N/A,TRUE,"SN"}</definedName>
    <definedName name="ass" hidden="1">{#N/A,#N/A,TRUE,"Str.";#N/A,#N/A,TRUE,"Steel &amp; Roof";#N/A,#N/A,TRUE,"Arc.";#N/A,#N/A,TRUE,"Preliminary";#N/A,#N/A,TRUE,"Sum_Prelim"}</definedName>
    <definedName name="bas" hidden="1">{#N/A,#N/A,TRUE,"SUM";#N/A,#N/A,TRUE,"EE";#N/A,#N/A,TRUE,"AC";#N/A,#N/A,TRUE,"SN"}</definedName>
    <definedName name="Basement1" localSheetId="0" hidden="1">#REF!</definedName>
    <definedName name="Basement1" hidden="1">#REF!</definedName>
    <definedName name="bb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GC_1" hidden="1">{#N/A,#N/A,TRUE,"Str.";#N/A,#N/A,TRUE,"Steel &amp; Roof";#N/A,#N/A,TRUE,"Arc.";#N/A,#N/A,TRUE,"Preliminary";#N/A,#N/A,TRUE,"Sum_Prelim"}</definedName>
    <definedName name="bk" hidden="1">{"cashflow",#N/A,FALSE,"cash flow"}</definedName>
    <definedName name="Bottom_Tank" localSheetId="0">#REF!</definedName>
    <definedName name="Bottom_Tank">#REF!</definedName>
    <definedName name="bwatb" hidden="1">{#N/A,#N/A,TRUE,"SUM";#N/A,#N/A,TRUE,"EE";#N/A,#N/A,TRUE,"AC";#N/A,#N/A,TRUE,"SN"}</definedName>
    <definedName name="CA" hidden="1">{#N/A,#N/A,TRUE,"SUM";#N/A,#N/A,TRUE,"EE";#N/A,#N/A,TRUE,"AC";#N/A,#N/A,TRUE,"SN"}</definedName>
    <definedName name="CA_1" hidden="1">{#N/A,#N/A,TRUE,"SUM";#N/A,#N/A,TRUE,"EE";#N/A,#N/A,TRUE,"AC";#N/A,#N/A,TRUE,"SN"}</definedName>
    <definedName name="Cavity_Pump" localSheetId="0">'[4]Summary SN FP'!#REF!</definedName>
    <definedName name="Cavity_Pump">'[4]Summary SN FP'!#REF!</definedName>
    <definedName name="cccc" hidden="1">{#N/A,#N/A,TRUE,"SUM";#N/A,#N/A,TRUE,"EE";#N/A,#N/A,TRUE,"AC";#N/A,#N/A,TRUE,"SN"}</definedName>
    <definedName name="ConL" localSheetId="0">#REF!</definedName>
    <definedName name="ConL">#REF!</definedName>
    <definedName name="ConM" localSheetId="0">#REF!</definedName>
    <definedName name="ConM">#REF!</definedName>
    <definedName name="CSODJWO" hidden="1">{#N/A,#N/A,TRUE,"SUM";#N/A,#N/A,TRUE,"EE";#N/A,#N/A,TRUE,"AC";#N/A,#N/A,TRUE,"SN"}</definedName>
    <definedName name="CSODJWO_1" hidden="1">{#N/A,#N/A,TRUE,"SUM";#N/A,#N/A,TRUE,"EE";#N/A,#N/A,TRUE,"AC";#N/A,#N/A,TRUE,"SN"}</definedName>
    <definedName name="curb_ขอบทาง">'[5]หมวด 6'!$L$366</definedName>
    <definedName name="Da" localSheetId="0">#REF!</definedName>
    <definedName name="Da">#REF!</definedName>
    <definedName name="dadfsdfa" hidden="1">{"conso",#N/A,FALSE,"cash flow"}</definedName>
    <definedName name="DAKDFADF" hidden="1">{"conso",#N/A,FALSE,"cash flow"}</definedName>
    <definedName name="data" hidden="1">{#N/A,#N/A,TRUE,"SUM";#N/A,#N/A,TRUE,"EE";#N/A,#N/A,TRUE,"AC";#N/A,#N/A,TRUE,"SN"}</definedName>
    <definedName name="dd" hidden="1">{#N/A,#N/A,TRUE,"SUM";#N/A,#N/A,TRUE,"EE";#N/A,#N/A,TRUE,"AC";#N/A,#N/A,TRUE,"SN"}</definedName>
    <definedName name="ddadfa" hidden="1">{"conso",#N/A,FALSE,"cash flow"}</definedName>
    <definedName name="DDAFDASF" hidden="1">{"conso",#N/A,FALSE,"cash flow"}</definedName>
    <definedName name="ddda" hidden="1">{#N/A,#N/A,TRUE,"Str.";#N/A,#N/A,TRUE,"Steel &amp; Roof";#N/A,#N/A,TRUE,"Arc.";#N/A,#N/A,TRUE,"Preliminary";#N/A,#N/A,TRUE,"Sum_Prelim"}</definedName>
    <definedName name="ddda_1" hidden="1">{#N/A,#N/A,TRUE,"Str.";#N/A,#N/A,TRUE,"Steel &amp; Roof";#N/A,#N/A,TRUE,"Arc.";#N/A,#N/A,TRUE,"Preliminary";#N/A,#N/A,TRUE,"Sum_Prelim"}</definedName>
    <definedName name="dddddd" hidden="1">{#N/A,#N/A,TRUE,"SUM";#N/A,#N/A,TRUE,"EE";#N/A,#N/A,TRUE,"AC";#N/A,#N/A,TRUE,"SN"}</definedName>
    <definedName name="dddddd_1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_1" hidden="1">{#N/A,#N/A,TRUE,"SUM";#N/A,#N/A,TRUE,"EE";#N/A,#N/A,TRUE,"AC";#N/A,#N/A,TRUE,"SN"}</definedName>
    <definedName name="de" hidden="1">{"conso",#N/A,FALSE,"cash flow"}</definedName>
    <definedName name="Decanter" localSheetId="0">'[4]Summary SN FP'!#REF!</definedName>
    <definedName name="Decanter">'[4]Summary SN FP'!#REF!</definedName>
    <definedName name="def" hidden="1">{"conso",#N/A,FALSE,"cash flow"}</definedName>
    <definedName name="DEWSLDW" hidden="1">{#N/A,#N/A,TRUE,"SUM";#N/A,#N/A,TRUE,"EE";#N/A,#N/A,TRUE,"AC";#N/A,#N/A,TRUE,"SN"}</definedName>
    <definedName name="DEWSLDW_1" hidden="1">{#N/A,#N/A,TRUE,"SUM";#N/A,#N/A,TRUE,"EE";#N/A,#N/A,TRUE,"AC";#N/A,#N/A,TRUE,"SN"}</definedName>
    <definedName name="dfadf" hidden="1">{"conso",#N/A,FALSE,"cash flow"}</definedName>
    <definedName name="DFAFDA" hidden="1">{"cashflow",#N/A,FALSE,"cash flow"}</definedName>
    <definedName name="dfasf" hidden="1">{"conso",#N/A,FALSE,"cash flow"}</definedName>
    <definedName name="DFDFDS" hidden="1">{#N/A,#N/A,TRUE,"SUM";#N/A,#N/A,TRUE,"EE";#N/A,#N/A,TRUE,"AC";#N/A,#N/A,TRUE,"SN"}</definedName>
    <definedName name="DFDFDS_1" hidden="1">{#N/A,#N/A,TRUE,"SUM";#N/A,#N/A,TRUE,"EE";#N/A,#N/A,TRUE,"AC";#N/A,#N/A,TRUE,"SN"}</definedName>
    <definedName name="DFDFSDFSD" hidden="1">{#N/A,#N/A,TRUE,"SUM";#N/A,#N/A,TRUE,"EE";#N/A,#N/A,TRUE,"AC";#N/A,#N/A,TRUE,"SN"}</definedName>
    <definedName name="DFDFSDFSD_1" hidden="1">{#N/A,#N/A,TRUE,"SUM";#N/A,#N/A,TRUE,"EE";#N/A,#N/A,TRUE,"AC";#N/A,#N/A,TRUE,"SN"}</definedName>
    <definedName name="DFF" hidden="1">{#N/A,#N/A,TRUE,"SUM";#N/A,#N/A,TRUE,"EE";#N/A,#N/A,TRUE,"AC";#N/A,#N/A,TRUE,"SN"}</definedName>
    <definedName name="DFF_1" hidden="1">{#N/A,#N/A,TRUE,"SUM";#N/A,#N/A,TRUE,"EE";#N/A,#N/A,TRUE,"AC";#N/A,#N/A,TRUE,"SN"}</definedName>
    <definedName name="dfs" hidden="1">{#N/A,#N/A,TRUE,"SUM";#N/A,#N/A,TRUE,"EE";#N/A,#N/A,TRUE,"AC";#N/A,#N/A,TRUE,"SN"}</definedName>
    <definedName name="dfs_1" hidden="1">{#N/A,#N/A,TRUE,"SUM";#N/A,#N/A,TRUE,"EE";#N/A,#N/A,TRUE,"AC";#N/A,#N/A,TRUE,"SN"}</definedName>
    <definedName name="dgde" hidden="1">{#N/A,#N/A,TRUE,"SUM";#N/A,#N/A,TRUE,"EE";#N/A,#N/A,TRUE,"AC";#N/A,#N/A,TRUE,"SN"}</definedName>
    <definedName name="dgdfd" hidden="1">{#N/A,#N/A,TRUE,"SUM";#N/A,#N/A,TRUE,"EE";#N/A,#N/A,TRUE,"AC";#N/A,#N/A,TRUE,"SN"}</definedName>
    <definedName name="dgf" hidden="1">{#N/A,#N/A,TRUE,"SUM";#N/A,#N/A,TRUE,"EE";#N/A,#N/A,TRUE,"AC";#N/A,#N/A,TRUE,"SN"}</definedName>
    <definedName name="dgfdsgfd" hidden="1">{#N/A,#N/A,TRUE,"SUM";#N/A,#N/A,TRUE,"EE";#N/A,#N/A,TRUE,"AC";#N/A,#N/A,TRUE,"SN"}</definedName>
    <definedName name="dsgfvda" hidden="1">{#N/A,#N/A,TRUE,"SUM";#N/A,#N/A,TRUE,"EE";#N/A,#N/A,TRUE,"AC";#N/A,#N/A,TRUE,"SN"}</definedName>
    <definedName name="dsgvdsgs" hidden="1">{#N/A,#N/A,TRUE,"SUM";#N/A,#N/A,TRUE,"EE";#N/A,#N/A,TRUE,"AC";#N/A,#N/A,TRUE,"SN"}</definedName>
    <definedName name="DSJKLDE" hidden="1">{#N/A,#N/A,TRUE,"SUM";#N/A,#N/A,TRUE,"EE";#N/A,#N/A,TRUE,"AC";#N/A,#N/A,TRUE,"SN"}</definedName>
    <definedName name="DSJKLDE_1" hidden="1">{#N/A,#N/A,TRUE,"SUM";#N/A,#N/A,TRUE,"EE";#N/A,#N/A,TRUE,"AC";#N/A,#N/A,TRUE,"SN"}</definedName>
    <definedName name="DVADFA" hidden="1">{"conso",#N/A,FALSE,"cash flow"}</definedName>
    <definedName name="e" localSheetId="0">#REF!</definedName>
    <definedName name="e">#REF!</definedName>
    <definedName name="ee" hidden="1">{#N/A,#N/A,TRUE,"SUM";#N/A,#N/A,TRUE,"EE";#N/A,#N/A,TRUE,"AC";#N/A,#N/A,TRUE,"SN"}</definedName>
    <definedName name="eec" localSheetId="0">#REF!</definedName>
    <definedName name="eec">#REF!</definedName>
    <definedName name="eeeee" hidden="1">{#N/A,#N/A,TRUE,"SUM";#N/A,#N/A,TRUE,"EE";#N/A,#N/A,TRUE,"AC";#N/A,#N/A,TRUE,"SN"}</definedName>
    <definedName name="eeeee_1" hidden="1">{#N/A,#N/A,TRUE,"SUM";#N/A,#N/A,TRUE,"EE";#N/A,#N/A,TRUE,"AC";#N/A,#N/A,TRUE,"SN"}</definedName>
    <definedName name="ere" hidden="1">{"conso",#N/A,FALSE,"cash flow"}</definedName>
    <definedName name="erwewew" localSheetId="0" hidden="1">#REF!</definedName>
    <definedName name="erwewew" hidden="1">#REF!</definedName>
    <definedName name="erwr" hidden="1">{#N/A,#N/A,TRUE,"SUM";#N/A,#N/A,TRUE,"EE";#N/A,#N/A,TRUE,"AC";#N/A,#N/A,TRUE,"SN"}</definedName>
    <definedName name="esda" hidden="1">{#N/A,#N/A,TRUE,"SUM";#N/A,#N/A,TRUE,"EE";#N/A,#N/A,TRUE,"AC";#N/A,#N/A,TRUE,"SN"}</definedName>
    <definedName name="ess" hidden="1">{"cashflow",#N/A,FALSE,"cash flow"}</definedName>
    <definedName name="ewewewew" localSheetId="0" hidden="1">#REF!</definedName>
    <definedName name="ewewewew" hidden="1">#REF!</definedName>
    <definedName name="ewewewewew" localSheetId="0" hidden="1">#REF!</definedName>
    <definedName name="ewewewewew" hidden="1">#REF!</definedName>
    <definedName name="Excel_BuiltIn_Print_Area" localSheetId="0">#REF!</definedName>
    <definedName name="Excel_BuiltIn_Print_Area">#REF!</definedName>
    <definedName name="Excel_BuiltIn_Print_Titles" localSheetId="0">#REF!</definedName>
    <definedName name="Excel_BuiltIn_Print_Titles">#REF!</definedName>
    <definedName name="EXT_LAB" localSheetId="0">#REF!</definedName>
    <definedName name="EXT_LAB">#REF!</definedName>
    <definedName name="EXT_MAT" localSheetId="0">#REF!</definedName>
    <definedName name="EXT_MAT">#REF!</definedName>
    <definedName name="External" localSheetId="0" hidden="1">#REF!</definedName>
    <definedName name="External" hidden="1">#REF!</definedName>
    <definedName name="f" localSheetId="0">#REF!</definedName>
    <definedName name="f">#REF!</definedName>
    <definedName name="Fa" localSheetId="0">[6]ปร.4!#REF!</definedName>
    <definedName name="Fa">[6]ปร.4!#REF!</definedName>
    <definedName name="Fac" localSheetId="0">[6]ปร.4!#REF!</definedName>
    <definedName name="Fac">[6]ปร.4!#REF!</definedName>
    <definedName name="FactorF_สาธารณูปโภค" localSheetId="0">[7]BOQ!#REF!</definedName>
    <definedName name="FactorF_สาธารณูปโภค">[7]BOQ!#REF!</definedName>
    <definedName name="FACTORY" hidden="1">{#N/A,#N/A,TRUE,"SUM";#N/A,#N/A,TRUE,"EE";#N/A,#N/A,TRUE,"AC";#N/A,#N/A,TRUE,"SN"}</definedName>
    <definedName name="FACTORY_1" hidden="1">{#N/A,#N/A,TRUE,"SUM";#N/A,#N/A,TRUE,"EE";#N/A,#N/A,TRUE,"AC";#N/A,#N/A,TRUE,"SN"}</definedName>
    <definedName name="Factory1" hidden="1">{#N/A,#N/A,TRUE,"SUM";#N/A,#N/A,TRUE,"EE";#N/A,#N/A,TRUE,"AC";#N/A,#N/A,TRUE,"SN"}</definedName>
    <definedName name="fdf" hidden="1">{"conso",#N/A,FALSE,"cash flow"}</definedName>
    <definedName name="FDFDSF" hidden="1">{#N/A,#N/A,TRUE,"SUM";#N/A,#N/A,TRUE,"EE";#N/A,#N/A,TRUE,"AC";#N/A,#N/A,TRUE,"SN"}</definedName>
    <definedName name="FDFDSF_1" hidden="1">{#N/A,#N/A,TRUE,"SUM";#N/A,#N/A,TRUE,"EE";#N/A,#N/A,TRUE,"AC";#N/A,#N/A,TRUE,"SN"}</definedName>
    <definedName name="fdfs" hidden="1">{#N/A,#N/A,TRUE,"SUM";#N/A,#N/A,TRUE,"EE";#N/A,#N/A,TRUE,"AC";#N/A,#N/A,TRUE,"SN"}</definedName>
    <definedName name="fdfs_1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_1" hidden="1">{#N/A,#N/A,TRUE,"SUM";#N/A,#N/A,TRUE,"EE";#N/A,#N/A,TRUE,"AC";#N/A,#N/A,TRUE,"SN"}</definedName>
    <definedName name="FF" hidden="1">{#N/A,#N/A,TRUE,"SUM";#N/A,#N/A,TRUE,"EE";#N/A,#N/A,TRUE,"AC";#N/A,#N/A,TRUE,"SN"}</definedName>
    <definedName name="FF_1" hidden="1">{#N/A,#N/A,TRUE,"SUM";#N/A,#N/A,TRUE,"EE";#N/A,#N/A,TRUE,"AC";#N/A,#N/A,TRUE,"SN"}</definedName>
    <definedName name="ffffd" hidden="1">{#N/A,#N/A,TRUE,"SUM";#N/A,#N/A,TRUE,"EE";#N/A,#N/A,TRUE,"AC";#N/A,#N/A,TRUE,"SN"}</definedName>
    <definedName name="ffffd_1" hidden="1">{#N/A,#N/A,TRUE,"SUM";#N/A,#N/A,TRUE,"EE";#N/A,#N/A,TRUE,"AC";#N/A,#N/A,TRUE,"SN"}</definedName>
    <definedName name="fffff" hidden="1">{#N/A,#N/A,TRUE,"SUM";#N/A,#N/A,TRUE,"EE";#N/A,#N/A,TRUE,"AC";#N/A,#N/A,TRUE,"SN"}</definedName>
    <definedName name="fg" hidden="1">{#N/A,#N/A,TRUE,"Str.";#N/A,#N/A,TRUE,"Steel &amp; Roof";#N/A,#N/A,TRUE,"Arc.";#N/A,#N/A,TRUE,"Preliminary";#N/A,#N/A,TRUE,"Sum_Prelim"}</definedName>
    <definedName name="fgff" hidden="1">{#N/A,#N/A,TRUE,"SUM";#N/A,#N/A,TRUE,"EE";#N/A,#N/A,TRUE,"AC";#N/A,#N/A,TRUE,"SN"}</definedName>
    <definedName name="fgff_1" hidden="1">{#N/A,#N/A,TRUE,"SUM";#N/A,#N/A,TRUE,"EE";#N/A,#N/A,TRUE,"AC";#N/A,#N/A,TRUE,"SN"}</definedName>
    <definedName name="For_Check" localSheetId="0">#REF!</definedName>
    <definedName name="For_Check">#REF!</definedName>
    <definedName name="forml" localSheetId="0">#REF!</definedName>
    <definedName name="forml">#REF!</definedName>
    <definedName name="formm" localSheetId="0">#REF!</definedName>
    <definedName name="formm">#REF!</definedName>
    <definedName name="FP" localSheetId="0">'[4]Summary SN FP'!#REF!</definedName>
    <definedName name="FP">'[4]Summary SN FP'!#REF!</definedName>
    <definedName name="FSDFSDF" hidden="1">{#N/A,#N/A,TRUE,"SUM";#N/A,#N/A,TRUE,"EE";#N/A,#N/A,TRUE,"AC";#N/A,#N/A,TRUE,"SN"}</definedName>
    <definedName name="FSDFSDF_1" hidden="1">{#N/A,#N/A,TRUE,"SUM";#N/A,#N/A,TRUE,"EE";#N/A,#N/A,TRUE,"AC";#N/A,#N/A,TRUE,"SN"}</definedName>
    <definedName name="g" localSheetId="0">#REF!</definedName>
    <definedName name="g">#REF!</definedName>
    <definedName name="gdhyr" hidden="1">{"conso",#N/A,FALSE,"cash flow"}</definedName>
    <definedName name="GG" hidden="1">{#N/A,#N/A,TRUE,"SUM";#N/A,#N/A,TRUE,"EE";#N/A,#N/A,TRUE,"AC";#N/A,#N/A,TRUE,"SN"}</definedName>
    <definedName name="GG_1" hidden="1">{#N/A,#N/A,TRUE,"SUM";#N/A,#N/A,TRUE,"EE";#N/A,#N/A,TRUE,"AC";#N/A,#N/A,TRUE,"SN"}</definedName>
    <definedName name="ggg" hidden="1">{#N/A,#N/A,TRUE,"SUM";#N/A,#N/A,TRUE,"EE";#N/A,#N/A,TRUE,"AC";#N/A,#N/A,TRUE,"SN"}</definedName>
    <definedName name="ggg_1" hidden="1">{#N/A,#N/A,TRUE,"SUM";#N/A,#N/A,TRUE,"EE";#N/A,#N/A,TRUE,"AC";#N/A,#N/A,TRUE,"SN"}</definedName>
    <definedName name="GGGGG" hidden="1">{#N/A,#N/A,TRUE,"SUM";#N/A,#N/A,TRUE,"EE";#N/A,#N/A,TRUE,"AC";#N/A,#N/A,TRUE,"SN"}</definedName>
    <definedName name="GGGGG_1" hidden="1">{#N/A,#N/A,TRUE,"SUM";#N/A,#N/A,TRUE,"EE";#N/A,#N/A,TRUE,"AC";#N/A,#N/A,TRUE,"SN"}</definedName>
    <definedName name="ggh" hidden="1">{#N/A,#N/A,TRUE,"SUM";#N/A,#N/A,TRUE,"EE";#N/A,#N/A,TRUE,"AC";#N/A,#N/A,TRUE,"SN"}</definedName>
    <definedName name="gghh" hidden="1">{#N/A,#N/A,TRUE,"SUM";#N/A,#N/A,TRUE,"EE";#N/A,#N/A,TRUE,"AC";#N/A,#N/A,TRUE,"SN"}</definedName>
    <definedName name="GNFKD" hidden="1">{#N/A,#N/A,TRUE,"SUM";#N/A,#N/A,TRUE,"EE";#N/A,#N/A,TRUE,"AC";#N/A,#N/A,TRUE,"SN"}</definedName>
    <definedName name="GS" hidden="1">{#N/A,#N/A,TRUE,"Str.";#N/A,#N/A,TRUE,"Steel &amp; Roof";#N/A,#N/A,TRUE,"Arc.";#N/A,#N/A,TRUE,"Preliminary";#N/A,#N/A,TRUE,"Sum_Prelim"}</definedName>
    <definedName name="Hardware" hidden="1">{#N/A,#N/A,TRUE,"Str.";#N/A,#N/A,TRUE,"Steel &amp; Roof";#N/A,#N/A,TRUE,"Arc.";#N/A,#N/A,TRUE,"Preliminary";#N/A,#N/A,TRUE,"Sum_Prelim"}</definedName>
    <definedName name="Hardware_1" hidden="1">{#N/A,#N/A,TRUE,"Str.";#N/A,#N/A,TRUE,"Steel &amp; Roof";#N/A,#N/A,TRUE,"Arc.";#N/A,#N/A,TRUE,"Preliminary";#N/A,#N/A,TRUE,"Sum_Prelim"}</definedName>
    <definedName name="hgdkjh" hidden="1">{#N/A,#N/A,TRUE,"SUM";#N/A,#N/A,TRUE,"EE";#N/A,#N/A,TRUE,"AC";#N/A,#N/A,TRUE,"SN"}</definedName>
    <definedName name="hh" hidden="1">{"conso",#N/A,FALSE,"cash flow"}</definedName>
    <definedName name="HHHHHH" hidden="1">{#N/A,#N/A,TRUE,"SUM";#N/A,#N/A,TRUE,"EE";#N/A,#N/A,TRUE,"AC";#N/A,#N/A,TRUE,"SN"}</definedName>
    <definedName name="HHHHHH_1" hidden="1">{#N/A,#N/A,TRUE,"SUM";#N/A,#N/A,TRUE,"EE";#N/A,#N/A,TRUE,"AC";#N/A,#N/A,TRUE,"SN"}</definedName>
    <definedName name="HHHHHHHH" hidden="1">{#N/A,#N/A,TRUE,"SUM";#N/A,#N/A,TRUE,"EE";#N/A,#N/A,TRUE,"AC";#N/A,#N/A,TRUE,"SN"}</definedName>
    <definedName name="hmom" hidden="1">{#N/A,#N/A,TRUE,"SUM";#N/A,#N/A,TRUE,"EE";#N/A,#N/A,TRUE,"AC";#N/A,#N/A,TRUE,"SN"}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I" localSheetId="0">#REF!</definedName>
    <definedName name="I">#REF!</definedName>
    <definedName name="ie" localSheetId="0">#REF!</definedName>
    <definedName name="ie">#REF!</definedName>
    <definedName name="ishii" hidden="1">{#N/A,#N/A,TRUE,"SUM";#N/A,#N/A,TRUE,"EE";#N/A,#N/A,TRUE,"AC";#N/A,#N/A,TRUE,"SN"}</definedName>
    <definedName name="IX" localSheetId="0">#REF!</definedName>
    <definedName name="IX">#REF!</definedName>
    <definedName name="IY" localSheetId="0">#REF!</definedName>
    <definedName name="IY">#REF!</definedName>
    <definedName name="J" localSheetId="0">#REF!</definedName>
    <definedName name="J">#REF!</definedName>
    <definedName name="jfl" localSheetId="0">#REF!</definedName>
    <definedName name="jfl">#REF!</definedName>
    <definedName name="JKDFSJCSDKJ" hidden="1">{#N/A,#N/A,TRUE,"SUM";#N/A,#N/A,TRUE,"EE";#N/A,#N/A,TRUE,"AC";#N/A,#N/A,TRUE,"SN"}</definedName>
    <definedName name="JKDFSJCSDKJ_1" hidden="1">{#N/A,#N/A,TRUE,"SUM";#N/A,#N/A,TRUE,"EE";#N/A,#N/A,TRUE,"AC";#N/A,#N/A,TRUE,"SN"}</definedName>
    <definedName name="jkkjkl" hidden="1">{#N/A,#N/A,TRUE,"SUM";#N/A,#N/A,TRUE,"EE";#N/A,#N/A,TRUE,"AC";#N/A,#N/A,TRUE,"SN"}</definedName>
    <definedName name="joss" localSheetId="0">#REF!</definedName>
    <definedName name="joss">#REF!</definedName>
    <definedName name="K" hidden="1">{#N/A,#N/A,TRUE,"SUM";#N/A,#N/A,TRUE,"EE";#N/A,#N/A,TRUE,"AC";#N/A,#N/A,TRUE,"SN"}</definedName>
    <definedName name="K_1" hidden="1">{#N/A,#N/A,TRUE,"SUM";#N/A,#N/A,TRUE,"EE";#N/A,#N/A,TRUE,"AC";#N/A,#N/A,TRUE,"SN"}</definedName>
    <definedName name="KHJGDFGFHGHJ" hidden="1">{"cashflow",#N/A,FALSE,"cash flow"}</definedName>
    <definedName name="kihb" localSheetId="0" hidden="1">#REF!</definedName>
    <definedName name="kihb" hidden="1">#REF!</definedName>
    <definedName name="kk" hidden="1">{#N/A,#N/A,TRUE,"SUM";#N/A,#N/A,TRUE,"EE";#N/A,#N/A,TRUE,"AC";#N/A,#N/A,TRUE,"SN"}</definedName>
    <definedName name="KKPP" hidden="1">{#N/A,#N/A,TRUE,"SUM";#N/A,#N/A,TRUE,"EE";#N/A,#N/A,TRUE,"AC";#N/A,#N/A,TRUE,"SN"}</definedName>
    <definedName name="KKPP_1" hidden="1">{#N/A,#N/A,TRUE,"SUM";#N/A,#N/A,TRUE,"EE";#N/A,#N/A,TRUE,"AC";#N/A,#N/A,TRUE,"SN"}</definedName>
    <definedName name="klhkl" localSheetId="0" hidden="1">#REF!</definedName>
    <definedName name="klhkl" hidden="1">#REF!</definedName>
    <definedName name="L" localSheetId="0">#REF!</definedName>
    <definedName name="L">#REF!</definedName>
    <definedName name="L1_" localSheetId="0">#REF!</definedName>
    <definedName name="L1_">#REF!</definedName>
    <definedName name="L2_" localSheetId="0">#REF!</definedName>
    <definedName name="L2_">#REF!</definedName>
    <definedName name="leau" hidden="1">{#N/A,#N/A,TRUE,"SUM";#N/A,#N/A,TRUE,"EE";#N/A,#N/A,TRUE,"AC";#N/A,#N/A,TRUE,"SN"}</definedName>
    <definedName name="Letter" hidden="1">{#N/A,#N/A,TRUE,"Str.";#N/A,#N/A,TRUE,"Steel &amp; Roof";#N/A,#N/A,TRUE,"Arc.";#N/A,#N/A,TRUE,"Preliminary";#N/A,#N/A,TRUE,"Sum_Prelim"}</definedName>
    <definedName name="Letter_1" hidden="1">{#N/A,#N/A,TRUE,"Str.";#N/A,#N/A,TRUE,"Steel &amp; Roof";#N/A,#N/A,TRUE,"Arc.";#N/A,#N/A,TRUE,"Preliminary";#N/A,#N/A,TRUE,"Sum_Prelim"}</definedName>
    <definedName name="LF" localSheetId="0">#REF!</definedName>
    <definedName name="LF">#REF!</definedName>
    <definedName name="lil" localSheetId="0">#REF!</definedName>
    <definedName name="lil">#REF!</definedName>
    <definedName name="LIST" hidden="1">{#N/A,#N/A,TRUE,"Str.";#N/A,#N/A,TRUE,"Steel &amp; Roof";#N/A,#N/A,TRUE,"Arc.";#N/A,#N/A,TRUE,"Preliminary";#N/A,#N/A,TRUE,"Sum_Prelim"}</definedName>
    <definedName name="log" hidden="1">{#N/A,#N/A,TRUE,"SUM";#N/A,#N/A,TRUE,"EE";#N/A,#N/A,TRUE,"AC";#N/A,#N/A,TRUE,"SN"}</definedName>
    <definedName name="LP" hidden="1">{#N/A,#N/A,TRUE,"Str.";#N/A,#N/A,TRUE,"Steel &amp; Roof";#N/A,#N/A,TRUE,"Arc.";#N/A,#N/A,TRUE,"Preliminary";#N/A,#N/A,TRUE,"Sum_Prelim"}</definedName>
    <definedName name="LP_1" hidden="1">{#N/A,#N/A,TRUE,"Str.";#N/A,#N/A,TRUE,"Steel &amp; Roof";#N/A,#N/A,TRUE,"Arc.";#N/A,#N/A,TRUE,"Preliminary";#N/A,#N/A,TRUE,"Sum_Prelim"}</definedName>
    <definedName name="Lt." hidden="1">{#N/A,#N/A,TRUE,"Str.";#N/A,#N/A,TRUE,"Steel &amp; Roof";#N/A,#N/A,TRUE,"Arc.";#N/A,#N/A,TRUE,"Preliminary";#N/A,#N/A,TRUE,"Sum_Prelim"}</definedName>
    <definedName name="Lt._1" hidden="1">{#N/A,#N/A,TRUE,"Str.";#N/A,#N/A,TRUE,"Steel &amp; Roof";#N/A,#N/A,TRUE,"Arc.";#N/A,#N/A,TRUE,"Preliminary";#N/A,#N/A,TRUE,"Sum_Prelim"}</definedName>
    <definedName name="m" hidden="1">{#N/A,#N/A,TRUE,"SUM";#N/A,#N/A,TRUE,"EE";#N/A,#N/A,TRUE,"AC";#N/A,#N/A,TRUE,"SN"}</definedName>
    <definedName name="m_1" hidden="1">{#N/A,#N/A,TRUE,"SUM";#N/A,#N/A,TRUE,"EE";#N/A,#N/A,TRUE,"AC";#N/A,#N/A,TRUE,"SN"}</definedName>
    <definedName name="MandE_LAB" localSheetId="0">#REF!</definedName>
    <definedName name="MandE_LAB">#REF!</definedName>
    <definedName name="MandE_MAT" localSheetId="0">#REF!</definedName>
    <definedName name="MandE_MAT">#REF!</definedName>
    <definedName name="Material" hidden="1">{#N/A,#N/A,TRUE,"Str.";#N/A,#N/A,TRUE,"Steel &amp; Roof";#N/A,#N/A,TRUE,"Arc.";#N/A,#N/A,TRUE,"Preliminary";#N/A,#N/A,TRUE,"Sum_Prelim"}</definedName>
    <definedName name="MMM" localSheetId="0">#REF!</definedName>
    <definedName name="MMM">#REF!</definedName>
    <definedName name="MMMMM" localSheetId="0">#REF!</definedName>
    <definedName name="MMMMM">#REF!</definedName>
    <definedName name="MONTHIPA" localSheetId="0" hidden="1">#REF!</definedName>
    <definedName name="MONTHIPA" hidden="1">#REF!</definedName>
    <definedName name="new" hidden="1">{#N/A,#N/A,TRUE,"SUM";#N/A,#N/A,TRUE,"EE";#N/A,#N/A,TRUE,"AC";#N/A,#N/A,TRUE,"SN"}</definedName>
    <definedName name="new_1" hidden="1">{#N/A,#N/A,TRUE,"SUM";#N/A,#N/A,TRUE,"EE";#N/A,#N/A,TRUE,"AC";#N/A,#N/A,TRUE,"SN"}</definedName>
    <definedName name="ni" hidden="1">{"conso",#N/A,FALSE,"cash flow"}</definedName>
    <definedName name="Nitro" localSheetId="0">'[4]Summary SN FP'!#REF!</definedName>
    <definedName name="Nitro">'[4]Summary SN FP'!#REF!</definedName>
    <definedName name="nok28072551" localSheetId="0">'[2]EE-SIMC'!#REF!,'[2]EE-SIMC'!#REF!,'[2]EE-SIMC'!#REF!,'[2]EE-SIMC'!#REF!,'[2]EE-SIMC'!#REF!,'[2]EE-SIMC'!#REF!,'[2]EE-SIMC'!#REF!,'[2]EE-SIMC'!#REF!,'[2]EE-SIMC'!#REF!,'[2]EE-SIMC'!#REF!,'[2]EE-SIMC'!#REF!,'[2]EE-SIMC'!$I$17,'[2]EE-SIMC'!#REF!,'[2]EE-SIMC'!#REF!,'[2]EE-SIMC'!#REF!,'[2]EE-SIMC'!#REF!,'[2]EE-SIMC'!#REF!,'[2]EE-SIMC'!#REF!,'[2]EE-SIMC'!#REF!,'[2]EE-SIMC'!#REF!,'[2]EE-SIMC'!#REF!,'[2]EE-SIMC'!#REF!,'[2]EE-SIMC'!#REF!,'[2]EE-SIMC'!#REF!,'[2]EE-SIMC'!#REF!,'[2]EE-SIMC'!#REF!,'[2]EE-SIMC'!#REF!,'[2]EE-SIMC'!#REF!</definedName>
    <definedName name="nok28072551">'[2]EE-SIMC'!#REF!,'[2]EE-SIMC'!#REF!,'[2]EE-SIMC'!#REF!,'[2]EE-SIMC'!#REF!,'[2]EE-SIMC'!#REF!,'[2]EE-SIMC'!#REF!,'[2]EE-SIMC'!#REF!,'[2]EE-SIMC'!#REF!,'[2]EE-SIMC'!#REF!,'[2]EE-SIMC'!#REF!,'[2]EE-SIMC'!#REF!,'[2]EE-SIMC'!$I$17,'[2]EE-SIMC'!#REF!,'[2]EE-SIMC'!#REF!,'[2]EE-SIMC'!#REF!,'[2]EE-SIMC'!#REF!,'[2]EE-SIMC'!#REF!,'[2]EE-SIMC'!#REF!,'[2]EE-SIMC'!#REF!,'[2]EE-SIMC'!#REF!,'[2]EE-SIMC'!#REF!,'[2]EE-SIMC'!#REF!,'[2]EE-SIMC'!#REF!,'[2]EE-SIMC'!#REF!,'[2]EE-SIMC'!#REF!,'[2]EE-SIMC'!#REF!,'[2]EE-SIMC'!#REF!,'[2]EE-SIMC'!#REF!</definedName>
    <definedName name="nu" hidden="1">{"cashflow",#N/A,FALSE,"cash flow"}</definedName>
    <definedName name="OOOO" hidden="1">{#N/A,#N/A,TRUE,"SUM";#N/A,#N/A,TRUE,"EE";#N/A,#N/A,TRUE,"AC";#N/A,#N/A,TRUE,"SN"}</definedName>
    <definedName name="OTHER_LAB" localSheetId="0">#REF!</definedName>
    <definedName name="OTHER_LAB">#REF!</definedName>
    <definedName name="OTHER_MAT" localSheetId="0">#REF!</definedName>
    <definedName name="OTHER_MAT">#REF!</definedName>
    <definedName name="Panel" hidden="1">{#N/A,#N/A,TRUE,"SUM";#N/A,#N/A,TRUE,"EE";#N/A,#N/A,TRUE,"AC";#N/A,#N/A,TRUE,"SN"}</definedName>
    <definedName name="Panel_1" hidden="1">{#N/A,#N/A,TRUE,"SUM";#N/A,#N/A,TRUE,"EE";#N/A,#N/A,TRUE,"AC";#N/A,#N/A,TRUE,"SN"}</definedName>
    <definedName name="PBS" localSheetId="0">'[4]Summary SN FP'!#REF!</definedName>
    <definedName name="PBS">'[4]Summary SN FP'!#REF!</definedName>
    <definedName name="pff" hidden="1">{#N/A,#N/A,TRUE,"SUM";#N/A,#N/A,TRUE,"EE";#N/A,#N/A,TRUE,"AC";#N/A,#N/A,TRUE,"SN"}</definedName>
    <definedName name="POSTL" localSheetId="0">#REF!</definedName>
    <definedName name="POSTL">#REF!</definedName>
    <definedName name="POSTM" localSheetId="0">#REF!</definedName>
    <definedName name="POSTM">#REF!</definedName>
    <definedName name="ppp" hidden="1">{#N/A,#N/A,TRUE,"SUM";#N/A,#N/A,TRUE,"EE";#N/A,#N/A,TRUE,"AC";#N/A,#N/A,TRUE,"SN"}</definedName>
    <definedName name="ppp_1" hidden="1">{#N/A,#N/A,TRUE,"SUM";#N/A,#N/A,TRUE,"EE";#N/A,#N/A,TRUE,"AC";#N/A,#N/A,TRUE,"SN"}</definedName>
    <definedName name="PRE_LAB" localSheetId="0">#REF!</definedName>
    <definedName name="PRE_LAB">#REF!</definedName>
    <definedName name="PRE_MAT" localSheetId="0">#REF!</definedName>
    <definedName name="PRE_MAT">#REF!</definedName>
    <definedName name="Preliminary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_1" hidden="1">{#N/A,#N/A,TRUE,"Str.";#N/A,#N/A,TRUE,"Steel &amp; Roof";#N/A,#N/A,TRUE,"Arc.";#N/A,#N/A,TRUE,"Preliminary";#N/A,#N/A,TRUE,"Sum_Prelim"}</definedName>
    <definedName name="_xlnm.Print_Area" localSheetId="0">'NKC2'!$A$1:$CZ$127</definedName>
    <definedName name="PRINT_AREA_MI" localSheetId="0">#REF!</definedName>
    <definedName name="PRINT_AREA_MI">#REF!</definedName>
    <definedName name="_xlnm.Print_Titles">#REF!</definedName>
    <definedName name="PRINT_TITLES_MI" localSheetId="0">#REF!</definedName>
    <definedName name="PRINT_TITLES_MI">#REF!</definedName>
    <definedName name="Progress" hidden="1">{#N/A,#N/A,TRUE,"Str.";#N/A,#N/A,TRUE,"Steel &amp; Roof";#N/A,#N/A,TRUE,"Arc.";#N/A,#N/A,TRUE,"Preliminary";#N/A,#N/A,TRUE,"Sum_Prelim"}</definedName>
    <definedName name="Protection" hidden="1">{#N/A,#N/A,TRUE,"SUM";#N/A,#N/A,TRUE,"EE";#N/A,#N/A,TRUE,"AC";#N/A,#N/A,TRUE,"SN"}</definedName>
    <definedName name="Q" hidden="1">{#N/A,#N/A,TRUE,"SUM";#N/A,#N/A,TRUE,"EE";#N/A,#N/A,TRUE,"AC";#N/A,#N/A,TRUE,"SN"}</definedName>
    <definedName name="Q_1" hidden="1">{#N/A,#N/A,TRUE,"SUM";#N/A,#N/A,TRUE,"EE";#N/A,#N/A,TRUE,"AC";#N/A,#N/A,TRUE,"SN"}</definedName>
    <definedName name="QQQ" hidden="1">{#N/A,#N/A,TRUE,"SUM";#N/A,#N/A,TRUE,"EE";#N/A,#N/A,TRUE,"AC";#N/A,#N/A,TRUE,"SN"}</definedName>
    <definedName name="QQQ_1" hidden="1">{#N/A,#N/A,TRUE,"SUM";#N/A,#N/A,TRUE,"EE";#N/A,#N/A,TRUE,"AC";#N/A,#N/A,TRUE,"SN"}</definedName>
    <definedName name="qqqqq" hidden="1">{"cashflow",#N/A,FALSE,"cash flow"}</definedName>
    <definedName name="qwer" hidden="1">{#N/A,#N/A,TRUE,"SUM";#N/A,#N/A,TRUE,"EE";#N/A,#N/A,TRUE,"AC";#N/A,#N/A,TRUE,"SN"}</definedName>
    <definedName name="Roof_Tank" localSheetId="0">#REF!</definedName>
    <definedName name="Roof_Tank">#REF!</definedName>
    <definedName name="RRT" hidden="1">{#N/A,#N/A,TRUE,"SUM";#N/A,#N/A,TRUE,"EE";#N/A,#N/A,TRUE,"AC";#N/A,#N/A,TRUE,"SN"}</definedName>
    <definedName name="rung" localSheetId="0">'[8]EE-SIMC'!#REF!,'[8]EE-SIMC'!#REF!,'[8]EE-SIMC'!#REF!,'[8]EE-SIMC'!#REF!,'[8]EE-SIMC'!#REF!,'[8]EE-SIMC'!#REF!,'[8]EE-SIMC'!#REF!,'[8]EE-SIMC'!#REF!,'[8]EE-SIMC'!#REF!,'[8]EE-SIMC'!#REF!,'[8]EE-SIMC'!#REF!,'[8]EE-SIMC'!$I$17,'[8]EE-SIMC'!#REF!,'[8]EE-SIMC'!#REF!,'[8]EE-SIMC'!#REF!,'[8]EE-SIMC'!#REF!,'[8]EE-SIMC'!#REF!,'[8]EE-SIMC'!#REF!,'[8]EE-SIMC'!#REF!,'[8]EE-SIMC'!#REF!,'[8]EE-SIMC'!#REF!,'[8]EE-SIMC'!#REF!,'[8]EE-SIMC'!#REF!,'[8]EE-SIMC'!#REF!,'[8]EE-SIMC'!#REF!,'[8]EE-SIMC'!#REF!,'[8]EE-SIMC'!#REF!,'[8]EE-SIMC'!#REF!</definedName>
    <definedName name="rung">'[8]EE-SIMC'!#REF!,'[8]EE-SIMC'!#REF!,'[8]EE-SIMC'!#REF!,'[8]EE-SIMC'!#REF!,'[8]EE-SIMC'!#REF!,'[8]EE-SIMC'!#REF!,'[8]EE-SIMC'!#REF!,'[8]EE-SIMC'!#REF!,'[8]EE-SIMC'!#REF!,'[8]EE-SIMC'!#REF!,'[8]EE-SIMC'!#REF!,'[8]EE-SIMC'!$I$17,'[8]EE-SIMC'!#REF!,'[8]EE-SIMC'!#REF!,'[8]EE-SIMC'!#REF!,'[8]EE-SIMC'!#REF!,'[8]EE-SIMC'!#REF!,'[8]EE-SIMC'!#REF!,'[8]EE-SIMC'!#REF!,'[8]EE-SIMC'!#REF!,'[8]EE-SIMC'!#REF!,'[8]EE-SIMC'!#REF!,'[8]EE-SIMC'!#REF!,'[8]EE-SIMC'!#REF!,'[8]EE-SIMC'!#REF!,'[8]EE-SIMC'!#REF!,'[8]EE-SIMC'!#REF!,'[8]EE-SIMC'!#REF!</definedName>
    <definedName name="s" localSheetId="0">#REF!</definedName>
    <definedName name="s">#REF!</definedName>
    <definedName name="SA" hidden="1">{#N/A,#N/A,TRUE,"SUM";#N/A,#N/A,TRUE,"EE";#N/A,#N/A,TRUE,"AC";#N/A,#N/A,TRUE,"SN"}</definedName>
    <definedName name="SA_1" hidden="1">{#N/A,#N/A,TRUE,"SUM";#N/A,#N/A,TRUE,"EE";#N/A,#N/A,TRUE,"AC";#N/A,#N/A,TRUE,"SN"}</definedName>
    <definedName name="SAN" hidden="1">{#N/A,#N/A,TRUE,"SUM";#N/A,#N/A,TRUE,"EE";#N/A,#N/A,TRUE,"AC";#N/A,#N/A,TRUE,"SN"}</definedName>
    <definedName name="sang" hidden="1">{#N/A,#N/A,TRUE,"Str.";#N/A,#N/A,TRUE,"Steel &amp; Roof";#N/A,#N/A,TRUE,"Arc.";#N/A,#N/A,TRUE,"Preliminary";#N/A,#N/A,TRUE,"Sum_Prelim"}</definedName>
    <definedName name="sdasa" hidden="1">{#N/A,#N/A,TRUE,"SUM";#N/A,#N/A,TRUE,"EE";#N/A,#N/A,TRUE,"AC";#N/A,#N/A,TRUE,"SN"}</definedName>
    <definedName name="SDL" localSheetId="0">#REF!</definedName>
    <definedName name="SDL">#REF!</definedName>
    <definedName name="SDM" localSheetId="0">#REF!</definedName>
    <definedName name="SDM">#REF!</definedName>
    <definedName name="sdr" hidden="1">{"conso",#N/A,FALSE,"cash flow"}</definedName>
    <definedName name="sdtgf" hidden="1">{"conso",#N/A,FALSE,"cash flow"}</definedName>
    <definedName name="sf" localSheetId="0">#REF!</definedName>
    <definedName name="sf">#REF!</definedName>
    <definedName name="sfsdfsdfsdfsdfsfs" hidden="1">{#N/A,#N/A,TRUE,"SUM";#N/A,#N/A,TRUE,"EE";#N/A,#N/A,TRUE,"AC";#N/A,#N/A,TRUE,"SN"}</definedName>
    <definedName name="so" hidden="1">{#N/A,#N/A,TRUE,"SUM";#N/A,#N/A,TRUE,"EE";#N/A,#N/A,TRUE,"AC";#N/A,#N/A,TRUE,"SN"}</definedName>
    <definedName name="soon" hidden="1">{#N/A,#N/A,TRUE,"SUM";#N/A,#N/A,TRUE,"EE";#N/A,#N/A,TRUE,"AC";#N/A,#N/A,TRUE,"SN"}</definedName>
    <definedName name="srf" localSheetId="0">#REF!</definedName>
    <definedName name="srf">#REF!</definedName>
    <definedName name="SRL" localSheetId="0">#REF!</definedName>
    <definedName name="SRL">#REF!</definedName>
    <definedName name="SRM" localSheetId="0">#REF!</definedName>
    <definedName name="SRM">#REF!</definedName>
    <definedName name="SS" hidden="1">{#N/A,#N/A,TRUE,"SUM";#N/A,#N/A,TRUE,"EE";#N/A,#N/A,TRUE,"AC";#N/A,#N/A,TRUE,"SN"}</definedName>
    <definedName name="sta" localSheetId="0">#REF!</definedName>
    <definedName name="sta">#REF!</definedName>
    <definedName name="STRUC_LAB" localSheetId="0">#REF!</definedName>
    <definedName name="STRUC_LAB">#REF!</definedName>
    <definedName name="STRUC_MAT" localSheetId="0">#REF!</definedName>
    <definedName name="STRUC_MAT">#REF!</definedName>
    <definedName name="sum" hidden="1">{#N/A,#N/A,TRUE,"SUM";#N/A,#N/A,TRUE,"EE";#N/A,#N/A,TRUE,"AC";#N/A,#N/A,TRUE,"SN"}</definedName>
    <definedName name="summar" hidden="1">{#N/A,#N/A,TRUE,"SUM";#N/A,#N/A,TRUE,"EE";#N/A,#N/A,TRUE,"AC";#N/A,#N/A,TRUE,"SN"}</definedName>
    <definedName name="summar_1" hidden="1">{#N/A,#N/A,TRUE,"SUM";#N/A,#N/A,TRUE,"EE";#N/A,#N/A,TRUE,"AC";#N/A,#N/A,TRUE,"SN"}</definedName>
    <definedName name="summary" hidden="1">{#N/A,#N/A,TRUE,"SUM";#N/A,#N/A,TRUE,"EE";#N/A,#N/A,TRUE,"AC";#N/A,#N/A,TRUE,"SN"}</definedName>
    <definedName name="summary_1" hidden="1">{#N/A,#N/A,TRUE,"SUM";#N/A,#N/A,TRUE,"EE";#N/A,#N/A,TRUE,"AC";#N/A,#N/A,TRUE,"SN"}</definedName>
    <definedName name="Super" hidden="1">{#N/A,#N/A,TRUE,"Str.";#N/A,#N/A,TRUE,"Steel &amp; Roof";#N/A,#N/A,TRUE,"Arc.";#N/A,#N/A,TRUE,"Preliminary";#N/A,#N/A,TRUE,"Sum_Prelim"}</definedName>
    <definedName name="SWP" localSheetId="0">'[4]Summary SN FP'!#REF!</definedName>
    <definedName name="SWP">'[4]Summary SN FP'!#REF!</definedName>
    <definedName name="SWw" hidden="1">{#N/A,#N/A,TRUE,"SUM";#N/A,#N/A,TRUE,"EE";#N/A,#N/A,TRUE,"AC";#N/A,#N/A,TRUE,"SN"}</definedName>
    <definedName name="te" localSheetId="0">#REF!</definedName>
    <definedName name="te">#REF!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wtret" hidden="1">{#N/A,#N/A,TRUE,"SUM";#N/A,#N/A,TRUE,"EE";#N/A,#N/A,TRUE,"AC";#N/A,#N/A,TRUE,"SN"}</definedName>
    <definedName name="tgg" localSheetId="0" hidden="1">#REF!</definedName>
    <definedName name="tgg" hidden="1">#REF!</definedName>
    <definedName name="tna" localSheetId="0">#REF!</definedName>
    <definedName name="tna">#REF!</definedName>
    <definedName name="total2" hidden="1">{#N/A,#N/A,TRUE,"Str.";#N/A,#N/A,TRUE,"Steel &amp; Roof";#N/A,#N/A,TRUE,"Arc.";#N/A,#N/A,TRUE,"Preliminary";#N/A,#N/A,TRUE,"Sum_Prelim"}</definedName>
    <definedName name="Total7" localSheetId="0">[7]BOQ!#REF!</definedName>
    <definedName name="Total7">[7]BOQ!#REF!</definedName>
    <definedName name="Total9">[7]BOQ!$I$107</definedName>
    <definedName name="tretert" hidden="1">{#N/A,#N/A,TRUE,"SUM";#N/A,#N/A,TRUE,"EE";#N/A,#N/A,TRUE,"AC";#N/A,#N/A,TRUE,"SN"}</definedName>
    <definedName name="ttt" localSheetId="0">#REF!</definedName>
    <definedName name="ttt">#REF!</definedName>
    <definedName name="tttttttttttttttt" localSheetId="0" hidden="1">#REF!</definedName>
    <definedName name="tttttttttttttttt" hidden="1">#REF!</definedName>
    <definedName name="tyhyh" hidden="1">{"conso",#N/A,FALSE,"cash flow"}</definedName>
    <definedName name="VEN" hidden="1">{#N/A,#N/A,TRUE,"SUM";#N/A,#N/A,TRUE,"EE";#N/A,#N/A,TRUE,"AC";#N/A,#N/A,TRUE,"SN"}</definedName>
    <definedName name="VEN_1" hidden="1">{#N/A,#N/A,TRUE,"SUM";#N/A,#N/A,TRUE,"EE";#N/A,#N/A,TRUE,"AC";#N/A,#N/A,TRUE,"SN"}</definedName>
    <definedName name="W" localSheetId="0">#REF!</definedName>
    <definedName name="W">#REF!</definedName>
    <definedName name="wall_Tank" localSheetId="0">#REF!</definedName>
    <definedName name="wall_Tank">#REF!</definedName>
    <definedName name="werete" hidden="1">{#N/A,#N/A,TRUE,"SUM";#N/A,#N/A,TRUE,"EE";#N/A,#N/A,TRUE,"AC";#N/A,#N/A,TRUE,"SN"}</definedName>
    <definedName name="werewr" hidden="1">{#N/A,#N/A,TRUE,"SUM";#N/A,#N/A,TRUE,"EE";#N/A,#N/A,TRUE,"AC";#N/A,#N/A,TRUE,"SN"}</definedName>
    <definedName name="werewrt" hidden="1">{#N/A,#N/A,TRUE,"SUM";#N/A,#N/A,TRUE,"EE";#N/A,#N/A,TRUE,"AC";#N/A,#N/A,TRUE,"SN"}</definedName>
    <definedName name="werwert" hidden="1">{#N/A,#N/A,TRUE,"SUM";#N/A,#N/A,TRUE,"EE";#N/A,#N/A,TRUE,"AC";#N/A,#N/A,TRUE,"SN"}</definedName>
    <definedName name="wery" hidden="1">{#N/A,#N/A,TRUE,"Str.";#N/A,#N/A,TRUE,"Steel &amp; Roof";#N/A,#N/A,TRUE,"Arc.";#N/A,#N/A,TRUE,"Preliminary";#N/A,#N/A,TRUE,"Sum_Prelim"}</definedName>
    <definedName name="wery_1" hidden="1">{#N/A,#N/A,TRUE,"Str.";#N/A,#N/A,TRUE,"Steel &amp; Roof";#N/A,#N/A,TRUE,"Arc.";#N/A,#N/A,TRUE,"Preliminary";#N/A,#N/A,TRUE,"Sum_Prelim"}</definedName>
    <definedName name="wqwqwq" localSheetId="0" hidden="1">#REF!</definedName>
    <definedName name="wqwqwq" hidden="1">#REF!</definedName>
    <definedName name="wrn.A." hidden="1">{#N/A,#N/A,TRUE,"SUM";#N/A,#N/A,TRUE,"EE";#N/A,#N/A,TRUE,"AC";#N/A,#N/A,TRUE,"SN"}</definedName>
    <definedName name="wrn.A._1" hidden="1">{#N/A,#N/A,TRUE,"SUM";#N/A,#N/A,TRUE,"EE";#N/A,#N/A,TRUE,"AC";#N/A,#N/A,TRUE,"SN"}</definedName>
    <definedName name="wrn.BILLS._.OF._.QUANTITY." hidden="1">{#N/A,#N/A,TRUE,"Str.";#N/A,#N/A,TRUE,"Steel &amp; Roof";#N/A,#N/A,TRUE,"Arc.";#N/A,#N/A,TRUE,"Preliminary";#N/A,#N/A,TRUE,"Sum_Prelim"}</definedName>
    <definedName name="wrn.BILLS._.OF._.QUANTITY._1" hidden="1">{#N/A,#N/A,TRUE,"Str.";#N/A,#N/A,TRUE,"Steel &amp; Roof";#N/A,#N/A,TRUE,"Arc.";#N/A,#N/A,TRUE,"Preliminary";#N/A,#N/A,TRUE,"Sum_Prelim"}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ashflow." hidden="1">{"cashflow",#N/A,FALSE,"cash flow"}</definedName>
    <definedName name="wrn.conso." hidden="1">{"conso",#N/A,FALSE,"cash flow"}</definedName>
    <definedName name="wrwer" hidden="1">{#N/A,#N/A,TRUE,"SUM";#N/A,#N/A,TRUE,"EE";#N/A,#N/A,TRUE,"AC";#N/A,#N/A,TRUE,"SN"}</definedName>
    <definedName name="ww" hidden="1">{#N/A,#N/A,TRUE,"Str.";#N/A,#N/A,TRUE,"Steel &amp; Roof";#N/A,#N/A,TRUE,"Arc.";#N/A,#N/A,TRUE,"Preliminary";#N/A,#N/A,TRUE,"Sum_Prelim"}</definedName>
    <definedName name="WWT" localSheetId="0">'[4]Summary SN FP'!#REF!</definedName>
    <definedName name="WWT">'[4]Summary SN FP'!#REF!</definedName>
    <definedName name="www" hidden="1">{#N/A,#N/A,TRUE,"SUM";#N/A,#N/A,TRUE,"EE";#N/A,#N/A,TRUE,"AC";#N/A,#N/A,TRUE,"SN"}</definedName>
    <definedName name="xAdcad" localSheetId="0">#REF!</definedName>
    <definedName name="xAdcad">#REF!</definedName>
    <definedName name="xsd" hidden="1">{"conso",#N/A,FALSE,"cash flow"}</definedName>
    <definedName name="xwe" localSheetId="0" hidden="1">#REF!</definedName>
    <definedName name="xwe" hidden="1">#REF!</definedName>
    <definedName name="XX" hidden="1">{#N/A,#N/A,TRUE,"SUM";#N/A,#N/A,TRUE,"EE";#N/A,#N/A,TRUE,"AC";#N/A,#N/A,TRUE,"SN"}</definedName>
    <definedName name="y" localSheetId="0">#REF!</definedName>
    <definedName name="y">#REF!</definedName>
    <definedName name="Zone" hidden="1">{#N/A,#N/A,TRUE,"Str.";#N/A,#N/A,TRUE,"Steel &amp; Roof";#N/A,#N/A,TRUE,"Arc.";#N/A,#N/A,TRUE,"Preliminary";#N/A,#N/A,TRUE,"Sum_Prelim"}</definedName>
    <definedName name="เด้" hidden="1">{#N/A,#N/A,TRUE,"SUM";#N/A,#N/A,TRUE,"EE";#N/A,#N/A,TRUE,"AC";#N/A,#N/A,TRUE,"SN"}</definedName>
    <definedName name="ใบ" hidden="1">{"'SUMMATION'!$B$2:$I$2"}</definedName>
    <definedName name="ไฟฟ_า_ภายใน" localSheetId="0">#REF!</definedName>
    <definedName name="ไฟฟ_า_ภายใน">#REF!</definedName>
    <definedName name="ไฟฟ้า_ภายใน" localSheetId="0">#REF!</definedName>
    <definedName name="ไฟฟ้า_ภายใน">#REF!</definedName>
    <definedName name="กกก" localSheetId="0" hidden="1">#REF!</definedName>
    <definedName name="กกก" hidden="1">#REF!</definedName>
    <definedName name="ค่าแบบข้าง">'[9]ค่าดำเนินการ+ค่าเสื่อมฯ28.5฿'!$I$58</definedName>
    <definedName name="ค่าขนส่งดิน">[5]สรุปค่าขนส่ง!$M$6</definedName>
    <definedName name="ค่าบ่มผิวทางคอนกรีต">'[9]ค่าดำเนินการ+ค่าเสื่อมฯ28.5฿'!$I$62</definedName>
    <definedName name="ค่าวางแผงเหล็ก">'[9]ค่าดำเนินการ+ค่าเสื่อมฯ28.5฿'!$I$87</definedName>
    <definedName name="งวดงาน" localSheetId="0">#REF!</definedName>
    <definedName name="งวดงาน">#REF!</definedName>
    <definedName name="งานเข_ม" localSheetId="0">'[10]4.AR.'!#REF!</definedName>
    <definedName name="งานเข_ม">'[10]4.AR.'!#REF!</definedName>
    <definedName name="งานเตร_ยมการ" localSheetId="0">'[10]4.AR.'!#REF!</definedName>
    <definedName name="งานเตร_ยมการ">'[10]4.AR.'!#REF!</definedName>
    <definedName name="งานโครงสร_าง" localSheetId="0">'[10]4.AR.'!#REF!</definedName>
    <definedName name="งานโครงสร_าง">'[10]4.AR.'!#REF!</definedName>
    <definedName name="งานไฟฟ_า" localSheetId="0">#REF!</definedName>
    <definedName name="งานไฟฟ_า">#REF!</definedName>
    <definedName name="งานไฟฟ้า" localSheetId="0">#REF!</definedName>
    <definedName name="งานไฟฟ้า">#REF!</definedName>
    <definedName name="งานตกแต_งภายใน" localSheetId="0">'[10]4.AR.'!#REF!</definedName>
    <definedName name="งานตกแต_งภายใน">'[10]4.AR.'!#REF!</definedName>
    <definedName name="งานภ_ม_ท_ศน_" localSheetId="0">'[10]4.AR.'!#REF!</definedName>
    <definedName name="งานภ_ม_ท_ศน_">'[10]4.AR.'!#REF!</definedName>
    <definedName name="งานระบบไฟฟ_าและส__อสาร" localSheetId="0">'[10]4.AR.'!#REF!</definedName>
    <definedName name="งานระบบไฟฟ_าและส__อสาร">'[10]4.AR.'!#REF!</definedName>
    <definedName name="งานระบบทางการแพทย_" localSheetId="0">'[10]4.AR.'!#REF!</definedName>
    <definedName name="งานระบบทางการแพทย_">'[10]4.AR.'!#REF!</definedName>
    <definedName name="งานระบบปร_บอากาศและระบายอากาศ" localSheetId="0">'[10]4.AR.'!#REF!</definedName>
    <definedName name="งานระบบปร_บอากาศและระบายอากาศ">'[10]4.AR.'!#REF!</definedName>
    <definedName name="งานอ__น_ๆ" localSheetId="0">'[10]4.AR.'!#REF!</definedName>
    <definedName name="งานอ__น_ๆ">'[10]4.AR.'!#REF!</definedName>
    <definedName name="จดหมาย" hidden="1">{#N/A,#N/A,TRUE,"Str.";#N/A,#N/A,TRUE,"Steel &amp; Roof";#N/A,#N/A,TRUE,"Arc.";#N/A,#N/A,TRUE,"Preliminary";#N/A,#N/A,TRUE,"Sum_Prelim"}</definedName>
    <definedName name="จดหมาย_1" hidden="1">{#N/A,#N/A,TRUE,"Str.";#N/A,#N/A,TRUE,"Steel &amp; Roof";#N/A,#N/A,TRUE,"Arc.";#N/A,#N/A,TRUE,"Preliminary";#N/A,#N/A,TRUE,"Sum_Prelim"}</definedName>
    <definedName name="ด" localSheetId="0">#REF!</definedName>
    <definedName name="ด">#REF!</definedName>
    <definedName name="ถ_ง" localSheetId="0">#REF!</definedName>
    <definedName name="ถ_ง">#REF!</definedName>
    <definedName name="ถ_งเก_บน_ำช__นบน" localSheetId="0">#REF!</definedName>
    <definedName name="ถ_งเก_บน_ำช__นบน">#REF!</definedName>
    <definedName name="ถังเก็บน้ำชั้นบน" localSheetId="0">#REF!</definedName>
    <definedName name="ถังเก็บน้ำชั้นบน">#REF!</definedName>
    <definedName name="ถุง" localSheetId="0">#REF!</definedName>
    <definedName name="ถุง">#REF!</definedName>
    <definedName name="ป" localSheetId="0">#REF!</definedName>
    <definedName name="ป">#REF!</definedName>
    <definedName name="ปก32" hidden="1">{"'SUMMATION'!$B$2:$I$2"}</definedName>
    <definedName name="พ__นสำเร_จร_ป" localSheetId="0">#REF!</definedName>
    <definedName name="พ__นสำเร_จร_ป">#REF!</definedName>
    <definedName name="พื้นสำเร็จรูป" localSheetId="0">#REF!</definedName>
    <definedName name="พื้นสำเร็จรูป">#REF!</definedName>
    <definedName name="ฟ700" localSheetId="0">'[8]EE-SIMC'!#REF!</definedName>
    <definedName name="ฟ700">'[8]EE-SIMC'!#REF!</definedName>
    <definedName name="ภายใน" localSheetId="0">#REF!</definedName>
    <definedName name="ภายใน">#REF!</definedName>
    <definedName name="ยำยำ" localSheetId="0">#REF!</definedName>
    <definedName name="ยำยำ">#REF!</definedName>
    <definedName name="รวม" hidden="1">{#N/A,#N/A,TRUE,"Str.";#N/A,#N/A,TRUE,"Steel &amp; Roof";#N/A,#N/A,TRUE,"Arc.";#N/A,#N/A,TRUE,"Preliminary";#N/A,#N/A,TRUE,"Sum_Prelim"}</definedName>
    <definedName name="ลลล" hidden="1">{#N/A,#N/A,TRUE,"SUM";#N/A,#N/A,TRUE,"EE";#N/A,#N/A,TRUE,"AC";#N/A,#N/A,TRUE,"SN"}</definedName>
    <definedName name="ลลล_1" hidden="1">{#N/A,#N/A,TRUE,"SUM";#N/A,#N/A,TRUE,"EE";#N/A,#N/A,TRUE,"AC";#N/A,#N/A,TRUE,"SN"}</definedName>
    <definedName name="สำเริง" hidden="1">{#N/A,#N/A,TRUE,"Str.";#N/A,#N/A,TRUE,"Steel &amp; Roof";#N/A,#N/A,TRUE,"Arc.";#N/A,#N/A,TRUE,"Preliminary";#N/A,#N/A,TRUE,"Sum_Prelim"}</definedName>
    <definedName name="ห_ช_าง" localSheetId="0">#REF!</definedName>
    <definedName name="ห_ช_าง">#REF!</definedName>
    <definedName name="หมวดค่าครุภัณฑ์" localSheetId="0">#REF!</definedName>
    <definedName name="หมวดค่าครุภัณฑ์">#REF!</definedName>
    <definedName name="หูช้าง" localSheetId="0">#REF!</definedName>
    <definedName name="หูช้าง">#REF!</definedName>
    <definedName name="หๆไ" localSheetId="0" hidden="1">#REF!</definedName>
    <definedName name="หๆไ" hidden="1">#REF!</definedName>
    <definedName name="อ" localSheetId="0">#REF!</definedName>
    <definedName name="อ">#REF!</definedName>
    <definedName name="岡田" hidden="1">{#N/A,#N/A,TRUE,"SUM";#N/A,#N/A,TRUE,"EE";#N/A,#N/A,TRUE,"AC";#N/A,#N/A,TRUE,"SN"}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37" i="64" l="1" a="1"/>
  <c r="AD137" i="64" s="1"/>
  <c r="AC137" i="64" a="1"/>
  <c r="AC137" i="64" s="1"/>
  <c r="AB137" i="64" a="1"/>
  <c r="AB137" i="64" s="1"/>
  <c r="AA137" i="64" a="1"/>
  <c r="AA137" i="64" s="1"/>
  <c r="Z137" i="64" a="1"/>
  <c r="Z137" i="64" s="1"/>
  <c r="Y137" i="64" a="1"/>
  <c r="Y137" i="64" s="1"/>
  <c r="X137" i="64" a="1"/>
  <c r="X137" i="64" s="1"/>
  <c r="W137" i="64" a="1"/>
  <c r="W137" i="64" s="1"/>
  <c r="V137" i="64" a="1"/>
  <c r="V137" i="64" s="1"/>
  <c r="U137" i="64" a="1"/>
  <c r="U137" i="64" s="1"/>
  <c r="T137" i="64" a="1"/>
  <c r="T137" i="64" s="1"/>
  <c r="S137" i="64" a="1"/>
  <c r="S137" i="64" s="1"/>
  <c r="R137" i="64" a="1"/>
  <c r="R137" i="64" s="1"/>
  <c r="Q137" i="64" a="1"/>
  <c r="Q137" i="64" s="1"/>
  <c r="P137" i="64" a="1"/>
  <c r="P137" i="64" s="1"/>
  <c r="O137" i="64" a="1"/>
  <c r="O137" i="64" s="1"/>
  <c r="N137" i="64" a="1"/>
  <c r="N137" i="64" s="1"/>
  <c r="M137" i="64" a="1"/>
  <c r="M137" i="64" s="1"/>
  <c r="L137" i="64" a="1"/>
  <c r="L137" i="64" s="1"/>
  <c r="K137" i="64" a="1"/>
  <c r="K137" i="64" s="1"/>
  <c r="J137" i="64" a="1"/>
  <c r="J137" i="64" s="1"/>
  <c r="CM130" i="64"/>
  <c r="CL130" i="64"/>
  <c r="CK130" i="64"/>
  <c r="CJ130" i="64"/>
  <c r="CI130" i="64"/>
  <c r="CH130" i="64"/>
  <c r="CG130" i="64"/>
  <c r="CF130" i="64"/>
  <c r="CE130" i="64"/>
  <c r="CD130" i="64"/>
  <c r="CC130" i="64"/>
  <c r="CB130" i="64"/>
  <c r="CA130" i="64"/>
  <c r="BZ130" i="64"/>
  <c r="BY130" i="64"/>
  <c r="BX130" i="64"/>
  <c r="BW130" i="64"/>
  <c r="BV130" i="64"/>
  <c r="BU130" i="64"/>
  <c r="BT130" i="64"/>
  <c r="BS130" i="64"/>
  <c r="BR130" i="64"/>
  <c r="BQ130" i="64"/>
  <c r="BP130" i="64"/>
  <c r="BO130" i="64"/>
  <c r="BN130" i="64"/>
  <c r="BM130" i="64"/>
  <c r="BL130" i="64"/>
  <c r="BK130" i="64"/>
  <c r="BJ130" i="64"/>
  <c r="BI130" i="64"/>
  <c r="BH130" i="64"/>
  <c r="BG130" i="64"/>
  <c r="BF130" i="64"/>
  <c r="BE130" i="64"/>
  <c r="BD130" i="64"/>
  <c r="BC130" i="64"/>
  <c r="BB130" i="64"/>
  <c r="BA130" i="64"/>
  <c r="AZ130" i="64"/>
  <c r="AY130" i="64"/>
  <c r="AX130" i="64"/>
  <c r="AW130" i="64"/>
  <c r="AV130" i="64"/>
  <c r="AU130" i="64"/>
  <c r="AT130" i="64"/>
  <c r="AS130" i="64"/>
  <c r="AR130" i="64"/>
  <c r="AQ130" i="64"/>
  <c r="AP130" i="64"/>
  <c r="AO130" i="64"/>
  <c r="AN130" i="64"/>
  <c r="AM130" i="64"/>
  <c r="AL130" i="64"/>
  <c r="AK130" i="64"/>
  <c r="AJ130" i="64"/>
  <c r="AI130" i="64"/>
  <c r="AH130" i="64"/>
  <c r="AG130" i="64"/>
  <c r="AF130" i="64"/>
  <c r="AE130" i="64"/>
  <c r="AD130" i="64"/>
  <c r="AC130" i="64"/>
  <c r="AB130" i="64"/>
  <c r="AA130" i="64"/>
  <c r="Z130" i="64"/>
  <c r="Y130" i="64"/>
  <c r="X130" i="64"/>
  <c r="W130" i="64"/>
  <c r="V130" i="64"/>
  <c r="U130" i="64"/>
  <c r="T130" i="64"/>
  <c r="S130" i="64"/>
  <c r="R130" i="64"/>
  <c r="Q130" i="64"/>
  <c r="P130" i="64"/>
  <c r="O130" i="64"/>
  <c r="N130" i="64"/>
  <c r="M130" i="64"/>
  <c r="L130" i="64"/>
  <c r="K130" i="64"/>
  <c r="J130" i="64"/>
  <c r="CM128" i="64" a="1"/>
  <c r="CM128" i="64" s="1"/>
  <c r="CL128" i="64" a="1"/>
  <c r="CL128" i="64" s="1"/>
  <c r="CK128" i="64" a="1"/>
  <c r="CK128" i="64" s="1"/>
  <c r="CJ128" i="64" a="1"/>
  <c r="CJ128" i="64" s="1"/>
  <c r="CI128" i="64" a="1"/>
  <c r="CI128" i="64" s="1"/>
  <c r="CH128" i="64" a="1"/>
  <c r="CH128" i="64" s="1"/>
  <c r="CG128" i="64" a="1"/>
  <c r="CG128" i="64" s="1"/>
  <c r="CF128" i="64" a="1"/>
  <c r="CF128" i="64" s="1"/>
  <c r="CE128" i="64" a="1"/>
  <c r="CE128" i="64" s="1"/>
  <c r="CD128" i="64" a="1"/>
  <c r="CD128" i="64" s="1"/>
  <c r="CC128" i="64" a="1"/>
  <c r="CC128" i="64" s="1"/>
  <c r="CB128" i="64" a="1"/>
  <c r="CB128" i="64" s="1"/>
  <c r="CA128" i="64" a="1"/>
  <c r="CA128" i="64" s="1"/>
  <c r="BZ128" i="64" a="1"/>
  <c r="BZ128" i="64" s="1"/>
  <c r="BY128" i="64" a="1"/>
  <c r="BY128" i="64" s="1"/>
  <c r="BX128" i="64" a="1"/>
  <c r="BX128" i="64" s="1"/>
  <c r="BW128" i="64" a="1"/>
  <c r="BW128" i="64" s="1"/>
  <c r="BV128" i="64" a="1"/>
  <c r="BV128" i="64" s="1"/>
  <c r="BU128" i="64" a="1"/>
  <c r="BU128" i="64" s="1"/>
  <c r="BT128" i="64" a="1"/>
  <c r="BT128" i="64" s="1"/>
  <c r="BS128" i="64" a="1"/>
  <c r="BS128" i="64" s="1"/>
  <c r="BR128" i="64" a="1"/>
  <c r="BR128" i="64" s="1"/>
  <c r="BQ128" i="64" a="1"/>
  <c r="BQ128" i="64" s="1"/>
  <c r="BP128" i="64" a="1"/>
  <c r="BP128" i="64" s="1"/>
  <c r="BO128" i="64" a="1"/>
  <c r="BO128" i="64" s="1"/>
  <c r="BN128" i="64" a="1"/>
  <c r="BN128" i="64" s="1"/>
  <c r="BM128" i="64" a="1"/>
  <c r="BM128" i="64" s="1"/>
  <c r="BL128" i="64" a="1"/>
  <c r="BL128" i="64" s="1"/>
  <c r="BK128" i="64" a="1"/>
  <c r="BK128" i="64" s="1"/>
  <c r="BJ128" i="64" a="1"/>
  <c r="BJ128" i="64" s="1"/>
  <c r="BI128" i="64" a="1"/>
  <c r="BI128" i="64" s="1"/>
  <c r="BH128" i="64" a="1"/>
  <c r="BH128" i="64" s="1"/>
  <c r="BG128" i="64" a="1"/>
  <c r="BG128" i="64" s="1"/>
  <c r="BF128" i="64" a="1"/>
  <c r="BF128" i="64" s="1"/>
  <c r="BE128" i="64" a="1"/>
  <c r="BE128" i="64" s="1"/>
  <c r="BD128" i="64" a="1"/>
  <c r="BD128" i="64" s="1"/>
  <c r="BC128" i="64" a="1"/>
  <c r="BC128" i="64" s="1"/>
  <c r="BB128" i="64" a="1"/>
  <c r="BB128" i="64" s="1"/>
  <c r="BA128" i="64" a="1"/>
  <c r="BA128" i="64" s="1"/>
  <c r="AZ128" i="64" a="1"/>
  <c r="AZ128" i="64" s="1"/>
  <c r="AY128" i="64" a="1"/>
  <c r="AY128" i="64" s="1"/>
  <c r="AX128" i="64" a="1"/>
  <c r="AX128" i="64" s="1"/>
  <c r="AW128" i="64" a="1"/>
  <c r="AW128" i="64" s="1"/>
  <c r="AV128" i="64" a="1"/>
  <c r="AV128" i="64" s="1"/>
  <c r="AU128" i="64" a="1"/>
  <c r="AU128" i="64" s="1"/>
  <c r="AT128" i="64" a="1"/>
  <c r="AT128" i="64" s="1"/>
  <c r="AS128" i="64" a="1"/>
  <c r="AS128" i="64" s="1"/>
  <c r="AR128" i="64" a="1"/>
  <c r="AR128" i="64" s="1"/>
  <c r="AQ128" i="64" a="1"/>
  <c r="AQ128" i="64" s="1"/>
  <c r="AP128" i="64" a="1"/>
  <c r="AP128" i="64" s="1"/>
  <c r="AO128" i="64" a="1"/>
  <c r="AO128" i="64" s="1"/>
  <c r="AN128" i="64" a="1"/>
  <c r="AN128" i="64" s="1"/>
  <c r="AM128" i="64" a="1"/>
  <c r="AM128" i="64" s="1"/>
  <c r="AL128" i="64" a="1"/>
  <c r="AL128" i="64" s="1"/>
  <c r="AK128" i="64" a="1"/>
  <c r="AK128" i="64" s="1"/>
  <c r="AJ128" i="64" a="1"/>
  <c r="AJ128" i="64" s="1"/>
  <c r="AI128" i="64" a="1"/>
  <c r="AI128" i="64" s="1"/>
  <c r="AH128" i="64" a="1"/>
  <c r="AH128" i="64" s="1"/>
  <c r="AG128" i="64" a="1"/>
  <c r="AG128" i="64" s="1"/>
  <c r="AF128" i="64" a="1"/>
  <c r="AF128" i="64" s="1"/>
  <c r="AE128" i="64" a="1"/>
  <c r="AE128" i="64" s="1"/>
  <c r="AD128" i="64" a="1"/>
  <c r="AD128" i="64" s="1"/>
  <c r="AC128" i="64" a="1"/>
  <c r="AC128" i="64" s="1"/>
  <c r="AB128" i="64" a="1"/>
  <c r="AB128" i="64" s="1"/>
  <c r="AA128" i="64" a="1"/>
  <c r="AA128" i="64" s="1"/>
  <c r="Z128" i="64" a="1"/>
  <c r="Z128" i="64" s="1"/>
  <c r="Y128" i="64" a="1"/>
  <c r="Y128" i="64" s="1"/>
  <c r="X128" i="64" a="1"/>
  <c r="X128" i="64" s="1"/>
  <c r="W128" i="64" a="1"/>
  <c r="W128" i="64" s="1"/>
  <c r="V128" i="64" a="1"/>
  <c r="V128" i="64" s="1"/>
  <c r="U128" i="64" a="1"/>
  <c r="U128" i="64" s="1"/>
  <c r="T128" i="64" a="1"/>
  <c r="T128" i="64" s="1"/>
  <c r="S128" i="64" a="1"/>
  <c r="S128" i="64" s="1"/>
  <c r="R128" i="64" a="1"/>
  <c r="R128" i="64" s="1"/>
  <c r="Q128" i="64" a="1"/>
  <c r="Q128" i="64" s="1"/>
  <c r="P128" i="64" a="1"/>
  <c r="P128" i="64" s="1"/>
  <c r="O128" i="64" a="1"/>
  <c r="O128" i="64" s="1"/>
  <c r="N128" i="64" a="1"/>
  <c r="N128" i="64" s="1"/>
  <c r="M128" i="64" a="1"/>
  <c r="M128" i="64" s="1"/>
  <c r="L128" i="64" a="1"/>
  <c r="L128" i="64" s="1"/>
  <c r="K128" i="64" a="1"/>
  <c r="K128" i="64" s="1"/>
  <c r="J128" i="64" a="1"/>
  <c r="J128" i="64" s="1"/>
  <c r="A4" i="63"/>
  <c r="A5" i="63" s="1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B4" i="63"/>
  <c r="B5" i="63" s="1"/>
  <c r="B6" i="63" s="1"/>
  <c r="B7" i="63" s="1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B34" i="63" s="1"/>
  <c r="B35" i="63" s="1"/>
  <c r="B36" i="63" s="1"/>
  <c r="B37" i="63" s="1"/>
  <c r="B38" i="63" s="1"/>
  <c r="B39" i="63" s="1"/>
  <c r="B40" i="63" s="1"/>
  <c r="B41" i="63" s="1"/>
  <c r="B42" i="63" s="1"/>
  <c r="B43" i="63" s="1"/>
  <c r="B44" i="63" s="1"/>
  <c r="B45" i="63" s="1"/>
  <c r="B46" i="63" s="1"/>
  <c r="B47" i="63" s="1"/>
  <c r="B48" i="63" s="1"/>
  <c r="B49" i="63" s="1"/>
  <c r="B50" i="63" s="1"/>
  <c r="B51" i="63" s="1"/>
  <c r="B52" i="63" s="1"/>
  <c r="B53" i="63" s="1"/>
  <c r="B54" i="63" s="1"/>
  <c r="B55" i="63" s="1"/>
  <c r="B56" i="63" s="1"/>
  <c r="B57" i="63" s="1"/>
  <c r="B58" i="63" s="1"/>
  <c r="B59" i="63" s="1"/>
  <c r="B60" i="63" s="1"/>
  <c r="B61" i="63" s="1"/>
  <c r="B62" i="63" s="1"/>
  <c r="B63" i="63" s="1"/>
  <c r="B64" i="63" s="1"/>
  <c r="B65" i="63" s="1"/>
  <c r="B66" i="63" s="1"/>
  <c r="B67" i="63" s="1"/>
  <c r="B68" i="63" s="1"/>
  <c r="B69" i="63" s="1"/>
  <c r="B70" i="63" s="1"/>
  <c r="B71" i="63" s="1"/>
  <c r="B72" i="63" s="1"/>
  <c r="B73" i="63" s="1"/>
  <c r="B74" i="63" s="1"/>
  <c r="B75" i="63" s="1"/>
  <c r="B76" i="63" s="1"/>
  <c r="B77" i="63" s="1"/>
  <c r="B78" i="63" s="1"/>
  <c r="B79" i="63" s="1"/>
  <c r="B80" i="63" s="1"/>
  <c r="A26" i="63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B3" i="63"/>
  <c r="A3" i="63"/>
  <c r="D38" i="65"/>
  <c r="D39" i="65"/>
  <c r="H53" i="64"/>
  <c r="I53" i="64" s="1"/>
  <c r="F53" i="64"/>
  <c r="H52" i="64"/>
  <c r="F52" i="64"/>
  <c r="D52" i="64"/>
  <c r="D53" i="64" s="1"/>
  <c r="B52" i="64"/>
  <c r="B53" i="64" s="1"/>
  <c r="B44" i="64"/>
  <c r="B45" i="64" s="1"/>
  <c r="D44" i="64"/>
  <c r="D45" i="64" s="1"/>
  <c r="F44" i="64"/>
  <c r="H44" i="64"/>
  <c r="F45" i="64"/>
  <c r="H45" i="64"/>
  <c r="I45" i="64" s="1"/>
  <c r="H14" i="64"/>
  <c r="H13" i="64"/>
  <c r="H12" i="64"/>
  <c r="H59" i="64"/>
  <c r="H58" i="64"/>
  <c r="I44" i="64" l="1"/>
  <c r="I52" i="64"/>
  <c r="F100" i="65"/>
  <c r="G100" i="65"/>
  <c r="H100" i="65"/>
  <c r="I100" i="65"/>
  <c r="J100" i="65"/>
  <c r="K100" i="65"/>
  <c r="L100" i="65"/>
  <c r="M100" i="65"/>
  <c r="N100" i="65"/>
  <c r="O100" i="65"/>
  <c r="P100" i="65"/>
  <c r="Q100" i="65"/>
  <c r="R100" i="65"/>
  <c r="S100" i="65"/>
  <c r="T100" i="65"/>
  <c r="U100" i="65"/>
  <c r="V100" i="65"/>
  <c r="W100" i="65"/>
  <c r="X100" i="65"/>
  <c r="Y100" i="65"/>
  <c r="Z100" i="65"/>
  <c r="AA100" i="65"/>
  <c r="AB100" i="65"/>
  <c r="AC100" i="65"/>
  <c r="AD100" i="65"/>
  <c r="AE100" i="65"/>
  <c r="AF100" i="65"/>
  <c r="AG100" i="65"/>
  <c r="AH100" i="65"/>
  <c r="AI100" i="65"/>
  <c r="AJ100" i="65"/>
  <c r="AK100" i="65"/>
  <c r="AL100" i="65"/>
  <c r="AM100" i="65"/>
  <c r="AN100" i="65"/>
  <c r="AO100" i="65"/>
  <c r="AP100" i="65"/>
  <c r="AQ100" i="65"/>
  <c r="AR100" i="65"/>
  <c r="AS100" i="65"/>
  <c r="AT100" i="65"/>
  <c r="AU100" i="65"/>
  <c r="AV100" i="65"/>
  <c r="AW100" i="65"/>
  <c r="AX100" i="65"/>
  <c r="AY100" i="65"/>
  <c r="AZ100" i="65"/>
  <c r="BA100" i="65"/>
  <c r="BB100" i="65"/>
  <c r="BC100" i="65"/>
  <c r="BD100" i="65"/>
  <c r="BE100" i="65"/>
  <c r="BG100" i="65"/>
  <c r="BH100" i="65"/>
  <c r="BI100" i="65"/>
  <c r="BJ100" i="65"/>
  <c r="BK100" i="65"/>
  <c r="BL100" i="65"/>
  <c r="BM100" i="65"/>
  <c r="BN100" i="65"/>
  <c r="BO100" i="65"/>
  <c r="BP100" i="65"/>
  <c r="BQ100" i="65"/>
  <c r="BR100" i="65"/>
  <c r="BS100" i="65"/>
  <c r="BT100" i="65"/>
  <c r="BU100" i="65"/>
  <c r="BV100" i="65"/>
  <c r="BW100" i="65"/>
  <c r="BX100" i="65"/>
  <c r="BY100" i="65"/>
  <c r="BZ100" i="65"/>
  <c r="CA100" i="65"/>
  <c r="CB100" i="65"/>
  <c r="CC100" i="65"/>
  <c r="CD100" i="65"/>
  <c r="CE100" i="65"/>
  <c r="CF100" i="65"/>
  <c r="CG100" i="65"/>
  <c r="CH100" i="65"/>
  <c r="CI100" i="65"/>
  <c r="F101" i="65"/>
  <c r="G101" i="65"/>
  <c r="H101" i="65"/>
  <c r="I101" i="65"/>
  <c r="J101" i="65"/>
  <c r="K101" i="65"/>
  <c r="L101" i="65"/>
  <c r="M101" i="65"/>
  <c r="N101" i="65"/>
  <c r="O101" i="65"/>
  <c r="P101" i="65"/>
  <c r="Q101" i="65"/>
  <c r="R101" i="65"/>
  <c r="S101" i="65"/>
  <c r="T101" i="65"/>
  <c r="U101" i="65"/>
  <c r="V101" i="65"/>
  <c r="W101" i="65"/>
  <c r="X101" i="65"/>
  <c r="Y101" i="65"/>
  <c r="Z101" i="65"/>
  <c r="AA101" i="65"/>
  <c r="AB101" i="65"/>
  <c r="AC101" i="65"/>
  <c r="AD101" i="65"/>
  <c r="AE101" i="65"/>
  <c r="AF101" i="65"/>
  <c r="AG101" i="65"/>
  <c r="AH101" i="65"/>
  <c r="AI101" i="65"/>
  <c r="AJ101" i="65"/>
  <c r="AK101" i="65"/>
  <c r="AL101" i="65"/>
  <c r="AM101" i="65"/>
  <c r="AN101" i="65"/>
  <c r="AO101" i="65"/>
  <c r="AP101" i="65"/>
  <c r="AQ101" i="65"/>
  <c r="AR101" i="65"/>
  <c r="AS101" i="65"/>
  <c r="AT101" i="65"/>
  <c r="AU101" i="65"/>
  <c r="AV101" i="65"/>
  <c r="AW101" i="65"/>
  <c r="AX101" i="65"/>
  <c r="AY101" i="65"/>
  <c r="AZ101" i="65"/>
  <c r="BB101" i="65"/>
  <c r="BC101" i="65"/>
  <c r="BD101" i="65"/>
  <c r="BE101" i="65"/>
  <c r="BG101" i="65"/>
  <c r="BH101" i="65"/>
  <c r="BI101" i="65"/>
  <c r="BJ101" i="65"/>
  <c r="BK101" i="65"/>
  <c r="BL101" i="65"/>
  <c r="BM101" i="65"/>
  <c r="BN101" i="65"/>
  <c r="BO101" i="65"/>
  <c r="BP101" i="65"/>
  <c r="BQ101" i="65"/>
  <c r="BR101" i="65"/>
  <c r="BS101" i="65"/>
  <c r="BT101" i="65"/>
  <c r="BU101" i="65"/>
  <c r="BV101" i="65"/>
  <c r="BW101" i="65"/>
  <c r="BX101" i="65"/>
  <c r="BY101" i="65"/>
  <c r="BZ101" i="65"/>
  <c r="CA101" i="65"/>
  <c r="CB101" i="65"/>
  <c r="CC101" i="65"/>
  <c r="CD101" i="65"/>
  <c r="CE101" i="65"/>
  <c r="CF101" i="65"/>
  <c r="CG101" i="65"/>
  <c r="CH101" i="65"/>
  <c r="CI101" i="65"/>
  <c r="F102" i="65"/>
  <c r="G102" i="65"/>
  <c r="H102" i="65"/>
  <c r="I102" i="65"/>
  <c r="J102" i="65"/>
  <c r="K102" i="65"/>
  <c r="L102" i="65"/>
  <c r="M102" i="65"/>
  <c r="N102" i="65"/>
  <c r="O102" i="65"/>
  <c r="P102" i="65"/>
  <c r="Q102" i="65"/>
  <c r="R102" i="65"/>
  <c r="S102" i="65"/>
  <c r="T102" i="65"/>
  <c r="U102" i="65"/>
  <c r="V102" i="65"/>
  <c r="W102" i="65"/>
  <c r="X102" i="65"/>
  <c r="Y102" i="65"/>
  <c r="Z102" i="65"/>
  <c r="AA102" i="65"/>
  <c r="AB102" i="65"/>
  <c r="AC102" i="65"/>
  <c r="AD102" i="65"/>
  <c r="AE102" i="65"/>
  <c r="AF102" i="65"/>
  <c r="AG102" i="65"/>
  <c r="AH102" i="65"/>
  <c r="AI102" i="65"/>
  <c r="AJ102" i="65"/>
  <c r="AK102" i="65"/>
  <c r="AL102" i="65"/>
  <c r="AM102" i="65"/>
  <c r="AN102" i="65"/>
  <c r="AO102" i="65"/>
  <c r="AP102" i="65"/>
  <c r="AQ102" i="65"/>
  <c r="AR102" i="65"/>
  <c r="AS102" i="65"/>
  <c r="AT102" i="65"/>
  <c r="AU102" i="65"/>
  <c r="AV102" i="65"/>
  <c r="AW102" i="65"/>
  <c r="AX102" i="65"/>
  <c r="AY102" i="65"/>
  <c r="AZ102" i="65"/>
  <c r="BA102" i="65"/>
  <c r="BB102" i="65"/>
  <c r="BC102" i="65"/>
  <c r="BD102" i="65"/>
  <c r="BE102" i="65"/>
  <c r="BF102" i="65"/>
  <c r="BG102" i="65"/>
  <c r="BH102" i="65"/>
  <c r="BI102" i="65"/>
  <c r="BJ102" i="65"/>
  <c r="BK102" i="65"/>
  <c r="BL102" i="65"/>
  <c r="BM102" i="65"/>
  <c r="BN102" i="65"/>
  <c r="BO102" i="65"/>
  <c r="BP102" i="65"/>
  <c r="BQ102" i="65"/>
  <c r="BR102" i="65"/>
  <c r="BS102" i="65"/>
  <c r="BT102" i="65"/>
  <c r="BU102" i="65"/>
  <c r="BV102" i="65"/>
  <c r="BW102" i="65"/>
  <c r="BX102" i="65"/>
  <c r="BY102" i="65"/>
  <c r="BZ102" i="65"/>
  <c r="CA102" i="65"/>
  <c r="CB102" i="65"/>
  <c r="CC102" i="65"/>
  <c r="CD102" i="65"/>
  <c r="CE102" i="65"/>
  <c r="CF102" i="65"/>
  <c r="CG102" i="65"/>
  <c r="CH102" i="65"/>
  <c r="CI102" i="65"/>
  <c r="F103" i="65"/>
  <c r="G103" i="65"/>
  <c r="H103" i="65"/>
  <c r="I103" i="65"/>
  <c r="J103" i="65"/>
  <c r="K103" i="65"/>
  <c r="L103" i="65"/>
  <c r="M103" i="65"/>
  <c r="N103" i="65"/>
  <c r="O103" i="65"/>
  <c r="P103" i="65"/>
  <c r="Q103" i="65"/>
  <c r="R103" i="65"/>
  <c r="S103" i="65"/>
  <c r="T103" i="65"/>
  <c r="U103" i="65"/>
  <c r="V103" i="65"/>
  <c r="W103" i="65"/>
  <c r="X103" i="65"/>
  <c r="Y103" i="65"/>
  <c r="Z103" i="65"/>
  <c r="AA103" i="65"/>
  <c r="AB103" i="65"/>
  <c r="AC103" i="65"/>
  <c r="AD103" i="65"/>
  <c r="AE103" i="65"/>
  <c r="AF103" i="65"/>
  <c r="AG103" i="65"/>
  <c r="AH103" i="65"/>
  <c r="AI103" i="65"/>
  <c r="AJ103" i="65"/>
  <c r="AK103" i="65"/>
  <c r="AL103" i="65"/>
  <c r="AM103" i="65"/>
  <c r="AN103" i="65"/>
  <c r="AO103" i="65"/>
  <c r="AP103" i="65"/>
  <c r="AQ103" i="65"/>
  <c r="AR103" i="65"/>
  <c r="AS103" i="65"/>
  <c r="AT103" i="65"/>
  <c r="AU103" i="65"/>
  <c r="AV103" i="65"/>
  <c r="AW103" i="65"/>
  <c r="AX103" i="65"/>
  <c r="AY103" i="65"/>
  <c r="AZ103" i="65"/>
  <c r="BB103" i="65"/>
  <c r="BC103" i="65"/>
  <c r="BD103" i="65"/>
  <c r="BE103" i="65"/>
  <c r="BG103" i="65"/>
  <c r="BH103" i="65"/>
  <c r="BI103" i="65"/>
  <c r="BJ103" i="65"/>
  <c r="BK103" i="65"/>
  <c r="BL103" i="65"/>
  <c r="BM103" i="65"/>
  <c r="BN103" i="65"/>
  <c r="BO103" i="65"/>
  <c r="BP103" i="65"/>
  <c r="BQ103" i="65"/>
  <c r="BR103" i="65"/>
  <c r="BS103" i="65"/>
  <c r="BT103" i="65"/>
  <c r="BU103" i="65"/>
  <c r="BV103" i="65"/>
  <c r="BW103" i="65"/>
  <c r="BX103" i="65"/>
  <c r="BY103" i="65"/>
  <c r="BZ103" i="65"/>
  <c r="CA103" i="65"/>
  <c r="CB103" i="65"/>
  <c r="CC103" i="65"/>
  <c r="CD103" i="65"/>
  <c r="CE103" i="65"/>
  <c r="CF103" i="65"/>
  <c r="CG103" i="65"/>
  <c r="CH103" i="65"/>
  <c r="CI103" i="65"/>
  <c r="F104" i="65"/>
  <c r="G104" i="65"/>
  <c r="H104" i="65"/>
  <c r="I104" i="65"/>
  <c r="J104" i="65"/>
  <c r="K104" i="65"/>
  <c r="L104" i="65"/>
  <c r="M104" i="65"/>
  <c r="N104" i="65"/>
  <c r="O104" i="65"/>
  <c r="P104" i="65"/>
  <c r="Q104" i="65"/>
  <c r="R104" i="65"/>
  <c r="S104" i="65"/>
  <c r="T104" i="65"/>
  <c r="U104" i="65"/>
  <c r="V104" i="65"/>
  <c r="W104" i="65"/>
  <c r="X104" i="65"/>
  <c r="Y104" i="65"/>
  <c r="Z104" i="65"/>
  <c r="AA104" i="65"/>
  <c r="AB104" i="65"/>
  <c r="AC104" i="65"/>
  <c r="AD104" i="65"/>
  <c r="AE104" i="65"/>
  <c r="AF104" i="65"/>
  <c r="AG104" i="65"/>
  <c r="AH104" i="65"/>
  <c r="AI104" i="65"/>
  <c r="AJ104" i="65"/>
  <c r="AK104" i="65"/>
  <c r="AL104" i="65"/>
  <c r="AM104" i="65"/>
  <c r="AN104" i="65"/>
  <c r="AO104" i="65"/>
  <c r="AP104" i="65"/>
  <c r="AQ104" i="65"/>
  <c r="AR104" i="65"/>
  <c r="AT104" i="65"/>
  <c r="AU104" i="65"/>
  <c r="AV104" i="65"/>
  <c r="AX104" i="65"/>
  <c r="AY104" i="65"/>
  <c r="AZ104" i="65"/>
  <c r="BB104" i="65"/>
  <c r="BC104" i="65"/>
  <c r="BD104" i="65"/>
  <c r="BE104" i="65"/>
  <c r="BG104" i="65"/>
  <c r="BH104" i="65"/>
  <c r="BI104" i="65"/>
  <c r="BJ104" i="65"/>
  <c r="BK104" i="65"/>
  <c r="BL104" i="65"/>
  <c r="BM104" i="65"/>
  <c r="BN104" i="65"/>
  <c r="BO104" i="65"/>
  <c r="BP104" i="65"/>
  <c r="BQ104" i="65"/>
  <c r="BR104" i="65"/>
  <c r="BS104" i="65"/>
  <c r="BT104" i="65"/>
  <c r="BU104" i="65"/>
  <c r="BV104" i="65"/>
  <c r="BW104" i="65"/>
  <c r="BX104" i="65"/>
  <c r="BY104" i="65"/>
  <c r="BZ104" i="65"/>
  <c r="CA104" i="65"/>
  <c r="CB104" i="65"/>
  <c r="CC104" i="65"/>
  <c r="CD104" i="65"/>
  <c r="CE104" i="65"/>
  <c r="CF104" i="65"/>
  <c r="CG104" i="65"/>
  <c r="CH104" i="65"/>
  <c r="CI104" i="65"/>
  <c r="F105" i="65"/>
  <c r="G105" i="65"/>
  <c r="H105" i="65"/>
  <c r="I105" i="65"/>
  <c r="J105" i="65"/>
  <c r="K105" i="65"/>
  <c r="L105" i="65"/>
  <c r="M105" i="65"/>
  <c r="N105" i="65"/>
  <c r="O105" i="65"/>
  <c r="P105" i="65"/>
  <c r="Q105" i="65"/>
  <c r="R105" i="65"/>
  <c r="S105" i="65"/>
  <c r="T105" i="65"/>
  <c r="U105" i="65"/>
  <c r="V105" i="65"/>
  <c r="W105" i="65"/>
  <c r="X105" i="65"/>
  <c r="Y105" i="65"/>
  <c r="Z105" i="65"/>
  <c r="AA105" i="65"/>
  <c r="AB105" i="65"/>
  <c r="AC105" i="65"/>
  <c r="AD105" i="65"/>
  <c r="AE105" i="65"/>
  <c r="AF105" i="65"/>
  <c r="AG105" i="65"/>
  <c r="AH105" i="65"/>
  <c r="AI105" i="65"/>
  <c r="AJ105" i="65"/>
  <c r="AK105" i="65"/>
  <c r="AL105" i="65"/>
  <c r="AM105" i="65"/>
  <c r="AN105" i="65"/>
  <c r="AO105" i="65"/>
  <c r="AP105" i="65"/>
  <c r="AQ105" i="65"/>
  <c r="AR105" i="65"/>
  <c r="AS105" i="65"/>
  <c r="AT105" i="65"/>
  <c r="AU105" i="65"/>
  <c r="AV105" i="65"/>
  <c r="AW105" i="65"/>
  <c r="AX105" i="65"/>
  <c r="AY105" i="65"/>
  <c r="AZ105" i="65"/>
  <c r="BB105" i="65"/>
  <c r="BC105" i="65"/>
  <c r="BD105" i="65"/>
  <c r="BE105" i="65"/>
  <c r="BG105" i="65"/>
  <c r="BH105" i="65"/>
  <c r="BI105" i="65"/>
  <c r="BJ105" i="65"/>
  <c r="BK105" i="65"/>
  <c r="BL105" i="65"/>
  <c r="BM105" i="65"/>
  <c r="BN105" i="65"/>
  <c r="BO105" i="65"/>
  <c r="BP105" i="65"/>
  <c r="BQ105" i="65"/>
  <c r="BR105" i="65"/>
  <c r="BS105" i="65"/>
  <c r="BT105" i="65"/>
  <c r="BU105" i="65"/>
  <c r="BV105" i="65"/>
  <c r="BW105" i="65"/>
  <c r="BX105" i="65"/>
  <c r="BY105" i="65"/>
  <c r="BZ105" i="65"/>
  <c r="CA105" i="65"/>
  <c r="CB105" i="65"/>
  <c r="CC105" i="65"/>
  <c r="CD105" i="65"/>
  <c r="CE105" i="65"/>
  <c r="CF105" i="65"/>
  <c r="CG105" i="65"/>
  <c r="CH105" i="65"/>
  <c r="CI105" i="65"/>
  <c r="F106" i="65"/>
  <c r="G106" i="65"/>
  <c r="H106" i="65"/>
  <c r="I106" i="65"/>
  <c r="J106" i="65"/>
  <c r="K106" i="65"/>
  <c r="L106" i="65"/>
  <c r="M106" i="65"/>
  <c r="N106" i="65"/>
  <c r="O106" i="65"/>
  <c r="P106" i="65"/>
  <c r="Q106" i="65"/>
  <c r="R106" i="65"/>
  <c r="S106" i="65"/>
  <c r="T106" i="65"/>
  <c r="U106" i="65"/>
  <c r="V106" i="65"/>
  <c r="W106" i="65"/>
  <c r="X106" i="65"/>
  <c r="Y106" i="65"/>
  <c r="Z106" i="65"/>
  <c r="AA106" i="65"/>
  <c r="AB106" i="65"/>
  <c r="AC106" i="65"/>
  <c r="AD106" i="65"/>
  <c r="AE106" i="65"/>
  <c r="AF106" i="65"/>
  <c r="AG106" i="65"/>
  <c r="AH106" i="65"/>
  <c r="AI106" i="65"/>
  <c r="AJ106" i="65"/>
  <c r="AK106" i="65"/>
  <c r="AL106" i="65"/>
  <c r="AM106" i="65"/>
  <c r="AN106" i="65"/>
  <c r="AO106" i="65"/>
  <c r="AP106" i="65"/>
  <c r="AQ106" i="65"/>
  <c r="AR106" i="65"/>
  <c r="AT106" i="65"/>
  <c r="AU106" i="65"/>
  <c r="AV106" i="65"/>
  <c r="AX106" i="65"/>
  <c r="AY106" i="65"/>
  <c r="AZ106" i="65"/>
  <c r="BB106" i="65"/>
  <c r="BC106" i="65"/>
  <c r="BD106" i="65"/>
  <c r="BE106" i="65"/>
  <c r="BG106" i="65"/>
  <c r="BH106" i="65"/>
  <c r="BI106" i="65"/>
  <c r="BJ106" i="65"/>
  <c r="BK106" i="65"/>
  <c r="BL106" i="65"/>
  <c r="BM106" i="65"/>
  <c r="BN106" i="65"/>
  <c r="BO106" i="65"/>
  <c r="BP106" i="65"/>
  <c r="BQ106" i="65"/>
  <c r="BR106" i="65"/>
  <c r="BS106" i="65"/>
  <c r="BT106" i="65"/>
  <c r="BU106" i="65"/>
  <c r="BV106" i="65"/>
  <c r="BW106" i="65"/>
  <c r="BX106" i="65"/>
  <c r="BY106" i="65"/>
  <c r="BZ106" i="65"/>
  <c r="CA106" i="65"/>
  <c r="CB106" i="65"/>
  <c r="CC106" i="65"/>
  <c r="CD106" i="65"/>
  <c r="CE106" i="65"/>
  <c r="CF106" i="65"/>
  <c r="CG106" i="65"/>
  <c r="CH106" i="65"/>
  <c r="CI106" i="65"/>
  <c r="F107" i="65"/>
  <c r="G107" i="65"/>
  <c r="H107" i="65"/>
  <c r="I107" i="65"/>
  <c r="J107" i="65"/>
  <c r="K107" i="65"/>
  <c r="L107" i="65"/>
  <c r="M107" i="65"/>
  <c r="N107" i="65"/>
  <c r="O107" i="65"/>
  <c r="P107" i="65"/>
  <c r="Q107" i="65"/>
  <c r="R107" i="65"/>
  <c r="S107" i="65"/>
  <c r="T107" i="65"/>
  <c r="U107" i="65"/>
  <c r="V107" i="65"/>
  <c r="W107" i="65"/>
  <c r="X107" i="65"/>
  <c r="Y107" i="65"/>
  <c r="Z107" i="65"/>
  <c r="AA107" i="65"/>
  <c r="AB107" i="65"/>
  <c r="AC107" i="65"/>
  <c r="AD107" i="65"/>
  <c r="AE107" i="65"/>
  <c r="AF107" i="65"/>
  <c r="AG107" i="65"/>
  <c r="AH107" i="65"/>
  <c r="AI107" i="65"/>
  <c r="AJ107" i="65"/>
  <c r="AK107" i="65"/>
  <c r="AL107" i="65"/>
  <c r="AM107" i="65"/>
  <c r="AN107" i="65"/>
  <c r="AO107" i="65"/>
  <c r="AP107" i="65"/>
  <c r="AQ107" i="65"/>
  <c r="AR107" i="65"/>
  <c r="AS107" i="65"/>
  <c r="AT107" i="65"/>
  <c r="AU107" i="65"/>
  <c r="AV107" i="65"/>
  <c r="AW107" i="65"/>
  <c r="AX107" i="65"/>
  <c r="AY107" i="65"/>
  <c r="AZ107" i="65"/>
  <c r="BB107" i="65"/>
  <c r="BC107" i="65"/>
  <c r="BD107" i="65"/>
  <c r="BE107" i="65"/>
  <c r="BG107" i="65"/>
  <c r="BH107" i="65"/>
  <c r="BI107" i="65"/>
  <c r="BJ107" i="65"/>
  <c r="BK107" i="65"/>
  <c r="BL107" i="65"/>
  <c r="BM107" i="65"/>
  <c r="BN107" i="65"/>
  <c r="BO107" i="65"/>
  <c r="BP107" i="65"/>
  <c r="BQ107" i="65"/>
  <c r="BR107" i="65"/>
  <c r="BS107" i="65"/>
  <c r="BT107" i="65"/>
  <c r="BU107" i="65"/>
  <c r="BV107" i="65"/>
  <c r="BW107" i="65"/>
  <c r="BX107" i="65"/>
  <c r="BY107" i="65"/>
  <c r="BZ107" i="65"/>
  <c r="CA107" i="65"/>
  <c r="CB107" i="65"/>
  <c r="CC107" i="65"/>
  <c r="CD107" i="65"/>
  <c r="CE107" i="65"/>
  <c r="CF107" i="65"/>
  <c r="CG107" i="65"/>
  <c r="CH107" i="65"/>
  <c r="CI107" i="65"/>
  <c r="F108" i="65"/>
  <c r="G108" i="65"/>
  <c r="H108" i="65"/>
  <c r="I108" i="65"/>
  <c r="J108" i="65"/>
  <c r="K108" i="65"/>
  <c r="L108" i="65"/>
  <c r="M108" i="65"/>
  <c r="N108" i="65"/>
  <c r="O108" i="65"/>
  <c r="P108" i="65"/>
  <c r="Q108" i="65"/>
  <c r="R108" i="65"/>
  <c r="S108" i="65"/>
  <c r="T108" i="65"/>
  <c r="U108" i="65"/>
  <c r="V108" i="65"/>
  <c r="W108" i="65"/>
  <c r="X108" i="65"/>
  <c r="Y108" i="65"/>
  <c r="Z108" i="65"/>
  <c r="AA108" i="65"/>
  <c r="AB108" i="65"/>
  <c r="AC108" i="65"/>
  <c r="AD108" i="65"/>
  <c r="AE108" i="65"/>
  <c r="AF108" i="65"/>
  <c r="AG108" i="65"/>
  <c r="AH108" i="65"/>
  <c r="AI108" i="65"/>
  <c r="AJ108" i="65"/>
  <c r="AK108" i="65"/>
  <c r="AL108" i="65"/>
  <c r="AM108" i="65"/>
  <c r="AN108" i="65"/>
  <c r="AO108" i="65"/>
  <c r="AP108" i="65"/>
  <c r="AQ108" i="65"/>
  <c r="AR108" i="65"/>
  <c r="AS108" i="65"/>
  <c r="AT108" i="65"/>
  <c r="AU108" i="65"/>
  <c r="AV108" i="65"/>
  <c r="AW108" i="65"/>
  <c r="AX108" i="65"/>
  <c r="AY108" i="65"/>
  <c r="AZ108" i="65"/>
  <c r="BA108" i="65"/>
  <c r="BB108" i="65"/>
  <c r="BC108" i="65"/>
  <c r="BD108" i="65"/>
  <c r="BE108" i="65"/>
  <c r="BF108" i="65"/>
  <c r="BG108" i="65"/>
  <c r="BH108" i="65"/>
  <c r="BI108" i="65"/>
  <c r="BJ108" i="65"/>
  <c r="BK108" i="65"/>
  <c r="BL108" i="65"/>
  <c r="BM108" i="65"/>
  <c r="BN108" i="65"/>
  <c r="BO108" i="65"/>
  <c r="BP108" i="65"/>
  <c r="BQ108" i="65"/>
  <c r="BR108" i="65"/>
  <c r="BS108" i="65"/>
  <c r="BT108" i="65"/>
  <c r="BU108" i="65"/>
  <c r="BV108" i="65"/>
  <c r="BW108" i="65"/>
  <c r="BX108" i="65"/>
  <c r="BY108" i="65"/>
  <c r="BZ108" i="65"/>
  <c r="CA108" i="65"/>
  <c r="CB108" i="65"/>
  <c r="CC108" i="65"/>
  <c r="CD108" i="65"/>
  <c r="CE108" i="65"/>
  <c r="CF108" i="65"/>
  <c r="CG108" i="65"/>
  <c r="CH108" i="65"/>
  <c r="CI108" i="65"/>
  <c r="F109" i="65"/>
  <c r="G109" i="65"/>
  <c r="H109" i="65"/>
  <c r="I109" i="65"/>
  <c r="J109" i="65"/>
  <c r="K109" i="65"/>
  <c r="L109" i="65"/>
  <c r="M109" i="65"/>
  <c r="N109" i="65"/>
  <c r="O109" i="65"/>
  <c r="P109" i="65"/>
  <c r="Q109" i="65"/>
  <c r="R109" i="65"/>
  <c r="S109" i="65"/>
  <c r="T109" i="65"/>
  <c r="U109" i="65"/>
  <c r="V109" i="65"/>
  <c r="W109" i="65"/>
  <c r="X109" i="65"/>
  <c r="Y109" i="65"/>
  <c r="Z109" i="65"/>
  <c r="AA109" i="65"/>
  <c r="AB109" i="65"/>
  <c r="AC109" i="65"/>
  <c r="AD109" i="65"/>
  <c r="AE109" i="65"/>
  <c r="AF109" i="65"/>
  <c r="AG109" i="65"/>
  <c r="AH109" i="65"/>
  <c r="AI109" i="65"/>
  <c r="AJ109" i="65"/>
  <c r="AK109" i="65"/>
  <c r="AL109" i="65"/>
  <c r="AM109" i="65"/>
  <c r="AN109" i="65"/>
  <c r="AO109" i="65"/>
  <c r="AP109" i="65"/>
  <c r="AQ109" i="65"/>
  <c r="AR109" i="65"/>
  <c r="AS109" i="65"/>
  <c r="AT109" i="65"/>
  <c r="AU109" i="65"/>
  <c r="AV109" i="65"/>
  <c r="AW109" i="65"/>
  <c r="AX109" i="65"/>
  <c r="AY109" i="65"/>
  <c r="AZ109" i="65"/>
  <c r="BB109" i="65"/>
  <c r="BC109" i="65"/>
  <c r="BD109" i="65"/>
  <c r="BE109" i="65"/>
  <c r="BG109" i="65"/>
  <c r="BH109" i="65"/>
  <c r="BI109" i="65"/>
  <c r="BK109" i="65"/>
  <c r="BL109" i="65"/>
  <c r="BM109" i="65"/>
  <c r="BN109" i="65"/>
  <c r="BO109" i="65"/>
  <c r="BP109" i="65"/>
  <c r="BQ109" i="65"/>
  <c r="BR109" i="65"/>
  <c r="BS109" i="65"/>
  <c r="BT109" i="65"/>
  <c r="BU109" i="65"/>
  <c r="BV109" i="65"/>
  <c r="BW109" i="65"/>
  <c r="BX109" i="65"/>
  <c r="BY109" i="65"/>
  <c r="BZ109" i="65"/>
  <c r="CA109" i="65"/>
  <c r="CB109" i="65"/>
  <c r="CC109" i="65"/>
  <c r="CD109" i="65"/>
  <c r="CE109" i="65"/>
  <c r="CF109" i="65"/>
  <c r="CG109" i="65"/>
  <c r="CH109" i="65"/>
  <c r="CI109" i="65"/>
  <c r="F110" i="65"/>
  <c r="G110" i="65"/>
  <c r="H110" i="65"/>
  <c r="I110" i="65"/>
  <c r="J110" i="65"/>
  <c r="K110" i="65"/>
  <c r="L110" i="65"/>
  <c r="M110" i="65"/>
  <c r="N110" i="65"/>
  <c r="O110" i="65"/>
  <c r="P110" i="65"/>
  <c r="Q110" i="65"/>
  <c r="R110" i="65"/>
  <c r="S110" i="65"/>
  <c r="T110" i="65"/>
  <c r="U110" i="65"/>
  <c r="V110" i="65"/>
  <c r="W110" i="65"/>
  <c r="X110" i="65"/>
  <c r="Y110" i="65"/>
  <c r="Z110" i="65"/>
  <c r="AA110" i="65"/>
  <c r="AB110" i="65"/>
  <c r="AC110" i="65"/>
  <c r="AD110" i="65"/>
  <c r="AE110" i="65"/>
  <c r="AF110" i="65"/>
  <c r="AG110" i="65"/>
  <c r="AH110" i="65"/>
  <c r="AI110" i="65"/>
  <c r="AJ110" i="65"/>
  <c r="AK110" i="65"/>
  <c r="AL110" i="65"/>
  <c r="AM110" i="65"/>
  <c r="AN110" i="65"/>
  <c r="AO110" i="65"/>
  <c r="AP110" i="65"/>
  <c r="AQ110" i="65"/>
  <c r="AR110" i="65"/>
  <c r="AS110" i="65"/>
  <c r="AT110" i="65"/>
  <c r="AU110" i="65"/>
  <c r="AV110" i="65"/>
  <c r="AW110" i="65"/>
  <c r="AX110" i="65"/>
  <c r="AY110" i="65"/>
  <c r="AZ110" i="65"/>
  <c r="BA110" i="65"/>
  <c r="BB110" i="65"/>
  <c r="BC110" i="65"/>
  <c r="BD110" i="65"/>
  <c r="BE110" i="65"/>
  <c r="BF110" i="65"/>
  <c r="BG110" i="65"/>
  <c r="BH110" i="65"/>
  <c r="BI110" i="65"/>
  <c r="BK110" i="65"/>
  <c r="BL110" i="65"/>
  <c r="BM110" i="65"/>
  <c r="BN110" i="65"/>
  <c r="BO110" i="65"/>
  <c r="BP110" i="65"/>
  <c r="BQ110" i="65"/>
  <c r="BR110" i="65"/>
  <c r="BS110" i="65"/>
  <c r="BT110" i="65"/>
  <c r="BU110" i="65"/>
  <c r="BV110" i="65"/>
  <c r="BW110" i="65"/>
  <c r="BX110" i="65"/>
  <c r="BY110" i="65"/>
  <c r="BZ110" i="65"/>
  <c r="CA110" i="65"/>
  <c r="CB110" i="65"/>
  <c r="CC110" i="65"/>
  <c r="CD110" i="65"/>
  <c r="CE110" i="65"/>
  <c r="CF110" i="65"/>
  <c r="CG110" i="65"/>
  <c r="CH110" i="65"/>
  <c r="CI110" i="65"/>
  <c r="F111" i="65"/>
  <c r="G111" i="65"/>
  <c r="H111" i="65"/>
  <c r="I111" i="65"/>
  <c r="J111" i="65"/>
  <c r="K111" i="65"/>
  <c r="L111" i="65"/>
  <c r="M111" i="65"/>
  <c r="N111" i="65"/>
  <c r="O111" i="65"/>
  <c r="P111" i="65"/>
  <c r="Q111" i="65"/>
  <c r="R111" i="65"/>
  <c r="S111" i="65"/>
  <c r="T111" i="65"/>
  <c r="U111" i="65"/>
  <c r="V111" i="65"/>
  <c r="W111" i="65"/>
  <c r="X111" i="65"/>
  <c r="Y111" i="65"/>
  <c r="Z111" i="65"/>
  <c r="AA111" i="65"/>
  <c r="AB111" i="65"/>
  <c r="AC111" i="65"/>
  <c r="AD111" i="65"/>
  <c r="AE111" i="65"/>
  <c r="AF111" i="65"/>
  <c r="AG111" i="65"/>
  <c r="AH111" i="65"/>
  <c r="AI111" i="65"/>
  <c r="AJ111" i="65"/>
  <c r="AK111" i="65"/>
  <c r="AL111" i="65"/>
  <c r="AM111" i="65"/>
  <c r="AN111" i="65"/>
  <c r="AO111" i="65"/>
  <c r="AP111" i="65"/>
  <c r="AQ111" i="65"/>
  <c r="AR111" i="65"/>
  <c r="AS111" i="65"/>
  <c r="AT111" i="65"/>
  <c r="AU111" i="65"/>
  <c r="AV111" i="65"/>
  <c r="AW111" i="65"/>
  <c r="AX111" i="65"/>
  <c r="AY111" i="65"/>
  <c r="AZ111" i="65"/>
  <c r="BB111" i="65"/>
  <c r="BC111" i="65"/>
  <c r="BD111" i="65"/>
  <c r="BE111" i="65"/>
  <c r="BG111" i="65"/>
  <c r="BH111" i="65"/>
  <c r="BI111" i="65"/>
  <c r="BK111" i="65"/>
  <c r="BL111" i="65"/>
  <c r="BM111" i="65"/>
  <c r="BN111" i="65"/>
  <c r="BO111" i="65"/>
  <c r="BP111" i="65"/>
  <c r="BQ111" i="65"/>
  <c r="BR111" i="65"/>
  <c r="BS111" i="65"/>
  <c r="BT111" i="65"/>
  <c r="BU111" i="65"/>
  <c r="BV111" i="65"/>
  <c r="BW111" i="65"/>
  <c r="BX111" i="65"/>
  <c r="BY111" i="65"/>
  <c r="BZ111" i="65"/>
  <c r="CA111" i="65"/>
  <c r="CB111" i="65"/>
  <c r="CC111" i="65"/>
  <c r="CD111" i="65"/>
  <c r="CE111" i="65"/>
  <c r="CF111" i="65"/>
  <c r="CG111" i="65"/>
  <c r="CH111" i="65"/>
  <c r="CI111" i="65"/>
  <c r="F3" i="65"/>
  <c r="G3" i="65"/>
  <c r="H3" i="65"/>
  <c r="I3" i="65"/>
  <c r="J3" i="65"/>
  <c r="K3" i="65"/>
  <c r="L3" i="65"/>
  <c r="M3" i="65"/>
  <c r="N3" i="65"/>
  <c r="O3" i="65"/>
  <c r="P3" i="65"/>
  <c r="Q3" i="65"/>
  <c r="R3" i="65"/>
  <c r="S3" i="65"/>
  <c r="T3" i="65"/>
  <c r="U3" i="65"/>
  <c r="V3" i="65"/>
  <c r="W3" i="65"/>
  <c r="X3" i="65"/>
  <c r="Y3" i="65"/>
  <c r="Z3" i="65"/>
  <c r="AA3" i="65"/>
  <c r="AB3" i="65"/>
  <c r="AC3" i="65"/>
  <c r="AD3" i="65"/>
  <c r="AE3" i="65"/>
  <c r="AF3" i="65"/>
  <c r="AG3" i="65"/>
  <c r="AH3" i="65"/>
  <c r="AI3" i="65"/>
  <c r="AJ3" i="65"/>
  <c r="AK3" i="65"/>
  <c r="AL3" i="65"/>
  <c r="AM3" i="65"/>
  <c r="AN3" i="65"/>
  <c r="AO3" i="65"/>
  <c r="AP3" i="65"/>
  <c r="AQ3" i="65"/>
  <c r="AR3" i="65"/>
  <c r="AS3" i="65"/>
  <c r="AT3" i="65"/>
  <c r="AU3" i="65"/>
  <c r="AV3" i="65"/>
  <c r="AW3" i="65"/>
  <c r="AX3" i="65"/>
  <c r="AY3" i="65"/>
  <c r="AZ3" i="65"/>
  <c r="BA3" i="65"/>
  <c r="BB3" i="65"/>
  <c r="BC3" i="65"/>
  <c r="BD3" i="65"/>
  <c r="BE3" i="65"/>
  <c r="BF3" i="65"/>
  <c r="BG3" i="65"/>
  <c r="BH3" i="65"/>
  <c r="BI3" i="65"/>
  <c r="BJ3" i="65"/>
  <c r="BK3" i="65"/>
  <c r="BL3" i="65"/>
  <c r="BM3" i="65"/>
  <c r="BN3" i="65"/>
  <c r="BO3" i="65"/>
  <c r="BP3" i="65"/>
  <c r="BQ3" i="65"/>
  <c r="BR3" i="65"/>
  <c r="BS3" i="65"/>
  <c r="BT3" i="65"/>
  <c r="BU3" i="65"/>
  <c r="BV3" i="65"/>
  <c r="BW3" i="65"/>
  <c r="BX3" i="65"/>
  <c r="BY3" i="65"/>
  <c r="BZ3" i="65"/>
  <c r="CA3" i="65"/>
  <c r="CB3" i="65"/>
  <c r="CC3" i="65"/>
  <c r="CD3" i="65"/>
  <c r="CE3" i="65"/>
  <c r="CF3" i="65"/>
  <c r="CG3" i="65"/>
  <c r="CH3" i="65"/>
  <c r="CI3" i="65"/>
  <c r="F4" i="65"/>
  <c r="G4" i="65"/>
  <c r="H4" i="65"/>
  <c r="I4" i="65"/>
  <c r="J4" i="65"/>
  <c r="K4" i="65"/>
  <c r="L4" i="65"/>
  <c r="M4" i="65"/>
  <c r="N4" i="65"/>
  <c r="O4" i="65"/>
  <c r="P4" i="65"/>
  <c r="Q4" i="65"/>
  <c r="R4" i="65"/>
  <c r="S4" i="65"/>
  <c r="T4" i="65"/>
  <c r="U4" i="65"/>
  <c r="V4" i="65"/>
  <c r="W4" i="65"/>
  <c r="X4" i="65"/>
  <c r="Y4" i="65"/>
  <c r="Z4" i="65"/>
  <c r="AA4" i="65"/>
  <c r="AB4" i="65"/>
  <c r="AC4" i="65"/>
  <c r="AD4" i="65"/>
  <c r="AE4" i="65"/>
  <c r="AF4" i="65"/>
  <c r="AG4" i="65"/>
  <c r="AH4" i="65"/>
  <c r="AI4" i="65"/>
  <c r="AJ4" i="65"/>
  <c r="AK4" i="65"/>
  <c r="AL4" i="65"/>
  <c r="AM4" i="65"/>
  <c r="AN4" i="65"/>
  <c r="AO4" i="65"/>
  <c r="AP4" i="65"/>
  <c r="AQ4" i="65"/>
  <c r="AR4" i="65"/>
  <c r="AS4" i="65"/>
  <c r="AT4" i="65"/>
  <c r="AU4" i="65"/>
  <c r="AV4" i="65"/>
  <c r="AW4" i="65"/>
  <c r="AX4" i="65"/>
  <c r="AY4" i="65"/>
  <c r="AZ4" i="65"/>
  <c r="BA4" i="65"/>
  <c r="BB4" i="65"/>
  <c r="BC4" i="65"/>
  <c r="BD4" i="65"/>
  <c r="BE4" i="65"/>
  <c r="BF4" i="65"/>
  <c r="BG4" i="65"/>
  <c r="BH4" i="65"/>
  <c r="BI4" i="65"/>
  <c r="BJ4" i="65"/>
  <c r="BK4" i="65"/>
  <c r="BL4" i="65"/>
  <c r="BM4" i="65"/>
  <c r="BN4" i="65"/>
  <c r="BO4" i="65"/>
  <c r="BP4" i="65"/>
  <c r="BQ4" i="65"/>
  <c r="BR4" i="65"/>
  <c r="BS4" i="65"/>
  <c r="BT4" i="65"/>
  <c r="BU4" i="65"/>
  <c r="BV4" i="65"/>
  <c r="BW4" i="65"/>
  <c r="BX4" i="65"/>
  <c r="BY4" i="65"/>
  <c r="BZ4" i="65"/>
  <c r="CA4" i="65"/>
  <c r="CB4" i="65"/>
  <c r="CC4" i="65"/>
  <c r="CD4" i="65"/>
  <c r="CE4" i="65"/>
  <c r="CF4" i="65"/>
  <c r="CG4" i="65"/>
  <c r="CH4" i="65"/>
  <c r="CI4" i="65"/>
  <c r="F5" i="65"/>
  <c r="G5" i="65"/>
  <c r="H5" i="65"/>
  <c r="I5" i="65"/>
  <c r="J5" i="65"/>
  <c r="K5" i="65"/>
  <c r="L5" i="65"/>
  <c r="M5" i="65"/>
  <c r="N5" i="65"/>
  <c r="O5" i="65"/>
  <c r="P5" i="65"/>
  <c r="Q5" i="65"/>
  <c r="R5" i="65"/>
  <c r="S5" i="65"/>
  <c r="T5" i="65"/>
  <c r="U5" i="65"/>
  <c r="V5" i="65"/>
  <c r="W5" i="65"/>
  <c r="X5" i="65"/>
  <c r="Y5" i="65"/>
  <c r="Z5" i="65"/>
  <c r="AA5" i="65"/>
  <c r="AB5" i="65"/>
  <c r="AC5" i="65"/>
  <c r="AD5" i="65"/>
  <c r="AE5" i="65"/>
  <c r="AF5" i="65"/>
  <c r="AG5" i="65"/>
  <c r="AH5" i="65"/>
  <c r="AI5" i="65"/>
  <c r="AJ5" i="65"/>
  <c r="AK5" i="65"/>
  <c r="AL5" i="65"/>
  <c r="AM5" i="65"/>
  <c r="AN5" i="65"/>
  <c r="AO5" i="65"/>
  <c r="AP5" i="65"/>
  <c r="AQ5" i="65"/>
  <c r="AR5" i="65"/>
  <c r="AS5" i="65"/>
  <c r="AT5" i="65"/>
  <c r="AU5" i="65"/>
  <c r="AV5" i="65"/>
  <c r="AW5" i="65"/>
  <c r="AX5" i="65"/>
  <c r="AY5" i="65"/>
  <c r="AZ5" i="65"/>
  <c r="BA5" i="65"/>
  <c r="BB5" i="65"/>
  <c r="BC5" i="65"/>
  <c r="BD5" i="65"/>
  <c r="BE5" i="65"/>
  <c r="BF5" i="65"/>
  <c r="BG5" i="65"/>
  <c r="BH5" i="65"/>
  <c r="BI5" i="65"/>
  <c r="BJ5" i="65"/>
  <c r="BK5" i="65"/>
  <c r="BL5" i="65"/>
  <c r="BM5" i="65"/>
  <c r="BN5" i="65"/>
  <c r="BO5" i="65"/>
  <c r="BP5" i="65"/>
  <c r="BQ5" i="65"/>
  <c r="BR5" i="65"/>
  <c r="BS5" i="65"/>
  <c r="BT5" i="65"/>
  <c r="BU5" i="65"/>
  <c r="BV5" i="65"/>
  <c r="BW5" i="65"/>
  <c r="BX5" i="65"/>
  <c r="BY5" i="65"/>
  <c r="BZ5" i="65"/>
  <c r="CA5" i="65"/>
  <c r="CB5" i="65"/>
  <c r="CC5" i="65"/>
  <c r="CD5" i="65"/>
  <c r="CE5" i="65"/>
  <c r="CF5" i="65"/>
  <c r="CG5" i="65"/>
  <c r="CH5" i="65"/>
  <c r="CI5" i="65"/>
  <c r="F8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AS8" i="65"/>
  <c r="AT8" i="65"/>
  <c r="AU8" i="65"/>
  <c r="AV8" i="65"/>
  <c r="AW8" i="65"/>
  <c r="AX8" i="65"/>
  <c r="AY8" i="65"/>
  <c r="AZ8" i="65"/>
  <c r="BA8" i="65"/>
  <c r="BB8" i="65"/>
  <c r="BC8" i="65"/>
  <c r="BD8" i="65"/>
  <c r="BE8" i="65"/>
  <c r="BF8" i="65"/>
  <c r="BG8" i="65"/>
  <c r="BH8" i="65"/>
  <c r="BI8" i="65"/>
  <c r="BJ8" i="65"/>
  <c r="BK8" i="65"/>
  <c r="BL8" i="65"/>
  <c r="BM8" i="65"/>
  <c r="BN8" i="65"/>
  <c r="BO8" i="65"/>
  <c r="BP8" i="65"/>
  <c r="BQ8" i="65"/>
  <c r="BR8" i="65"/>
  <c r="BS8" i="65"/>
  <c r="BT8" i="65"/>
  <c r="BU8" i="65"/>
  <c r="BV8" i="65"/>
  <c r="BW8" i="65"/>
  <c r="BX8" i="65"/>
  <c r="BY8" i="65"/>
  <c r="BZ8" i="65"/>
  <c r="CA8" i="65"/>
  <c r="CB8" i="65"/>
  <c r="CC8" i="65"/>
  <c r="CD8" i="65"/>
  <c r="CE8" i="65"/>
  <c r="CF8" i="65"/>
  <c r="CG8" i="65"/>
  <c r="CH8" i="65"/>
  <c r="CI8" i="65"/>
  <c r="F9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9" i="65"/>
  <c r="AS9" i="65"/>
  <c r="AT9" i="65"/>
  <c r="AU9" i="65"/>
  <c r="AV9" i="65"/>
  <c r="AW9" i="65"/>
  <c r="AX9" i="65"/>
  <c r="AY9" i="65"/>
  <c r="AZ9" i="65"/>
  <c r="BA9" i="65"/>
  <c r="BB9" i="65"/>
  <c r="BC9" i="65"/>
  <c r="BD9" i="65"/>
  <c r="BE9" i="65"/>
  <c r="BF9" i="65"/>
  <c r="BG9" i="65"/>
  <c r="BH9" i="65"/>
  <c r="BI9" i="65"/>
  <c r="BJ9" i="65"/>
  <c r="BK9" i="65"/>
  <c r="BL9" i="65"/>
  <c r="BM9" i="65"/>
  <c r="BN9" i="65"/>
  <c r="BO9" i="65"/>
  <c r="BP9" i="65"/>
  <c r="BQ9" i="65"/>
  <c r="BR9" i="65"/>
  <c r="BS9" i="65"/>
  <c r="BT9" i="65"/>
  <c r="BU9" i="65"/>
  <c r="BV9" i="65"/>
  <c r="BW9" i="65"/>
  <c r="BX9" i="65"/>
  <c r="BY9" i="65"/>
  <c r="BZ9" i="65"/>
  <c r="CA9" i="65"/>
  <c r="CB9" i="65"/>
  <c r="CC9" i="65"/>
  <c r="CD9" i="65"/>
  <c r="CE9" i="65"/>
  <c r="CF9" i="65"/>
  <c r="CG9" i="65"/>
  <c r="CH9" i="65"/>
  <c r="CI9" i="65"/>
  <c r="F10" i="65"/>
  <c r="G10" i="65"/>
  <c r="H10" i="65"/>
  <c r="I10" i="65"/>
  <c r="J10" i="65"/>
  <c r="K10" i="65"/>
  <c r="L10" i="65"/>
  <c r="M10" i="65"/>
  <c r="N10" i="65"/>
  <c r="O10" i="65"/>
  <c r="P10" i="65"/>
  <c r="Q10" i="65"/>
  <c r="R10" i="65"/>
  <c r="S10" i="65"/>
  <c r="T10" i="65"/>
  <c r="U10" i="65"/>
  <c r="V10" i="65"/>
  <c r="W10" i="65"/>
  <c r="X10" i="65"/>
  <c r="Y10" i="65"/>
  <c r="Z10" i="65"/>
  <c r="AA10" i="65"/>
  <c r="AB10" i="65"/>
  <c r="AC10" i="65"/>
  <c r="AD10" i="65"/>
  <c r="AE10" i="65"/>
  <c r="AF10" i="65"/>
  <c r="AG10" i="65"/>
  <c r="AH10" i="65"/>
  <c r="AI10" i="65"/>
  <c r="AJ10" i="65"/>
  <c r="AK10" i="65"/>
  <c r="AL10" i="65"/>
  <c r="AM10" i="65"/>
  <c r="AN10" i="65"/>
  <c r="AO10" i="65"/>
  <c r="AP10" i="65"/>
  <c r="AQ10" i="65"/>
  <c r="AR10" i="65"/>
  <c r="AS10" i="65"/>
  <c r="AT10" i="65"/>
  <c r="AU10" i="65"/>
  <c r="AV10" i="65"/>
  <c r="AW10" i="65"/>
  <c r="AX10" i="65"/>
  <c r="AY10" i="65"/>
  <c r="AZ10" i="65"/>
  <c r="BA10" i="65"/>
  <c r="BB10" i="65"/>
  <c r="BC10" i="65"/>
  <c r="BD10" i="65"/>
  <c r="BE10" i="65"/>
  <c r="BF10" i="65"/>
  <c r="BG10" i="65"/>
  <c r="BH10" i="65"/>
  <c r="BI10" i="65"/>
  <c r="BJ10" i="65"/>
  <c r="BK10" i="65"/>
  <c r="BL10" i="65"/>
  <c r="BM10" i="65"/>
  <c r="BN10" i="65"/>
  <c r="BO10" i="65"/>
  <c r="BP10" i="65"/>
  <c r="BQ10" i="65"/>
  <c r="BR10" i="65"/>
  <c r="BS10" i="65"/>
  <c r="BT10" i="65"/>
  <c r="BU10" i="65"/>
  <c r="BV10" i="65"/>
  <c r="BW10" i="65"/>
  <c r="BX10" i="65"/>
  <c r="BY10" i="65"/>
  <c r="BZ10" i="65"/>
  <c r="CA10" i="65"/>
  <c r="CB10" i="65"/>
  <c r="CC10" i="65"/>
  <c r="CD10" i="65"/>
  <c r="CE10" i="65"/>
  <c r="CF10" i="65"/>
  <c r="CG10" i="65"/>
  <c r="CH10" i="65"/>
  <c r="CI10" i="65"/>
  <c r="F11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AS11" i="65"/>
  <c r="AT11" i="65"/>
  <c r="AU11" i="65"/>
  <c r="AV11" i="65"/>
  <c r="AW11" i="65"/>
  <c r="AX11" i="65"/>
  <c r="AY11" i="65"/>
  <c r="AZ11" i="65"/>
  <c r="BA11" i="65"/>
  <c r="BB11" i="65"/>
  <c r="BC11" i="65"/>
  <c r="BD11" i="65"/>
  <c r="BE11" i="65"/>
  <c r="BF11" i="65"/>
  <c r="BG11" i="65"/>
  <c r="BH11" i="65"/>
  <c r="BI11" i="65"/>
  <c r="BJ11" i="65"/>
  <c r="BK11" i="65"/>
  <c r="BL11" i="65"/>
  <c r="BM11" i="65"/>
  <c r="BN11" i="65"/>
  <c r="BO11" i="65"/>
  <c r="BP11" i="65"/>
  <c r="BQ11" i="65"/>
  <c r="BR11" i="65"/>
  <c r="BS11" i="65"/>
  <c r="BT11" i="65"/>
  <c r="BU11" i="65"/>
  <c r="BV11" i="65"/>
  <c r="BW11" i="65"/>
  <c r="BX11" i="65"/>
  <c r="BY11" i="65"/>
  <c r="BZ11" i="65"/>
  <c r="CA11" i="65"/>
  <c r="CB11" i="65"/>
  <c r="CC11" i="65"/>
  <c r="CD11" i="65"/>
  <c r="CE11" i="65"/>
  <c r="CF11" i="65"/>
  <c r="CG11" i="65"/>
  <c r="CH11" i="65"/>
  <c r="CI11" i="65"/>
  <c r="F12" i="65"/>
  <c r="G12" i="65"/>
  <c r="H12" i="65"/>
  <c r="I12" i="65"/>
  <c r="J12" i="65"/>
  <c r="K12" i="65"/>
  <c r="L12" i="65"/>
  <c r="M12" i="65"/>
  <c r="N12" i="65"/>
  <c r="O12" i="65"/>
  <c r="P12" i="65"/>
  <c r="Q12" i="65"/>
  <c r="R12" i="65"/>
  <c r="S12" i="65"/>
  <c r="T12" i="65"/>
  <c r="U12" i="65"/>
  <c r="V12" i="65"/>
  <c r="W12" i="65"/>
  <c r="X12" i="65"/>
  <c r="Y12" i="65"/>
  <c r="Z12" i="65"/>
  <c r="AA12" i="65"/>
  <c r="AB12" i="65"/>
  <c r="AC12" i="65"/>
  <c r="AD12" i="65"/>
  <c r="AE12" i="65"/>
  <c r="AF12" i="65"/>
  <c r="AG12" i="65"/>
  <c r="AH12" i="65"/>
  <c r="AI12" i="65"/>
  <c r="AJ12" i="65"/>
  <c r="AK12" i="65"/>
  <c r="AL12" i="65"/>
  <c r="AM12" i="65"/>
  <c r="AN12" i="65"/>
  <c r="AO12" i="65"/>
  <c r="AP12" i="65"/>
  <c r="AQ12" i="65"/>
  <c r="AR12" i="65"/>
  <c r="AS12" i="65"/>
  <c r="AT12" i="65"/>
  <c r="AU12" i="65"/>
  <c r="AV12" i="65"/>
  <c r="AW12" i="65"/>
  <c r="AX12" i="65"/>
  <c r="AY12" i="65"/>
  <c r="AZ12" i="65"/>
  <c r="BA12" i="65"/>
  <c r="BB12" i="65"/>
  <c r="BC12" i="65"/>
  <c r="BD12" i="65"/>
  <c r="BE12" i="65"/>
  <c r="BF12" i="65"/>
  <c r="BG12" i="65"/>
  <c r="BH12" i="65"/>
  <c r="BI12" i="65"/>
  <c r="BJ12" i="65"/>
  <c r="BK12" i="65"/>
  <c r="BL12" i="65"/>
  <c r="BM12" i="65"/>
  <c r="BN12" i="65"/>
  <c r="BO12" i="65"/>
  <c r="BP12" i="65"/>
  <c r="BQ12" i="65"/>
  <c r="BR12" i="65"/>
  <c r="BS12" i="65"/>
  <c r="BT12" i="65"/>
  <c r="BU12" i="65"/>
  <c r="BV12" i="65"/>
  <c r="BW12" i="65"/>
  <c r="BX12" i="65"/>
  <c r="BY12" i="65"/>
  <c r="BZ12" i="65"/>
  <c r="CA12" i="65"/>
  <c r="CB12" i="65"/>
  <c r="CC12" i="65"/>
  <c r="CD12" i="65"/>
  <c r="CE12" i="65"/>
  <c r="CF12" i="65"/>
  <c r="CG12" i="65"/>
  <c r="CH12" i="65"/>
  <c r="CI12" i="65"/>
  <c r="F13" i="65"/>
  <c r="G13" i="65"/>
  <c r="H13" i="65"/>
  <c r="I13" i="65"/>
  <c r="J13" i="65"/>
  <c r="K13" i="65"/>
  <c r="L13" i="65"/>
  <c r="M13" i="65"/>
  <c r="N13" i="65"/>
  <c r="O13" i="65"/>
  <c r="P13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AG13" i="65"/>
  <c r="AH13" i="65"/>
  <c r="AI13" i="65"/>
  <c r="AJ13" i="65"/>
  <c r="AK13" i="65"/>
  <c r="AL13" i="65"/>
  <c r="AM13" i="65"/>
  <c r="AN13" i="65"/>
  <c r="AO13" i="65"/>
  <c r="AP13" i="65"/>
  <c r="AQ13" i="65"/>
  <c r="AR13" i="65"/>
  <c r="AS13" i="65"/>
  <c r="AT13" i="65"/>
  <c r="AU13" i="65"/>
  <c r="AV13" i="65"/>
  <c r="AW13" i="65"/>
  <c r="AX13" i="65"/>
  <c r="AY13" i="65"/>
  <c r="AZ13" i="65"/>
  <c r="BA13" i="65"/>
  <c r="BB13" i="65"/>
  <c r="BC13" i="65"/>
  <c r="BD13" i="65"/>
  <c r="BE13" i="65"/>
  <c r="BF13" i="65"/>
  <c r="BG13" i="65"/>
  <c r="BH13" i="65"/>
  <c r="BI13" i="65"/>
  <c r="BJ13" i="65"/>
  <c r="BK13" i="65"/>
  <c r="BL13" i="65"/>
  <c r="BM13" i="65"/>
  <c r="BN13" i="65"/>
  <c r="BO13" i="65"/>
  <c r="BP13" i="65"/>
  <c r="BQ13" i="65"/>
  <c r="BR13" i="65"/>
  <c r="BS13" i="65"/>
  <c r="BT13" i="65"/>
  <c r="BU13" i="65"/>
  <c r="BV13" i="65"/>
  <c r="BW13" i="65"/>
  <c r="BX13" i="65"/>
  <c r="BY13" i="65"/>
  <c r="BZ13" i="65"/>
  <c r="CA13" i="65"/>
  <c r="CB13" i="65"/>
  <c r="CC13" i="65"/>
  <c r="CD13" i="65"/>
  <c r="CE13" i="65"/>
  <c r="CF13" i="65"/>
  <c r="CG13" i="65"/>
  <c r="CH13" i="65"/>
  <c r="CI13" i="65"/>
  <c r="F14" i="65"/>
  <c r="G14" i="65"/>
  <c r="H14" i="65"/>
  <c r="I14" i="65"/>
  <c r="J14" i="65"/>
  <c r="K14" i="65"/>
  <c r="L14" i="65"/>
  <c r="M14" i="65"/>
  <c r="N14" i="65"/>
  <c r="O14" i="65"/>
  <c r="P14" i="65"/>
  <c r="Q14" i="65"/>
  <c r="R14" i="65"/>
  <c r="S14" i="65"/>
  <c r="T14" i="65"/>
  <c r="U14" i="65"/>
  <c r="V14" i="65"/>
  <c r="W14" i="65"/>
  <c r="X14" i="65"/>
  <c r="Y14" i="65"/>
  <c r="Z14" i="65"/>
  <c r="AA14" i="65"/>
  <c r="AB14" i="65"/>
  <c r="AC14" i="65"/>
  <c r="AD14" i="65"/>
  <c r="AE14" i="65"/>
  <c r="AF14" i="65"/>
  <c r="AG14" i="65"/>
  <c r="AH14" i="65"/>
  <c r="AI14" i="65"/>
  <c r="AJ14" i="65"/>
  <c r="AK14" i="65"/>
  <c r="AL14" i="65"/>
  <c r="AM14" i="65"/>
  <c r="AN14" i="65"/>
  <c r="AO14" i="65"/>
  <c r="AP14" i="65"/>
  <c r="AQ14" i="65"/>
  <c r="AR14" i="65"/>
  <c r="AS14" i="65"/>
  <c r="AT14" i="65"/>
  <c r="AU14" i="65"/>
  <c r="AV14" i="65"/>
  <c r="AW14" i="65"/>
  <c r="AX14" i="65"/>
  <c r="AY14" i="65"/>
  <c r="AZ14" i="65"/>
  <c r="BA14" i="65"/>
  <c r="BB14" i="65"/>
  <c r="BC14" i="65"/>
  <c r="BD14" i="65"/>
  <c r="BE14" i="65"/>
  <c r="BF14" i="65"/>
  <c r="BG14" i="65"/>
  <c r="BH14" i="65"/>
  <c r="BI14" i="65"/>
  <c r="BJ14" i="65"/>
  <c r="BK14" i="65"/>
  <c r="BL14" i="65"/>
  <c r="BM14" i="65"/>
  <c r="BN14" i="65"/>
  <c r="BO14" i="65"/>
  <c r="BP14" i="65"/>
  <c r="BQ14" i="65"/>
  <c r="BR14" i="65"/>
  <c r="BS14" i="65"/>
  <c r="BT14" i="65"/>
  <c r="BU14" i="65"/>
  <c r="BV14" i="65"/>
  <c r="BW14" i="65"/>
  <c r="BX14" i="65"/>
  <c r="BY14" i="65"/>
  <c r="BZ14" i="65"/>
  <c r="CA14" i="65"/>
  <c r="CB14" i="65"/>
  <c r="CC14" i="65"/>
  <c r="CD14" i="65"/>
  <c r="CE14" i="65"/>
  <c r="CF14" i="65"/>
  <c r="CG14" i="65"/>
  <c r="CH14" i="65"/>
  <c r="CI14" i="65"/>
  <c r="F15" i="65"/>
  <c r="G15" i="65"/>
  <c r="H15" i="65"/>
  <c r="I15" i="65"/>
  <c r="J15" i="65"/>
  <c r="K15" i="65"/>
  <c r="L15" i="65"/>
  <c r="M15" i="65"/>
  <c r="N15" i="65"/>
  <c r="O15" i="65"/>
  <c r="P15" i="65"/>
  <c r="Q15" i="65"/>
  <c r="R15" i="65"/>
  <c r="S15" i="65"/>
  <c r="T15" i="65"/>
  <c r="U15" i="65"/>
  <c r="V15" i="65"/>
  <c r="W15" i="65"/>
  <c r="X15" i="65"/>
  <c r="Y15" i="65"/>
  <c r="Z15" i="65"/>
  <c r="AA15" i="65"/>
  <c r="AB15" i="65"/>
  <c r="AC15" i="65"/>
  <c r="AD15" i="65"/>
  <c r="AE15" i="65"/>
  <c r="AF15" i="65"/>
  <c r="AG15" i="65"/>
  <c r="AH15" i="65"/>
  <c r="AI15" i="65"/>
  <c r="AJ15" i="65"/>
  <c r="AK15" i="65"/>
  <c r="AL15" i="65"/>
  <c r="AM15" i="65"/>
  <c r="AN15" i="65"/>
  <c r="AO15" i="65"/>
  <c r="AP15" i="65"/>
  <c r="AQ15" i="65"/>
  <c r="AR15" i="65"/>
  <c r="AS15" i="65"/>
  <c r="AT15" i="65"/>
  <c r="AU15" i="65"/>
  <c r="AV15" i="65"/>
  <c r="AW15" i="65"/>
  <c r="AX15" i="65"/>
  <c r="AY15" i="65"/>
  <c r="AZ15" i="65"/>
  <c r="BA15" i="65"/>
  <c r="BB15" i="65"/>
  <c r="BC15" i="65"/>
  <c r="BD15" i="65"/>
  <c r="BE15" i="65"/>
  <c r="BF15" i="65"/>
  <c r="BG15" i="65"/>
  <c r="BH15" i="65"/>
  <c r="BI15" i="65"/>
  <c r="BJ15" i="65"/>
  <c r="BK15" i="65"/>
  <c r="BL15" i="65"/>
  <c r="BM15" i="65"/>
  <c r="BN15" i="65"/>
  <c r="BO15" i="65"/>
  <c r="BP15" i="65"/>
  <c r="BQ15" i="65"/>
  <c r="BR15" i="65"/>
  <c r="BS15" i="65"/>
  <c r="BT15" i="65"/>
  <c r="BU15" i="65"/>
  <c r="BV15" i="65"/>
  <c r="BW15" i="65"/>
  <c r="BX15" i="65"/>
  <c r="BY15" i="65"/>
  <c r="BZ15" i="65"/>
  <c r="CA15" i="65"/>
  <c r="CB15" i="65"/>
  <c r="CC15" i="65"/>
  <c r="CD15" i="65"/>
  <c r="CE15" i="65"/>
  <c r="CF15" i="65"/>
  <c r="CG15" i="65"/>
  <c r="CH15" i="65"/>
  <c r="CI15" i="65"/>
  <c r="F16" i="65"/>
  <c r="G16" i="65"/>
  <c r="H16" i="65"/>
  <c r="I16" i="65"/>
  <c r="J16" i="65"/>
  <c r="K16" i="65"/>
  <c r="L16" i="65"/>
  <c r="M16" i="65"/>
  <c r="N16" i="65"/>
  <c r="O16" i="65"/>
  <c r="P16" i="65"/>
  <c r="Q16" i="65"/>
  <c r="R16" i="65"/>
  <c r="S16" i="65"/>
  <c r="T16" i="65"/>
  <c r="U16" i="65"/>
  <c r="V16" i="65"/>
  <c r="W16" i="65"/>
  <c r="X16" i="65"/>
  <c r="Y16" i="65"/>
  <c r="Z16" i="65"/>
  <c r="AA16" i="65"/>
  <c r="AB16" i="65"/>
  <c r="AC16" i="65"/>
  <c r="AD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AR16" i="65"/>
  <c r="AS16" i="65"/>
  <c r="AT16" i="65"/>
  <c r="AU16" i="65"/>
  <c r="AV16" i="65"/>
  <c r="AW16" i="65"/>
  <c r="AX16" i="65"/>
  <c r="AY16" i="65"/>
  <c r="AZ16" i="65"/>
  <c r="BA16" i="65"/>
  <c r="BB16" i="65"/>
  <c r="BC16" i="65"/>
  <c r="BD16" i="65"/>
  <c r="BE16" i="65"/>
  <c r="BF16" i="65"/>
  <c r="BG16" i="65"/>
  <c r="BH16" i="65"/>
  <c r="BI16" i="65"/>
  <c r="BJ16" i="65"/>
  <c r="BK16" i="65"/>
  <c r="BL16" i="65"/>
  <c r="BM16" i="65"/>
  <c r="BN16" i="65"/>
  <c r="BO16" i="65"/>
  <c r="BP16" i="65"/>
  <c r="BQ16" i="65"/>
  <c r="BR16" i="65"/>
  <c r="BS16" i="65"/>
  <c r="BT16" i="65"/>
  <c r="BU16" i="65"/>
  <c r="BV16" i="65"/>
  <c r="BW16" i="65"/>
  <c r="BX16" i="65"/>
  <c r="BY16" i="65"/>
  <c r="BZ16" i="65"/>
  <c r="CA16" i="65"/>
  <c r="CB16" i="65"/>
  <c r="CC16" i="65"/>
  <c r="CD16" i="65"/>
  <c r="CE16" i="65"/>
  <c r="CF16" i="65"/>
  <c r="CG16" i="65"/>
  <c r="CH16" i="65"/>
  <c r="CI16" i="65"/>
  <c r="F17" i="65"/>
  <c r="G17" i="65"/>
  <c r="H17" i="65"/>
  <c r="I17" i="65"/>
  <c r="J17" i="65"/>
  <c r="K17" i="65"/>
  <c r="L17" i="65"/>
  <c r="M17" i="65"/>
  <c r="N17" i="65"/>
  <c r="O17" i="65"/>
  <c r="P17" i="65"/>
  <c r="Q17" i="65"/>
  <c r="R17" i="65"/>
  <c r="S17" i="65"/>
  <c r="T17" i="65"/>
  <c r="U17" i="65"/>
  <c r="V17" i="65"/>
  <c r="W17" i="65"/>
  <c r="X17" i="65"/>
  <c r="Y17" i="65"/>
  <c r="Z17" i="65"/>
  <c r="AA17" i="65"/>
  <c r="AB17" i="65"/>
  <c r="AC17" i="65"/>
  <c r="AD17" i="65"/>
  <c r="AE17" i="65"/>
  <c r="AF17" i="65"/>
  <c r="AG17" i="65"/>
  <c r="AH17" i="65"/>
  <c r="AI17" i="65"/>
  <c r="AJ17" i="65"/>
  <c r="AK17" i="65"/>
  <c r="AL17" i="65"/>
  <c r="AM17" i="65"/>
  <c r="AN17" i="65"/>
  <c r="AO17" i="65"/>
  <c r="AP17" i="65"/>
  <c r="AQ17" i="65"/>
  <c r="AR17" i="65"/>
  <c r="AS17" i="65"/>
  <c r="AT17" i="65"/>
  <c r="AU17" i="65"/>
  <c r="AV17" i="65"/>
  <c r="AW17" i="65"/>
  <c r="AX17" i="65"/>
  <c r="AY17" i="65"/>
  <c r="AZ17" i="65"/>
  <c r="BA17" i="65"/>
  <c r="BB17" i="65"/>
  <c r="BC17" i="65"/>
  <c r="BD17" i="65"/>
  <c r="BE17" i="65"/>
  <c r="BF17" i="65"/>
  <c r="BG17" i="65"/>
  <c r="BH17" i="65"/>
  <c r="BI17" i="65"/>
  <c r="BJ17" i="65"/>
  <c r="BK17" i="65"/>
  <c r="BL17" i="65"/>
  <c r="BM17" i="65"/>
  <c r="BN17" i="65"/>
  <c r="BO17" i="65"/>
  <c r="BP17" i="65"/>
  <c r="BQ17" i="65"/>
  <c r="BR17" i="65"/>
  <c r="BS17" i="65"/>
  <c r="BT17" i="65"/>
  <c r="BU17" i="65"/>
  <c r="BV17" i="65"/>
  <c r="BW17" i="65"/>
  <c r="BX17" i="65"/>
  <c r="BY17" i="65"/>
  <c r="BZ17" i="65"/>
  <c r="CA17" i="65"/>
  <c r="CB17" i="65"/>
  <c r="CC17" i="65"/>
  <c r="CD17" i="65"/>
  <c r="CE17" i="65"/>
  <c r="CF17" i="65"/>
  <c r="CG17" i="65"/>
  <c r="CH17" i="65"/>
  <c r="CI17" i="65"/>
  <c r="F18" i="65"/>
  <c r="G18" i="65"/>
  <c r="H18" i="65"/>
  <c r="I18" i="65"/>
  <c r="J18" i="65"/>
  <c r="K18" i="65"/>
  <c r="L18" i="65"/>
  <c r="M18" i="65"/>
  <c r="N18" i="65"/>
  <c r="O18" i="65"/>
  <c r="P18" i="65"/>
  <c r="Q18" i="65"/>
  <c r="R18" i="65"/>
  <c r="S18" i="65"/>
  <c r="T18" i="65"/>
  <c r="U18" i="65"/>
  <c r="V18" i="65"/>
  <c r="W18" i="65"/>
  <c r="X18" i="65"/>
  <c r="Y18" i="65"/>
  <c r="Z18" i="65"/>
  <c r="AA18" i="65"/>
  <c r="AB18" i="65"/>
  <c r="AC18" i="65"/>
  <c r="AD18" i="65"/>
  <c r="AE18" i="65"/>
  <c r="AF18" i="65"/>
  <c r="AG18" i="65"/>
  <c r="AH18" i="65"/>
  <c r="AI18" i="65"/>
  <c r="AJ18" i="65"/>
  <c r="AK18" i="65"/>
  <c r="AL18" i="65"/>
  <c r="AM18" i="65"/>
  <c r="AN18" i="65"/>
  <c r="AO18" i="65"/>
  <c r="AP18" i="65"/>
  <c r="AQ18" i="65"/>
  <c r="AR18" i="65"/>
  <c r="AS18" i="65"/>
  <c r="AT18" i="65"/>
  <c r="AU18" i="65"/>
  <c r="AV18" i="65"/>
  <c r="AW18" i="65"/>
  <c r="AX18" i="65"/>
  <c r="AY18" i="65"/>
  <c r="AZ18" i="65"/>
  <c r="BA18" i="65"/>
  <c r="BB18" i="65"/>
  <c r="BC18" i="65"/>
  <c r="BD18" i="65"/>
  <c r="BE18" i="65"/>
  <c r="BF18" i="65"/>
  <c r="BG18" i="65"/>
  <c r="BH18" i="65"/>
  <c r="BI18" i="65"/>
  <c r="BJ18" i="65"/>
  <c r="BK18" i="65"/>
  <c r="BL18" i="65"/>
  <c r="BM18" i="65"/>
  <c r="BN18" i="65"/>
  <c r="BO18" i="65"/>
  <c r="BP18" i="65"/>
  <c r="BQ18" i="65"/>
  <c r="BR18" i="65"/>
  <c r="BS18" i="65"/>
  <c r="BT18" i="65"/>
  <c r="BU18" i="65"/>
  <c r="BV18" i="65"/>
  <c r="BW18" i="65"/>
  <c r="BX18" i="65"/>
  <c r="BY18" i="65"/>
  <c r="BZ18" i="65"/>
  <c r="CA18" i="65"/>
  <c r="CB18" i="65"/>
  <c r="CC18" i="65"/>
  <c r="CD18" i="65"/>
  <c r="CE18" i="65"/>
  <c r="CF18" i="65"/>
  <c r="CG18" i="65"/>
  <c r="CH18" i="65"/>
  <c r="CI18" i="65"/>
  <c r="F19" i="65"/>
  <c r="G19" i="65"/>
  <c r="H19" i="65"/>
  <c r="I19" i="65"/>
  <c r="J19" i="65"/>
  <c r="K19" i="65"/>
  <c r="L19" i="65"/>
  <c r="M19" i="65"/>
  <c r="N19" i="65"/>
  <c r="O19" i="65"/>
  <c r="P19" i="65"/>
  <c r="Q19" i="65"/>
  <c r="R19" i="65"/>
  <c r="S19" i="65"/>
  <c r="T19" i="65"/>
  <c r="U19" i="65"/>
  <c r="V19" i="65"/>
  <c r="W19" i="65"/>
  <c r="X19" i="65"/>
  <c r="Y19" i="65"/>
  <c r="Z19" i="65"/>
  <c r="AA19" i="65"/>
  <c r="AB19" i="65"/>
  <c r="AC19" i="65"/>
  <c r="AD19" i="65"/>
  <c r="AE19" i="65"/>
  <c r="AF19" i="65"/>
  <c r="AG19" i="65"/>
  <c r="AH19" i="65"/>
  <c r="AI19" i="65"/>
  <c r="AJ19" i="65"/>
  <c r="AK19" i="65"/>
  <c r="AL19" i="65"/>
  <c r="AM19" i="65"/>
  <c r="AN19" i="65"/>
  <c r="AO19" i="65"/>
  <c r="AP19" i="65"/>
  <c r="AQ19" i="65"/>
  <c r="AR19" i="65"/>
  <c r="AS19" i="65"/>
  <c r="AT19" i="65"/>
  <c r="AU19" i="65"/>
  <c r="AV19" i="65"/>
  <c r="AW19" i="65"/>
  <c r="AX19" i="65"/>
  <c r="AY19" i="65"/>
  <c r="AZ19" i="65"/>
  <c r="BB19" i="65"/>
  <c r="BC19" i="65"/>
  <c r="BD19" i="65"/>
  <c r="BE19" i="65"/>
  <c r="BG19" i="65"/>
  <c r="BH19" i="65"/>
  <c r="BI19" i="65"/>
  <c r="BK19" i="65"/>
  <c r="BL19" i="65"/>
  <c r="BM19" i="65"/>
  <c r="BN19" i="65"/>
  <c r="BO19" i="65"/>
  <c r="BP19" i="65"/>
  <c r="BQ19" i="65"/>
  <c r="BR19" i="65"/>
  <c r="BS19" i="65"/>
  <c r="BT19" i="65"/>
  <c r="BU19" i="65"/>
  <c r="BV19" i="65"/>
  <c r="BW19" i="65"/>
  <c r="BX19" i="65"/>
  <c r="BY19" i="65"/>
  <c r="BZ19" i="65"/>
  <c r="CA19" i="65"/>
  <c r="CB19" i="65"/>
  <c r="CC19" i="65"/>
  <c r="CD19" i="65"/>
  <c r="CE19" i="65"/>
  <c r="CF19" i="65"/>
  <c r="CG19" i="65"/>
  <c r="CH19" i="65"/>
  <c r="CI19" i="65"/>
  <c r="F20" i="65"/>
  <c r="G20" i="65"/>
  <c r="H20" i="65"/>
  <c r="I20" i="65"/>
  <c r="J20" i="65"/>
  <c r="K20" i="65"/>
  <c r="L20" i="65"/>
  <c r="M20" i="65"/>
  <c r="N20" i="65"/>
  <c r="O20" i="65"/>
  <c r="P20" i="65"/>
  <c r="Q20" i="65"/>
  <c r="R20" i="65"/>
  <c r="S20" i="65"/>
  <c r="T20" i="65"/>
  <c r="U20" i="65"/>
  <c r="V20" i="65"/>
  <c r="W20" i="65"/>
  <c r="X20" i="65"/>
  <c r="Y20" i="65"/>
  <c r="Z20" i="65"/>
  <c r="AA20" i="65"/>
  <c r="AB20" i="65"/>
  <c r="AC20" i="65"/>
  <c r="AD20" i="65"/>
  <c r="AE20" i="65"/>
  <c r="AF20" i="65"/>
  <c r="AG20" i="65"/>
  <c r="AH20" i="65"/>
  <c r="AI20" i="65"/>
  <c r="AJ20" i="65"/>
  <c r="AK20" i="65"/>
  <c r="AL20" i="65"/>
  <c r="AM20" i="65"/>
  <c r="AN20" i="65"/>
  <c r="AO20" i="65"/>
  <c r="AP20" i="65"/>
  <c r="AQ20" i="65"/>
  <c r="AR20" i="65"/>
  <c r="AS20" i="65"/>
  <c r="AT20" i="65"/>
  <c r="AU20" i="65"/>
  <c r="AV20" i="65"/>
  <c r="AW20" i="65"/>
  <c r="AX20" i="65"/>
  <c r="AY20" i="65"/>
  <c r="AZ20" i="65"/>
  <c r="BB20" i="65"/>
  <c r="BC20" i="65"/>
  <c r="BD20" i="65"/>
  <c r="BE20" i="65"/>
  <c r="BG20" i="65"/>
  <c r="BH20" i="65"/>
  <c r="BI20" i="65"/>
  <c r="BK20" i="65"/>
  <c r="BL20" i="65"/>
  <c r="BM20" i="65"/>
  <c r="BN20" i="65"/>
  <c r="BO20" i="65"/>
  <c r="BP20" i="65"/>
  <c r="BQ20" i="65"/>
  <c r="BR20" i="65"/>
  <c r="BS20" i="65"/>
  <c r="BT20" i="65"/>
  <c r="BU20" i="65"/>
  <c r="BV20" i="65"/>
  <c r="BW20" i="65"/>
  <c r="BX20" i="65"/>
  <c r="BY20" i="65"/>
  <c r="BZ20" i="65"/>
  <c r="CA20" i="65"/>
  <c r="CB20" i="65"/>
  <c r="CC20" i="65"/>
  <c r="CD20" i="65"/>
  <c r="CE20" i="65"/>
  <c r="CF20" i="65"/>
  <c r="CG20" i="65"/>
  <c r="CH20" i="65"/>
  <c r="CI20" i="65"/>
  <c r="F21" i="65"/>
  <c r="G21" i="65"/>
  <c r="H21" i="65"/>
  <c r="I21" i="65"/>
  <c r="J21" i="65"/>
  <c r="K21" i="65"/>
  <c r="L21" i="65"/>
  <c r="M21" i="65"/>
  <c r="N21" i="65"/>
  <c r="O21" i="65"/>
  <c r="P21" i="65"/>
  <c r="Q21" i="65"/>
  <c r="R21" i="65"/>
  <c r="S21" i="65"/>
  <c r="T21" i="65"/>
  <c r="U21" i="65"/>
  <c r="V21" i="65"/>
  <c r="W21" i="65"/>
  <c r="X21" i="65"/>
  <c r="Y21" i="65"/>
  <c r="Z21" i="65"/>
  <c r="AA21" i="65"/>
  <c r="AB21" i="65"/>
  <c r="AC21" i="65"/>
  <c r="AD21" i="65"/>
  <c r="AE21" i="65"/>
  <c r="AF21" i="65"/>
  <c r="AG21" i="65"/>
  <c r="AH21" i="65"/>
  <c r="AI21" i="65"/>
  <c r="AJ21" i="65"/>
  <c r="AK21" i="65"/>
  <c r="AL21" i="65"/>
  <c r="AM21" i="65"/>
  <c r="AN21" i="65"/>
  <c r="AO21" i="65"/>
  <c r="AP21" i="65"/>
  <c r="AQ21" i="65"/>
  <c r="AR21" i="65"/>
  <c r="AS21" i="65"/>
  <c r="AT21" i="65"/>
  <c r="AU21" i="65"/>
  <c r="AV21" i="65"/>
  <c r="AW21" i="65"/>
  <c r="AX21" i="65"/>
  <c r="AY21" i="65"/>
  <c r="AZ21" i="65"/>
  <c r="BB21" i="65"/>
  <c r="BC21" i="65"/>
  <c r="BD21" i="65"/>
  <c r="BE21" i="65"/>
  <c r="BG21" i="65"/>
  <c r="BH21" i="65"/>
  <c r="BI21" i="65"/>
  <c r="BK21" i="65"/>
  <c r="BL21" i="65"/>
  <c r="BM21" i="65"/>
  <c r="BN21" i="65"/>
  <c r="BO21" i="65"/>
  <c r="BP21" i="65"/>
  <c r="BQ21" i="65"/>
  <c r="BR21" i="65"/>
  <c r="BS21" i="65"/>
  <c r="BT21" i="65"/>
  <c r="BU21" i="65"/>
  <c r="BV21" i="65"/>
  <c r="BW21" i="65"/>
  <c r="BX21" i="65"/>
  <c r="BY21" i="65"/>
  <c r="BZ21" i="65"/>
  <c r="CA21" i="65"/>
  <c r="CB21" i="65"/>
  <c r="CC21" i="65"/>
  <c r="CD21" i="65"/>
  <c r="CE21" i="65"/>
  <c r="CF21" i="65"/>
  <c r="CG21" i="65"/>
  <c r="CH21" i="65"/>
  <c r="CI21" i="65"/>
  <c r="F22" i="65"/>
  <c r="G22" i="65"/>
  <c r="H22" i="65"/>
  <c r="I22" i="65"/>
  <c r="J22" i="65"/>
  <c r="K22" i="65"/>
  <c r="L22" i="65"/>
  <c r="M22" i="65"/>
  <c r="N22" i="65"/>
  <c r="O22" i="65"/>
  <c r="P22" i="65"/>
  <c r="Q22" i="65"/>
  <c r="R22" i="65"/>
  <c r="S22" i="65"/>
  <c r="T22" i="65"/>
  <c r="U22" i="65"/>
  <c r="V22" i="65"/>
  <c r="W22" i="65"/>
  <c r="X22" i="65"/>
  <c r="Y22" i="65"/>
  <c r="Z22" i="65"/>
  <c r="AA22" i="65"/>
  <c r="AB22" i="65"/>
  <c r="AC22" i="65"/>
  <c r="AD22" i="65"/>
  <c r="AE22" i="65"/>
  <c r="AF22" i="65"/>
  <c r="AG22" i="65"/>
  <c r="AH22" i="65"/>
  <c r="AI22" i="65"/>
  <c r="AJ22" i="65"/>
  <c r="AK22" i="65"/>
  <c r="AL22" i="65"/>
  <c r="AM22" i="65"/>
  <c r="AN22" i="65"/>
  <c r="AO22" i="65"/>
  <c r="AP22" i="65"/>
  <c r="AQ22" i="65"/>
  <c r="AR22" i="65"/>
  <c r="AS22" i="65"/>
  <c r="AT22" i="65"/>
  <c r="AU22" i="65"/>
  <c r="AV22" i="65"/>
  <c r="AW22" i="65"/>
  <c r="AX22" i="65"/>
  <c r="AY22" i="65"/>
  <c r="AZ22" i="65"/>
  <c r="BB22" i="65"/>
  <c r="BC22" i="65"/>
  <c r="BD22" i="65"/>
  <c r="BE22" i="65"/>
  <c r="BG22" i="65"/>
  <c r="BH22" i="65"/>
  <c r="BI22" i="65"/>
  <c r="BK22" i="65"/>
  <c r="BL22" i="65"/>
  <c r="BM22" i="65"/>
  <c r="BN22" i="65"/>
  <c r="BO22" i="65"/>
  <c r="BP22" i="65"/>
  <c r="BQ22" i="65"/>
  <c r="BR22" i="65"/>
  <c r="BS22" i="65"/>
  <c r="BT22" i="65"/>
  <c r="BU22" i="65"/>
  <c r="BV22" i="65"/>
  <c r="BW22" i="65"/>
  <c r="BX22" i="65"/>
  <c r="BY22" i="65"/>
  <c r="BZ22" i="65"/>
  <c r="CA22" i="65"/>
  <c r="CB22" i="65"/>
  <c r="CC22" i="65"/>
  <c r="CD22" i="65"/>
  <c r="CE22" i="65"/>
  <c r="CF22" i="65"/>
  <c r="CG22" i="65"/>
  <c r="CH22" i="65"/>
  <c r="CI22" i="65"/>
  <c r="F23" i="65"/>
  <c r="G23" i="65"/>
  <c r="H23" i="65"/>
  <c r="I23" i="65"/>
  <c r="J23" i="65"/>
  <c r="K23" i="65"/>
  <c r="L23" i="65"/>
  <c r="M23" i="65"/>
  <c r="N23" i="65"/>
  <c r="O23" i="65"/>
  <c r="P23" i="65"/>
  <c r="Q23" i="65"/>
  <c r="R23" i="65"/>
  <c r="S23" i="65"/>
  <c r="T23" i="65"/>
  <c r="U23" i="65"/>
  <c r="V23" i="65"/>
  <c r="W23" i="65"/>
  <c r="X23" i="65"/>
  <c r="Y23" i="65"/>
  <c r="Z23" i="65"/>
  <c r="AA23" i="65"/>
  <c r="AB23" i="65"/>
  <c r="AC23" i="65"/>
  <c r="AD23" i="65"/>
  <c r="AE23" i="65"/>
  <c r="AF23" i="65"/>
  <c r="AG23" i="65"/>
  <c r="AH23" i="65"/>
  <c r="AI23" i="65"/>
  <c r="AJ23" i="65"/>
  <c r="AK23" i="65"/>
  <c r="AL23" i="65"/>
  <c r="AM23" i="65"/>
  <c r="AN23" i="65"/>
  <c r="AO23" i="65"/>
  <c r="AP23" i="65"/>
  <c r="AQ23" i="65"/>
  <c r="AR23" i="65"/>
  <c r="AS23" i="65"/>
  <c r="AT23" i="65"/>
  <c r="AU23" i="65"/>
  <c r="AV23" i="65"/>
  <c r="AW23" i="65"/>
  <c r="AX23" i="65"/>
  <c r="AY23" i="65"/>
  <c r="AZ23" i="65"/>
  <c r="BB23" i="65"/>
  <c r="BC23" i="65"/>
  <c r="BD23" i="65"/>
  <c r="BE23" i="65"/>
  <c r="BG23" i="65"/>
  <c r="BH23" i="65"/>
  <c r="BI23" i="65"/>
  <c r="BK23" i="65"/>
  <c r="BL23" i="65"/>
  <c r="BM23" i="65"/>
  <c r="BN23" i="65"/>
  <c r="BO23" i="65"/>
  <c r="BP23" i="65"/>
  <c r="BQ23" i="65"/>
  <c r="BR23" i="65"/>
  <c r="BS23" i="65"/>
  <c r="BT23" i="65"/>
  <c r="BU23" i="65"/>
  <c r="BV23" i="65"/>
  <c r="BW23" i="65"/>
  <c r="BX23" i="65"/>
  <c r="BY23" i="65"/>
  <c r="BZ23" i="65"/>
  <c r="CA23" i="65"/>
  <c r="CB23" i="65"/>
  <c r="CC23" i="65"/>
  <c r="CD23" i="65"/>
  <c r="CE23" i="65"/>
  <c r="CF23" i="65"/>
  <c r="CG23" i="65"/>
  <c r="CH23" i="65"/>
  <c r="CI23" i="65"/>
  <c r="F24" i="65"/>
  <c r="G24" i="65"/>
  <c r="H24" i="65"/>
  <c r="I24" i="65"/>
  <c r="J24" i="65"/>
  <c r="K24" i="65"/>
  <c r="L24" i="65"/>
  <c r="M24" i="65"/>
  <c r="N24" i="65"/>
  <c r="O24" i="65"/>
  <c r="P24" i="65"/>
  <c r="Q24" i="65"/>
  <c r="R24" i="65"/>
  <c r="S24" i="65"/>
  <c r="T24" i="65"/>
  <c r="U24" i="65"/>
  <c r="V24" i="65"/>
  <c r="W24" i="65"/>
  <c r="X24" i="65"/>
  <c r="Y24" i="65"/>
  <c r="Z24" i="65"/>
  <c r="AA24" i="65"/>
  <c r="AB24" i="65"/>
  <c r="AC24" i="65"/>
  <c r="AD24" i="65"/>
  <c r="AE24" i="65"/>
  <c r="AF24" i="65"/>
  <c r="AG24" i="65"/>
  <c r="AH24" i="65"/>
  <c r="AI24" i="65"/>
  <c r="AJ24" i="65"/>
  <c r="AK24" i="65"/>
  <c r="AL24" i="65"/>
  <c r="AM24" i="65"/>
  <c r="AN24" i="65"/>
  <c r="AO24" i="65"/>
  <c r="AP24" i="65"/>
  <c r="AQ24" i="65"/>
  <c r="AR24" i="65"/>
  <c r="AS24" i="65"/>
  <c r="AT24" i="65"/>
  <c r="AU24" i="65"/>
  <c r="AV24" i="65"/>
  <c r="AW24" i="65"/>
  <c r="AX24" i="65"/>
  <c r="AY24" i="65"/>
  <c r="AZ24" i="65"/>
  <c r="BB24" i="65"/>
  <c r="BC24" i="65"/>
  <c r="BD24" i="65"/>
  <c r="BE24" i="65"/>
  <c r="BG24" i="65"/>
  <c r="BH24" i="65"/>
  <c r="BI24" i="65"/>
  <c r="BK24" i="65"/>
  <c r="BL24" i="65"/>
  <c r="BM24" i="65"/>
  <c r="BN24" i="65"/>
  <c r="BO24" i="65"/>
  <c r="BP24" i="65"/>
  <c r="BQ24" i="65"/>
  <c r="BR24" i="65"/>
  <c r="BS24" i="65"/>
  <c r="BT24" i="65"/>
  <c r="BU24" i="65"/>
  <c r="BV24" i="65"/>
  <c r="BW24" i="65"/>
  <c r="BX24" i="65"/>
  <c r="BY24" i="65"/>
  <c r="BZ24" i="65"/>
  <c r="CA24" i="65"/>
  <c r="CB24" i="65"/>
  <c r="CC24" i="65"/>
  <c r="CD24" i="65"/>
  <c r="CE24" i="65"/>
  <c r="CF24" i="65"/>
  <c r="CG24" i="65"/>
  <c r="CH24" i="65"/>
  <c r="CI24" i="65"/>
  <c r="F25" i="65"/>
  <c r="G25" i="65"/>
  <c r="H25" i="65"/>
  <c r="I25" i="65"/>
  <c r="J25" i="65"/>
  <c r="K25" i="65"/>
  <c r="L25" i="65"/>
  <c r="M25" i="65"/>
  <c r="N25" i="65"/>
  <c r="O25" i="65"/>
  <c r="P25" i="65"/>
  <c r="Q25" i="65"/>
  <c r="R25" i="65"/>
  <c r="S25" i="65"/>
  <c r="T25" i="65"/>
  <c r="U25" i="65"/>
  <c r="V25" i="65"/>
  <c r="W25" i="65"/>
  <c r="X25" i="65"/>
  <c r="Y25" i="65"/>
  <c r="Z25" i="65"/>
  <c r="AA25" i="65"/>
  <c r="AB25" i="65"/>
  <c r="AC25" i="65"/>
  <c r="AD25" i="65"/>
  <c r="AE25" i="65"/>
  <c r="AF25" i="65"/>
  <c r="AG25" i="65"/>
  <c r="AH25" i="65"/>
  <c r="AI25" i="65"/>
  <c r="AJ25" i="65"/>
  <c r="AK25" i="65"/>
  <c r="AL25" i="65"/>
  <c r="AM25" i="65"/>
  <c r="AN25" i="65"/>
  <c r="AO25" i="65"/>
  <c r="AP25" i="65"/>
  <c r="AQ25" i="65"/>
  <c r="AR25" i="65"/>
  <c r="AS25" i="65"/>
  <c r="AT25" i="65"/>
  <c r="AU25" i="65"/>
  <c r="AV25" i="65"/>
  <c r="AW25" i="65"/>
  <c r="AX25" i="65"/>
  <c r="AY25" i="65"/>
  <c r="AZ25" i="65"/>
  <c r="BB25" i="65"/>
  <c r="BC25" i="65"/>
  <c r="BD25" i="65"/>
  <c r="BE25" i="65"/>
  <c r="BG25" i="65"/>
  <c r="BH25" i="65"/>
  <c r="BI25" i="65"/>
  <c r="BK25" i="65"/>
  <c r="BL25" i="65"/>
  <c r="BM25" i="65"/>
  <c r="BN25" i="65"/>
  <c r="BO25" i="65"/>
  <c r="BP25" i="65"/>
  <c r="BQ25" i="65"/>
  <c r="BR25" i="65"/>
  <c r="BS25" i="65"/>
  <c r="BT25" i="65"/>
  <c r="BU25" i="65"/>
  <c r="BV25" i="65"/>
  <c r="BW25" i="65"/>
  <c r="BX25" i="65"/>
  <c r="BY25" i="65"/>
  <c r="BZ25" i="65"/>
  <c r="CA25" i="65"/>
  <c r="CB25" i="65"/>
  <c r="CC25" i="65"/>
  <c r="CD25" i="65"/>
  <c r="CE25" i="65"/>
  <c r="CF25" i="65"/>
  <c r="CG25" i="65"/>
  <c r="CH25" i="65"/>
  <c r="CI25" i="65"/>
  <c r="F26" i="65"/>
  <c r="G26" i="65"/>
  <c r="H26" i="65"/>
  <c r="I26" i="65"/>
  <c r="J26" i="65"/>
  <c r="K26" i="65"/>
  <c r="L26" i="65"/>
  <c r="M26" i="65"/>
  <c r="N26" i="65"/>
  <c r="O26" i="65"/>
  <c r="P26" i="65"/>
  <c r="Q26" i="65"/>
  <c r="R26" i="65"/>
  <c r="S26" i="65"/>
  <c r="T26" i="65"/>
  <c r="U26" i="65"/>
  <c r="V26" i="65"/>
  <c r="W26" i="65"/>
  <c r="X26" i="65"/>
  <c r="Y26" i="65"/>
  <c r="Z26" i="65"/>
  <c r="AA26" i="65"/>
  <c r="AB26" i="65"/>
  <c r="AC26" i="65"/>
  <c r="AD26" i="65"/>
  <c r="AE26" i="65"/>
  <c r="AF26" i="65"/>
  <c r="AG26" i="65"/>
  <c r="AH26" i="65"/>
  <c r="AI26" i="65"/>
  <c r="AJ26" i="65"/>
  <c r="AK26" i="65"/>
  <c r="AL26" i="65"/>
  <c r="AM26" i="65"/>
  <c r="AN26" i="65"/>
  <c r="AO26" i="65"/>
  <c r="AP26" i="65"/>
  <c r="AQ26" i="65"/>
  <c r="AR26" i="65"/>
  <c r="AS26" i="65"/>
  <c r="AT26" i="65"/>
  <c r="AU26" i="65"/>
  <c r="AV26" i="65"/>
  <c r="AW26" i="65"/>
  <c r="AX26" i="65"/>
  <c r="AY26" i="65"/>
  <c r="AZ26" i="65"/>
  <c r="BB26" i="65"/>
  <c r="BC26" i="65"/>
  <c r="BD26" i="65"/>
  <c r="BE26" i="65"/>
  <c r="BG26" i="65"/>
  <c r="BH26" i="65"/>
  <c r="BI26" i="65"/>
  <c r="BK26" i="65"/>
  <c r="BL26" i="65"/>
  <c r="BM26" i="65"/>
  <c r="BN26" i="65"/>
  <c r="BO26" i="65"/>
  <c r="BP26" i="65"/>
  <c r="BQ26" i="65"/>
  <c r="BR26" i="65"/>
  <c r="BS26" i="65"/>
  <c r="BT26" i="65"/>
  <c r="BU26" i="65"/>
  <c r="BV26" i="65"/>
  <c r="BW26" i="65"/>
  <c r="BX26" i="65"/>
  <c r="BY26" i="65"/>
  <c r="BZ26" i="65"/>
  <c r="CA26" i="65"/>
  <c r="CB26" i="65"/>
  <c r="CC26" i="65"/>
  <c r="CD26" i="65"/>
  <c r="CE26" i="65"/>
  <c r="CF26" i="65"/>
  <c r="CG26" i="65"/>
  <c r="CH26" i="65"/>
  <c r="CI26" i="65"/>
  <c r="F27" i="65"/>
  <c r="G27" i="65"/>
  <c r="H27" i="65"/>
  <c r="I27" i="65"/>
  <c r="J27" i="65"/>
  <c r="K27" i="65"/>
  <c r="L27" i="65"/>
  <c r="M27" i="65"/>
  <c r="N27" i="65"/>
  <c r="O27" i="65"/>
  <c r="P27" i="65"/>
  <c r="Q27" i="65"/>
  <c r="R27" i="65"/>
  <c r="S27" i="65"/>
  <c r="T27" i="65"/>
  <c r="U27" i="65"/>
  <c r="V27" i="65"/>
  <c r="W27" i="65"/>
  <c r="X27" i="65"/>
  <c r="Y27" i="65"/>
  <c r="Z27" i="65"/>
  <c r="AA27" i="65"/>
  <c r="AB27" i="65"/>
  <c r="AC27" i="65"/>
  <c r="AD27" i="65"/>
  <c r="AE27" i="65"/>
  <c r="AF27" i="65"/>
  <c r="AG27" i="65"/>
  <c r="AH27" i="65"/>
  <c r="AI27" i="65"/>
  <c r="AJ27" i="65"/>
  <c r="AK27" i="65"/>
  <c r="AL27" i="65"/>
  <c r="AM27" i="65"/>
  <c r="AN27" i="65"/>
  <c r="AO27" i="65"/>
  <c r="AP27" i="65"/>
  <c r="AQ27" i="65"/>
  <c r="AR27" i="65"/>
  <c r="AS27" i="65"/>
  <c r="AT27" i="65"/>
  <c r="AU27" i="65"/>
  <c r="AV27" i="65"/>
  <c r="AW27" i="65"/>
  <c r="AX27" i="65"/>
  <c r="AY27" i="65"/>
  <c r="AZ27" i="65"/>
  <c r="BB27" i="65"/>
  <c r="BC27" i="65"/>
  <c r="BD27" i="65"/>
  <c r="BE27" i="65"/>
  <c r="BG27" i="65"/>
  <c r="BH27" i="65"/>
  <c r="BI27" i="65"/>
  <c r="BK27" i="65"/>
  <c r="BL27" i="65"/>
  <c r="BM27" i="65"/>
  <c r="BN27" i="65"/>
  <c r="BO27" i="65"/>
  <c r="BP27" i="65"/>
  <c r="BQ27" i="65"/>
  <c r="BR27" i="65"/>
  <c r="BS27" i="65"/>
  <c r="BT27" i="65"/>
  <c r="BU27" i="65"/>
  <c r="BV27" i="65"/>
  <c r="BW27" i="65"/>
  <c r="BX27" i="65"/>
  <c r="BY27" i="65"/>
  <c r="BZ27" i="65"/>
  <c r="CA27" i="65"/>
  <c r="CB27" i="65"/>
  <c r="CC27" i="65"/>
  <c r="CD27" i="65"/>
  <c r="CE27" i="65"/>
  <c r="CF27" i="65"/>
  <c r="CG27" i="65"/>
  <c r="CH27" i="65"/>
  <c r="CI27" i="65"/>
  <c r="F28" i="65"/>
  <c r="G28" i="65"/>
  <c r="H28" i="65"/>
  <c r="I28" i="65"/>
  <c r="J28" i="65"/>
  <c r="K28" i="65"/>
  <c r="L28" i="65"/>
  <c r="M28" i="65"/>
  <c r="N28" i="65"/>
  <c r="O28" i="65"/>
  <c r="P28" i="65"/>
  <c r="Q28" i="65"/>
  <c r="R28" i="65"/>
  <c r="S28" i="65"/>
  <c r="T28" i="65"/>
  <c r="U28" i="65"/>
  <c r="V28" i="65"/>
  <c r="W28" i="65"/>
  <c r="X28" i="65"/>
  <c r="Y28" i="65"/>
  <c r="Z28" i="65"/>
  <c r="AA28" i="65"/>
  <c r="AB28" i="65"/>
  <c r="AC28" i="65"/>
  <c r="AD28" i="65"/>
  <c r="AE28" i="65"/>
  <c r="AF28" i="65"/>
  <c r="AG28" i="65"/>
  <c r="AH28" i="65"/>
  <c r="AI28" i="65"/>
  <c r="AJ28" i="65"/>
  <c r="AK28" i="65"/>
  <c r="AL28" i="65"/>
  <c r="AM28" i="65"/>
  <c r="AN28" i="65"/>
  <c r="AO28" i="65"/>
  <c r="AP28" i="65"/>
  <c r="AQ28" i="65"/>
  <c r="AR28" i="65"/>
  <c r="AS28" i="65"/>
  <c r="AT28" i="65"/>
  <c r="AU28" i="65"/>
  <c r="AV28" i="65"/>
  <c r="AW28" i="65"/>
  <c r="AX28" i="65"/>
  <c r="AY28" i="65"/>
  <c r="AZ28" i="65"/>
  <c r="BB28" i="65"/>
  <c r="BC28" i="65"/>
  <c r="BD28" i="65"/>
  <c r="BE28" i="65"/>
  <c r="BG28" i="65"/>
  <c r="BH28" i="65"/>
  <c r="BI28" i="65"/>
  <c r="BK28" i="65"/>
  <c r="BL28" i="65"/>
  <c r="BM28" i="65"/>
  <c r="BN28" i="65"/>
  <c r="BO28" i="65"/>
  <c r="BP28" i="65"/>
  <c r="BQ28" i="65"/>
  <c r="BR28" i="65"/>
  <c r="BS28" i="65"/>
  <c r="BT28" i="65"/>
  <c r="BU28" i="65"/>
  <c r="BV28" i="65"/>
  <c r="BW28" i="65"/>
  <c r="BX28" i="65"/>
  <c r="BY28" i="65"/>
  <c r="BZ28" i="65"/>
  <c r="CA28" i="65"/>
  <c r="CB28" i="65"/>
  <c r="CC28" i="65"/>
  <c r="CD28" i="65"/>
  <c r="CE28" i="65"/>
  <c r="CF28" i="65"/>
  <c r="CG28" i="65"/>
  <c r="CH28" i="65"/>
  <c r="CI28" i="65"/>
  <c r="F29" i="65"/>
  <c r="G29" i="65"/>
  <c r="H29" i="65"/>
  <c r="I29" i="65"/>
  <c r="J29" i="65"/>
  <c r="K29" i="65"/>
  <c r="L29" i="65"/>
  <c r="M29" i="65"/>
  <c r="N29" i="65"/>
  <c r="O29" i="65"/>
  <c r="P29" i="65"/>
  <c r="Q29" i="65"/>
  <c r="R29" i="65"/>
  <c r="S29" i="65"/>
  <c r="T29" i="65"/>
  <c r="U29" i="65"/>
  <c r="V29" i="65"/>
  <c r="W29" i="65"/>
  <c r="X29" i="65"/>
  <c r="Y29" i="65"/>
  <c r="Z29" i="65"/>
  <c r="AA29" i="65"/>
  <c r="AB29" i="65"/>
  <c r="AC29" i="65"/>
  <c r="AD29" i="65"/>
  <c r="AE29" i="65"/>
  <c r="AF29" i="65"/>
  <c r="AG29" i="65"/>
  <c r="AH29" i="65"/>
  <c r="AI29" i="65"/>
  <c r="AJ29" i="65"/>
  <c r="AK29" i="65"/>
  <c r="AL29" i="65"/>
  <c r="AM29" i="65"/>
  <c r="AN29" i="65"/>
  <c r="AO29" i="65"/>
  <c r="AP29" i="65"/>
  <c r="AQ29" i="65"/>
  <c r="AR29" i="65"/>
  <c r="AS29" i="65"/>
  <c r="AT29" i="65"/>
  <c r="AU29" i="65"/>
  <c r="AV29" i="65"/>
  <c r="AW29" i="65"/>
  <c r="AX29" i="65"/>
  <c r="AY29" i="65"/>
  <c r="AZ29" i="65"/>
  <c r="BB29" i="65"/>
  <c r="BC29" i="65"/>
  <c r="BD29" i="65"/>
  <c r="BE29" i="65"/>
  <c r="BG29" i="65"/>
  <c r="BH29" i="65"/>
  <c r="BI29" i="65"/>
  <c r="BK29" i="65"/>
  <c r="BL29" i="65"/>
  <c r="BM29" i="65"/>
  <c r="BN29" i="65"/>
  <c r="BO29" i="65"/>
  <c r="BP29" i="65"/>
  <c r="BQ29" i="65"/>
  <c r="BR29" i="65"/>
  <c r="BS29" i="65"/>
  <c r="BT29" i="65"/>
  <c r="BU29" i="65"/>
  <c r="BV29" i="65"/>
  <c r="BW29" i="65"/>
  <c r="BX29" i="65"/>
  <c r="BY29" i="65"/>
  <c r="BZ29" i="65"/>
  <c r="CA29" i="65"/>
  <c r="CB29" i="65"/>
  <c r="CC29" i="65"/>
  <c r="CD29" i="65"/>
  <c r="CE29" i="65"/>
  <c r="CF29" i="65"/>
  <c r="CG29" i="65"/>
  <c r="CH29" i="65"/>
  <c r="CI29" i="65"/>
  <c r="F30" i="65"/>
  <c r="G30" i="65"/>
  <c r="H30" i="65"/>
  <c r="I30" i="65"/>
  <c r="J30" i="65"/>
  <c r="K30" i="65"/>
  <c r="L30" i="65"/>
  <c r="M30" i="65"/>
  <c r="N30" i="65"/>
  <c r="O30" i="65"/>
  <c r="P30" i="65"/>
  <c r="Q30" i="65"/>
  <c r="R30" i="65"/>
  <c r="S30" i="65"/>
  <c r="T30" i="65"/>
  <c r="U30" i="65"/>
  <c r="V30" i="65"/>
  <c r="W30" i="65"/>
  <c r="X30" i="65"/>
  <c r="Y30" i="65"/>
  <c r="Z30" i="65"/>
  <c r="AA30" i="65"/>
  <c r="AB30" i="65"/>
  <c r="AC30" i="65"/>
  <c r="AD30" i="65"/>
  <c r="AE30" i="65"/>
  <c r="AF30" i="65"/>
  <c r="AG30" i="65"/>
  <c r="AH30" i="65"/>
  <c r="AI30" i="65"/>
  <c r="AJ30" i="65"/>
  <c r="AK30" i="65"/>
  <c r="AL30" i="65"/>
  <c r="AM30" i="65"/>
  <c r="AN30" i="65"/>
  <c r="AO30" i="65"/>
  <c r="AP30" i="65"/>
  <c r="AQ30" i="65"/>
  <c r="AR30" i="65"/>
  <c r="AS30" i="65"/>
  <c r="AT30" i="65"/>
  <c r="AU30" i="65"/>
  <c r="AV30" i="65"/>
  <c r="AW30" i="65"/>
  <c r="AX30" i="65"/>
  <c r="AY30" i="65"/>
  <c r="AZ30" i="65"/>
  <c r="BB30" i="65"/>
  <c r="BC30" i="65"/>
  <c r="BD30" i="65"/>
  <c r="BE30" i="65"/>
  <c r="BG30" i="65"/>
  <c r="BH30" i="65"/>
  <c r="BI30" i="65"/>
  <c r="BK30" i="65"/>
  <c r="BL30" i="65"/>
  <c r="BM30" i="65"/>
  <c r="BN30" i="65"/>
  <c r="BO30" i="65"/>
  <c r="BP30" i="65"/>
  <c r="BQ30" i="65"/>
  <c r="BR30" i="65"/>
  <c r="BS30" i="65"/>
  <c r="BT30" i="65"/>
  <c r="BU30" i="65"/>
  <c r="BV30" i="65"/>
  <c r="BW30" i="65"/>
  <c r="BX30" i="65"/>
  <c r="BY30" i="65"/>
  <c r="BZ30" i="65"/>
  <c r="CA30" i="65"/>
  <c r="CB30" i="65"/>
  <c r="CC30" i="65"/>
  <c r="CD30" i="65"/>
  <c r="CE30" i="65"/>
  <c r="CF30" i="65"/>
  <c r="CG30" i="65"/>
  <c r="CH30" i="65"/>
  <c r="CI30" i="65"/>
  <c r="F31" i="65"/>
  <c r="G31" i="65"/>
  <c r="H31" i="65"/>
  <c r="I31" i="65"/>
  <c r="J31" i="65"/>
  <c r="K31" i="65"/>
  <c r="L31" i="65"/>
  <c r="M31" i="65"/>
  <c r="N31" i="65"/>
  <c r="O31" i="65"/>
  <c r="P31" i="65"/>
  <c r="Q31" i="65"/>
  <c r="R31" i="65"/>
  <c r="S31" i="65"/>
  <c r="T31" i="65"/>
  <c r="U31" i="65"/>
  <c r="V31" i="65"/>
  <c r="W31" i="65"/>
  <c r="X31" i="65"/>
  <c r="Y31" i="65"/>
  <c r="Z31" i="65"/>
  <c r="AA31" i="65"/>
  <c r="AB31" i="65"/>
  <c r="AC31" i="65"/>
  <c r="AD31" i="65"/>
  <c r="AE31" i="65"/>
  <c r="AF31" i="65"/>
  <c r="AG31" i="65"/>
  <c r="AH31" i="65"/>
  <c r="AI31" i="65"/>
  <c r="AJ31" i="65"/>
  <c r="AK31" i="65"/>
  <c r="AL31" i="65"/>
  <c r="AM31" i="65"/>
  <c r="AN31" i="65"/>
  <c r="AO31" i="65"/>
  <c r="AP31" i="65"/>
  <c r="AQ31" i="65"/>
  <c r="AR31" i="65"/>
  <c r="AS31" i="65"/>
  <c r="AT31" i="65"/>
  <c r="AU31" i="65"/>
  <c r="AV31" i="65"/>
  <c r="AW31" i="65"/>
  <c r="AX31" i="65"/>
  <c r="AY31" i="65"/>
  <c r="AZ31" i="65"/>
  <c r="BB31" i="65"/>
  <c r="BC31" i="65"/>
  <c r="BD31" i="65"/>
  <c r="BE31" i="65"/>
  <c r="BG31" i="65"/>
  <c r="BH31" i="65"/>
  <c r="BI31" i="65"/>
  <c r="BK31" i="65"/>
  <c r="BL31" i="65"/>
  <c r="BM31" i="65"/>
  <c r="BN31" i="65"/>
  <c r="BO31" i="65"/>
  <c r="BP31" i="65"/>
  <c r="BQ31" i="65"/>
  <c r="BR31" i="65"/>
  <c r="BS31" i="65"/>
  <c r="BT31" i="65"/>
  <c r="BU31" i="65"/>
  <c r="BV31" i="65"/>
  <c r="BW31" i="65"/>
  <c r="BX31" i="65"/>
  <c r="BY31" i="65"/>
  <c r="BZ31" i="65"/>
  <c r="CA31" i="65"/>
  <c r="CB31" i="65"/>
  <c r="CC31" i="65"/>
  <c r="CD31" i="65"/>
  <c r="CE31" i="65"/>
  <c r="CF31" i="65"/>
  <c r="CG31" i="65"/>
  <c r="CH31" i="65"/>
  <c r="CI31" i="65"/>
  <c r="F32" i="65"/>
  <c r="G32" i="65"/>
  <c r="H32" i="65"/>
  <c r="I32" i="65"/>
  <c r="J32" i="65"/>
  <c r="K32" i="65"/>
  <c r="L32" i="65"/>
  <c r="M32" i="65"/>
  <c r="N32" i="65"/>
  <c r="O32" i="65"/>
  <c r="P32" i="65"/>
  <c r="Q32" i="65"/>
  <c r="R32" i="65"/>
  <c r="S32" i="65"/>
  <c r="T32" i="65"/>
  <c r="U32" i="65"/>
  <c r="V32" i="65"/>
  <c r="W32" i="65"/>
  <c r="X32" i="65"/>
  <c r="Y32" i="65"/>
  <c r="Z32" i="65"/>
  <c r="AA32" i="65"/>
  <c r="AB32" i="65"/>
  <c r="AC32" i="65"/>
  <c r="AD32" i="65"/>
  <c r="AE32" i="65"/>
  <c r="AF32" i="65"/>
  <c r="AG32" i="65"/>
  <c r="AH32" i="65"/>
  <c r="AI32" i="65"/>
  <c r="AJ32" i="65"/>
  <c r="AK32" i="65"/>
  <c r="AL32" i="65"/>
  <c r="AM32" i="65"/>
  <c r="AN32" i="65"/>
  <c r="AO32" i="65"/>
  <c r="AP32" i="65"/>
  <c r="AQ32" i="65"/>
  <c r="AR32" i="65"/>
  <c r="AS32" i="65"/>
  <c r="AT32" i="65"/>
  <c r="AU32" i="65"/>
  <c r="AV32" i="65"/>
  <c r="AW32" i="65"/>
  <c r="AX32" i="65"/>
  <c r="AY32" i="65"/>
  <c r="AZ32" i="65"/>
  <c r="BB32" i="65"/>
  <c r="BC32" i="65"/>
  <c r="BD32" i="65"/>
  <c r="BE32" i="65"/>
  <c r="BG32" i="65"/>
  <c r="BH32" i="65"/>
  <c r="BI32" i="65"/>
  <c r="BK32" i="65"/>
  <c r="BL32" i="65"/>
  <c r="BM32" i="65"/>
  <c r="BN32" i="65"/>
  <c r="BO32" i="65"/>
  <c r="BP32" i="65"/>
  <c r="BQ32" i="65"/>
  <c r="BR32" i="65"/>
  <c r="BS32" i="65"/>
  <c r="BT32" i="65"/>
  <c r="BU32" i="65"/>
  <c r="BV32" i="65"/>
  <c r="BW32" i="65"/>
  <c r="BX32" i="65"/>
  <c r="BY32" i="65"/>
  <c r="BZ32" i="65"/>
  <c r="CA32" i="65"/>
  <c r="CB32" i="65"/>
  <c r="CC32" i="65"/>
  <c r="CD32" i="65"/>
  <c r="CE32" i="65"/>
  <c r="CF32" i="65"/>
  <c r="CG32" i="65"/>
  <c r="CH32" i="65"/>
  <c r="CI32" i="65"/>
  <c r="F33" i="65"/>
  <c r="G33" i="65"/>
  <c r="H33" i="65"/>
  <c r="I33" i="65"/>
  <c r="J33" i="65"/>
  <c r="K33" i="65"/>
  <c r="L33" i="65"/>
  <c r="M33" i="65"/>
  <c r="N33" i="65"/>
  <c r="O33" i="65"/>
  <c r="P33" i="65"/>
  <c r="Q33" i="65"/>
  <c r="R33" i="65"/>
  <c r="S33" i="65"/>
  <c r="T33" i="65"/>
  <c r="U33" i="65"/>
  <c r="V33" i="65"/>
  <c r="W33" i="65"/>
  <c r="X33" i="65"/>
  <c r="Y33" i="65"/>
  <c r="Z33" i="65"/>
  <c r="AA33" i="65"/>
  <c r="AB33" i="65"/>
  <c r="AC33" i="65"/>
  <c r="AD33" i="65"/>
  <c r="AE33" i="65"/>
  <c r="AF33" i="65"/>
  <c r="AG33" i="65"/>
  <c r="AH33" i="65"/>
  <c r="AI33" i="65"/>
  <c r="AJ33" i="65"/>
  <c r="AK33" i="65"/>
  <c r="AL33" i="65"/>
  <c r="AM33" i="65"/>
  <c r="AN33" i="65"/>
  <c r="AO33" i="65"/>
  <c r="AP33" i="65"/>
  <c r="AQ33" i="65"/>
  <c r="AR33" i="65"/>
  <c r="AS33" i="65"/>
  <c r="AT33" i="65"/>
  <c r="AU33" i="65"/>
  <c r="AV33" i="65"/>
  <c r="AW33" i="65"/>
  <c r="AX33" i="65"/>
  <c r="AY33" i="65"/>
  <c r="AZ33" i="65"/>
  <c r="BB33" i="65"/>
  <c r="BC33" i="65"/>
  <c r="BD33" i="65"/>
  <c r="BE33" i="65"/>
  <c r="BG33" i="65"/>
  <c r="BH33" i="65"/>
  <c r="BI33" i="65"/>
  <c r="BK33" i="65"/>
  <c r="BL33" i="65"/>
  <c r="BM33" i="65"/>
  <c r="BN33" i="65"/>
  <c r="BO33" i="65"/>
  <c r="BP33" i="65"/>
  <c r="BQ33" i="65"/>
  <c r="BR33" i="65"/>
  <c r="BS33" i="65"/>
  <c r="BT33" i="65"/>
  <c r="BU33" i="65"/>
  <c r="BV33" i="65"/>
  <c r="BW33" i="65"/>
  <c r="BX33" i="65"/>
  <c r="BY33" i="65"/>
  <c r="BZ33" i="65"/>
  <c r="CA33" i="65"/>
  <c r="CB33" i="65"/>
  <c r="CC33" i="65"/>
  <c r="CD33" i="65"/>
  <c r="CE33" i="65"/>
  <c r="CF33" i="65"/>
  <c r="CG33" i="65"/>
  <c r="CH33" i="65"/>
  <c r="CI33" i="65"/>
  <c r="F34" i="65"/>
  <c r="G34" i="65"/>
  <c r="H34" i="65"/>
  <c r="I34" i="65"/>
  <c r="J34" i="65"/>
  <c r="K34" i="65"/>
  <c r="L34" i="65"/>
  <c r="M34" i="65"/>
  <c r="N34" i="65"/>
  <c r="O34" i="65"/>
  <c r="P34" i="65"/>
  <c r="Q34" i="65"/>
  <c r="R34" i="65"/>
  <c r="S34" i="65"/>
  <c r="T34" i="65"/>
  <c r="U34" i="65"/>
  <c r="V34" i="65"/>
  <c r="W34" i="65"/>
  <c r="X34" i="65"/>
  <c r="Y34" i="65"/>
  <c r="Z34" i="65"/>
  <c r="AA34" i="65"/>
  <c r="AB34" i="65"/>
  <c r="AC34" i="65"/>
  <c r="AD34" i="65"/>
  <c r="AE34" i="65"/>
  <c r="AF34" i="65"/>
  <c r="AG34" i="65"/>
  <c r="AH34" i="65"/>
  <c r="AI34" i="65"/>
  <c r="AJ34" i="65"/>
  <c r="AK34" i="65"/>
  <c r="AL34" i="65"/>
  <c r="AM34" i="65"/>
  <c r="AN34" i="65"/>
  <c r="AO34" i="65"/>
  <c r="AP34" i="65"/>
  <c r="AQ34" i="65"/>
  <c r="AR34" i="65"/>
  <c r="AS34" i="65"/>
  <c r="AT34" i="65"/>
  <c r="AU34" i="65"/>
  <c r="AV34" i="65"/>
  <c r="AW34" i="65"/>
  <c r="AX34" i="65"/>
  <c r="AY34" i="65"/>
  <c r="AZ34" i="65"/>
  <c r="BB34" i="65"/>
  <c r="BC34" i="65"/>
  <c r="BD34" i="65"/>
  <c r="BE34" i="65"/>
  <c r="BG34" i="65"/>
  <c r="BH34" i="65"/>
  <c r="BI34" i="65"/>
  <c r="BK34" i="65"/>
  <c r="BL34" i="65"/>
  <c r="BM34" i="65"/>
  <c r="BN34" i="65"/>
  <c r="BO34" i="65"/>
  <c r="BP34" i="65"/>
  <c r="BQ34" i="65"/>
  <c r="BR34" i="65"/>
  <c r="BS34" i="65"/>
  <c r="BT34" i="65"/>
  <c r="BU34" i="65"/>
  <c r="BV34" i="65"/>
  <c r="BW34" i="65"/>
  <c r="BX34" i="65"/>
  <c r="BY34" i="65"/>
  <c r="BZ34" i="65"/>
  <c r="CA34" i="65"/>
  <c r="CB34" i="65"/>
  <c r="CC34" i="65"/>
  <c r="CD34" i="65"/>
  <c r="CE34" i="65"/>
  <c r="CF34" i="65"/>
  <c r="CG34" i="65"/>
  <c r="CH34" i="65"/>
  <c r="CI34" i="65"/>
  <c r="F35" i="65"/>
  <c r="G35" i="65"/>
  <c r="H35" i="65"/>
  <c r="I35" i="65"/>
  <c r="J35" i="65"/>
  <c r="K35" i="65"/>
  <c r="L35" i="65"/>
  <c r="M35" i="65"/>
  <c r="N35" i="65"/>
  <c r="O35" i="65"/>
  <c r="P35" i="65"/>
  <c r="Q35" i="65"/>
  <c r="R35" i="65"/>
  <c r="S35" i="65"/>
  <c r="T35" i="65"/>
  <c r="U35" i="65"/>
  <c r="V35" i="65"/>
  <c r="W35" i="65"/>
  <c r="X35" i="65"/>
  <c r="Y35" i="65"/>
  <c r="Z35" i="65"/>
  <c r="AA35" i="65"/>
  <c r="AB35" i="65"/>
  <c r="AC35" i="65"/>
  <c r="AD35" i="65"/>
  <c r="AE35" i="65"/>
  <c r="AF35" i="65"/>
  <c r="AG35" i="65"/>
  <c r="AH35" i="65"/>
  <c r="AI35" i="65"/>
  <c r="AJ35" i="65"/>
  <c r="AK35" i="65"/>
  <c r="AL35" i="65"/>
  <c r="AM35" i="65"/>
  <c r="AN35" i="65"/>
  <c r="AO35" i="65"/>
  <c r="AP35" i="65"/>
  <c r="AQ35" i="65"/>
  <c r="AR35" i="65"/>
  <c r="AS35" i="65"/>
  <c r="AT35" i="65"/>
  <c r="AU35" i="65"/>
  <c r="AV35" i="65"/>
  <c r="AW35" i="65"/>
  <c r="AX35" i="65"/>
  <c r="AY35" i="65"/>
  <c r="AZ35" i="65"/>
  <c r="BB35" i="65"/>
  <c r="BC35" i="65"/>
  <c r="BD35" i="65"/>
  <c r="BE35" i="65"/>
  <c r="BG35" i="65"/>
  <c r="BH35" i="65"/>
  <c r="BI35" i="65"/>
  <c r="BK35" i="65"/>
  <c r="BL35" i="65"/>
  <c r="BM35" i="65"/>
  <c r="BN35" i="65"/>
  <c r="BO35" i="65"/>
  <c r="BP35" i="65"/>
  <c r="BQ35" i="65"/>
  <c r="BR35" i="65"/>
  <c r="BS35" i="65"/>
  <c r="BT35" i="65"/>
  <c r="BU35" i="65"/>
  <c r="BV35" i="65"/>
  <c r="BW35" i="65"/>
  <c r="BX35" i="65"/>
  <c r="BY35" i="65"/>
  <c r="BZ35" i="65"/>
  <c r="CA35" i="65"/>
  <c r="CB35" i="65"/>
  <c r="CC35" i="65"/>
  <c r="CD35" i="65"/>
  <c r="CE35" i="65"/>
  <c r="CF35" i="65"/>
  <c r="CG35" i="65"/>
  <c r="CH35" i="65"/>
  <c r="CI35" i="65"/>
  <c r="F38" i="65"/>
  <c r="G38" i="65"/>
  <c r="H38" i="65"/>
  <c r="I38" i="65"/>
  <c r="J38" i="65"/>
  <c r="K38" i="65"/>
  <c r="L38" i="65"/>
  <c r="M38" i="65"/>
  <c r="N38" i="65"/>
  <c r="O38" i="65"/>
  <c r="P38" i="65"/>
  <c r="Q38" i="65"/>
  <c r="R38" i="65"/>
  <c r="S38" i="65"/>
  <c r="T38" i="65"/>
  <c r="U38" i="65"/>
  <c r="V38" i="65"/>
  <c r="W38" i="65"/>
  <c r="X38" i="65"/>
  <c r="Y38" i="65"/>
  <c r="Z38" i="65"/>
  <c r="AA38" i="65"/>
  <c r="AB38" i="65"/>
  <c r="AC38" i="65"/>
  <c r="AD38" i="65"/>
  <c r="AE38" i="65"/>
  <c r="AF38" i="65"/>
  <c r="AG38" i="65"/>
  <c r="AH38" i="65"/>
  <c r="AI38" i="65"/>
  <c r="AJ38" i="65"/>
  <c r="AK38" i="65"/>
  <c r="AL38" i="65"/>
  <c r="AM38" i="65"/>
  <c r="AN38" i="65"/>
  <c r="AO38" i="65"/>
  <c r="AP38" i="65"/>
  <c r="AQ38" i="65"/>
  <c r="AR38" i="65"/>
  <c r="AS38" i="65"/>
  <c r="AT38" i="65"/>
  <c r="AU38" i="65"/>
  <c r="AV38" i="65"/>
  <c r="AW38" i="65"/>
  <c r="AX38" i="65"/>
  <c r="AY38" i="65"/>
  <c r="AZ38" i="65"/>
  <c r="BB38" i="65"/>
  <c r="BC38" i="65"/>
  <c r="BD38" i="65"/>
  <c r="BE38" i="65"/>
  <c r="BG38" i="65"/>
  <c r="BH38" i="65"/>
  <c r="BI38" i="65"/>
  <c r="BK38" i="65"/>
  <c r="BL38" i="65"/>
  <c r="BM38" i="65"/>
  <c r="BN38" i="65"/>
  <c r="BO38" i="65"/>
  <c r="BP38" i="65"/>
  <c r="BQ38" i="65"/>
  <c r="BR38" i="65"/>
  <c r="BS38" i="65"/>
  <c r="BT38" i="65"/>
  <c r="BU38" i="65"/>
  <c r="BV38" i="65"/>
  <c r="BW38" i="65"/>
  <c r="BX38" i="65"/>
  <c r="BY38" i="65"/>
  <c r="BZ38" i="65"/>
  <c r="CA38" i="65"/>
  <c r="CB38" i="65"/>
  <c r="CC38" i="65"/>
  <c r="CD38" i="65"/>
  <c r="CE38" i="65"/>
  <c r="CF38" i="65"/>
  <c r="CG38" i="65"/>
  <c r="CH38" i="65"/>
  <c r="CI38" i="65"/>
  <c r="F39" i="65"/>
  <c r="G39" i="65"/>
  <c r="H39" i="65"/>
  <c r="I39" i="65"/>
  <c r="J39" i="65"/>
  <c r="K39" i="65"/>
  <c r="L39" i="65"/>
  <c r="M39" i="65"/>
  <c r="N39" i="65"/>
  <c r="O39" i="65"/>
  <c r="P39" i="65"/>
  <c r="Q39" i="65"/>
  <c r="R39" i="65"/>
  <c r="S39" i="65"/>
  <c r="T39" i="65"/>
  <c r="U39" i="65"/>
  <c r="V39" i="65"/>
  <c r="W39" i="65"/>
  <c r="X39" i="65"/>
  <c r="Y39" i="65"/>
  <c r="Z39" i="65"/>
  <c r="AA39" i="65"/>
  <c r="AB39" i="65"/>
  <c r="AC39" i="65"/>
  <c r="AD39" i="65"/>
  <c r="AE39" i="65"/>
  <c r="AF39" i="65"/>
  <c r="AG39" i="65"/>
  <c r="AH39" i="65"/>
  <c r="AI39" i="65"/>
  <c r="AJ39" i="65"/>
  <c r="AK39" i="65"/>
  <c r="AL39" i="65"/>
  <c r="AM39" i="65"/>
  <c r="AN39" i="65"/>
  <c r="AO39" i="65"/>
  <c r="AP39" i="65"/>
  <c r="AQ39" i="65"/>
  <c r="AR39" i="65"/>
  <c r="AS39" i="65"/>
  <c r="AT39" i="65"/>
  <c r="AU39" i="65"/>
  <c r="AV39" i="65"/>
  <c r="AW39" i="65"/>
  <c r="AX39" i="65"/>
  <c r="AY39" i="65"/>
  <c r="AZ39" i="65"/>
  <c r="BB39" i="65"/>
  <c r="BC39" i="65"/>
  <c r="BD39" i="65"/>
  <c r="BE39" i="65"/>
  <c r="BG39" i="65"/>
  <c r="BH39" i="65"/>
  <c r="BI39" i="65"/>
  <c r="BK39" i="65"/>
  <c r="BL39" i="65"/>
  <c r="BM39" i="65"/>
  <c r="BN39" i="65"/>
  <c r="BO39" i="65"/>
  <c r="BP39" i="65"/>
  <c r="BQ39" i="65"/>
  <c r="BR39" i="65"/>
  <c r="BS39" i="65"/>
  <c r="BT39" i="65"/>
  <c r="BU39" i="65"/>
  <c r="BV39" i="65"/>
  <c r="BW39" i="65"/>
  <c r="BX39" i="65"/>
  <c r="BY39" i="65"/>
  <c r="BZ39" i="65"/>
  <c r="CA39" i="65"/>
  <c r="CB39" i="65"/>
  <c r="CC39" i="65"/>
  <c r="CD39" i="65"/>
  <c r="CE39" i="65"/>
  <c r="CF39" i="65"/>
  <c r="CG39" i="65"/>
  <c r="CH39" i="65"/>
  <c r="CI39" i="65"/>
  <c r="F40" i="65"/>
  <c r="G40" i="65"/>
  <c r="H40" i="65"/>
  <c r="I40" i="65"/>
  <c r="J40" i="65"/>
  <c r="K40" i="65"/>
  <c r="L40" i="65"/>
  <c r="M40" i="65"/>
  <c r="N40" i="65"/>
  <c r="O40" i="65"/>
  <c r="P40" i="65"/>
  <c r="Q40" i="65"/>
  <c r="R40" i="65"/>
  <c r="S40" i="65"/>
  <c r="T40" i="65"/>
  <c r="U40" i="65"/>
  <c r="V40" i="65"/>
  <c r="W40" i="65"/>
  <c r="X40" i="65"/>
  <c r="Y40" i="65"/>
  <c r="Z40" i="65"/>
  <c r="AA40" i="65"/>
  <c r="AB40" i="65"/>
  <c r="AC40" i="65"/>
  <c r="AD40" i="65"/>
  <c r="AE40" i="65"/>
  <c r="AF40" i="65"/>
  <c r="AG40" i="65"/>
  <c r="AH40" i="65"/>
  <c r="AI40" i="65"/>
  <c r="AJ40" i="65"/>
  <c r="AK40" i="65"/>
  <c r="AL40" i="65"/>
  <c r="AM40" i="65"/>
  <c r="AN40" i="65"/>
  <c r="AO40" i="65"/>
  <c r="AP40" i="65"/>
  <c r="AQ40" i="65"/>
  <c r="AR40" i="65"/>
  <c r="AS40" i="65"/>
  <c r="AT40" i="65"/>
  <c r="AU40" i="65"/>
  <c r="AV40" i="65"/>
  <c r="AW40" i="65"/>
  <c r="AX40" i="65"/>
  <c r="AY40" i="65"/>
  <c r="AZ40" i="65"/>
  <c r="BB40" i="65"/>
  <c r="BC40" i="65"/>
  <c r="BD40" i="65"/>
  <c r="BE40" i="65"/>
  <c r="BG40" i="65"/>
  <c r="BH40" i="65"/>
  <c r="BI40" i="65"/>
  <c r="BK40" i="65"/>
  <c r="BL40" i="65"/>
  <c r="BM40" i="65"/>
  <c r="BN40" i="65"/>
  <c r="BO40" i="65"/>
  <c r="BP40" i="65"/>
  <c r="BQ40" i="65"/>
  <c r="BR40" i="65"/>
  <c r="BS40" i="65"/>
  <c r="BT40" i="65"/>
  <c r="BU40" i="65"/>
  <c r="BV40" i="65"/>
  <c r="BW40" i="65"/>
  <c r="BX40" i="65"/>
  <c r="BY40" i="65"/>
  <c r="BZ40" i="65"/>
  <c r="CA40" i="65"/>
  <c r="CB40" i="65"/>
  <c r="CC40" i="65"/>
  <c r="CD40" i="65"/>
  <c r="CE40" i="65"/>
  <c r="CF40" i="65"/>
  <c r="CG40" i="65"/>
  <c r="CH40" i="65"/>
  <c r="CI40" i="65"/>
  <c r="F41" i="65"/>
  <c r="G41" i="65"/>
  <c r="H41" i="65"/>
  <c r="I41" i="65"/>
  <c r="J41" i="65"/>
  <c r="K41" i="65"/>
  <c r="L41" i="65"/>
  <c r="M41" i="65"/>
  <c r="N41" i="65"/>
  <c r="O41" i="65"/>
  <c r="P41" i="65"/>
  <c r="Q41" i="65"/>
  <c r="R41" i="65"/>
  <c r="S41" i="65"/>
  <c r="T41" i="65"/>
  <c r="U41" i="65"/>
  <c r="V41" i="65"/>
  <c r="W41" i="65"/>
  <c r="X41" i="65"/>
  <c r="Y41" i="65"/>
  <c r="Z41" i="65"/>
  <c r="AA41" i="65"/>
  <c r="AB41" i="65"/>
  <c r="AC41" i="65"/>
  <c r="AD41" i="65"/>
  <c r="AE41" i="65"/>
  <c r="AF41" i="65"/>
  <c r="AG41" i="65"/>
  <c r="AH41" i="65"/>
  <c r="AI41" i="65"/>
  <c r="AJ41" i="65"/>
  <c r="AK41" i="65"/>
  <c r="AL41" i="65"/>
  <c r="AM41" i="65"/>
  <c r="AN41" i="65"/>
  <c r="AO41" i="65"/>
  <c r="AP41" i="65"/>
  <c r="AQ41" i="65"/>
  <c r="AR41" i="65"/>
  <c r="AS41" i="65"/>
  <c r="AT41" i="65"/>
  <c r="AU41" i="65"/>
  <c r="AV41" i="65"/>
  <c r="AW41" i="65"/>
  <c r="AX41" i="65"/>
  <c r="AY41" i="65"/>
  <c r="AZ41" i="65"/>
  <c r="BB41" i="65"/>
  <c r="BC41" i="65"/>
  <c r="BD41" i="65"/>
  <c r="BE41" i="65"/>
  <c r="BG41" i="65"/>
  <c r="BH41" i="65"/>
  <c r="BI41" i="65"/>
  <c r="BK41" i="65"/>
  <c r="BL41" i="65"/>
  <c r="BM41" i="65"/>
  <c r="BN41" i="65"/>
  <c r="BO41" i="65"/>
  <c r="BP41" i="65"/>
  <c r="BQ41" i="65"/>
  <c r="BR41" i="65"/>
  <c r="BS41" i="65"/>
  <c r="BT41" i="65"/>
  <c r="BU41" i="65"/>
  <c r="BV41" i="65"/>
  <c r="BW41" i="65"/>
  <c r="BX41" i="65"/>
  <c r="BY41" i="65"/>
  <c r="BZ41" i="65"/>
  <c r="CA41" i="65"/>
  <c r="CB41" i="65"/>
  <c r="CC41" i="65"/>
  <c r="CD41" i="65"/>
  <c r="CE41" i="65"/>
  <c r="CF41" i="65"/>
  <c r="CG41" i="65"/>
  <c r="CH41" i="65"/>
  <c r="CI41" i="65"/>
  <c r="F42" i="65"/>
  <c r="G42" i="65"/>
  <c r="H42" i="65"/>
  <c r="I42" i="65"/>
  <c r="J42" i="65"/>
  <c r="K42" i="65"/>
  <c r="L42" i="65"/>
  <c r="M42" i="65"/>
  <c r="N42" i="65"/>
  <c r="O42" i="65"/>
  <c r="P42" i="65"/>
  <c r="Q42" i="65"/>
  <c r="R42" i="65"/>
  <c r="S42" i="65"/>
  <c r="T42" i="65"/>
  <c r="U42" i="65"/>
  <c r="V42" i="65"/>
  <c r="W42" i="65"/>
  <c r="X42" i="65"/>
  <c r="Y42" i="65"/>
  <c r="Z42" i="65"/>
  <c r="AA42" i="65"/>
  <c r="AB42" i="65"/>
  <c r="AC42" i="65"/>
  <c r="AD42" i="65"/>
  <c r="AE42" i="65"/>
  <c r="AF42" i="65"/>
  <c r="AG42" i="65"/>
  <c r="AH42" i="65"/>
  <c r="AI42" i="65"/>
  <c r="AJ42" i="65"/>
  <c r="AK42" i="65"/>
  <c r="AL42" i="65"/>
  <c r="AM42" i="65"/>
  <c r="AN42" i="65"/>
  <c r="AO42" i="65"/>
  <c r="AP42" i="65"/>
  <c r="AQ42" i="65"/>
  <c r="AR42" i="65"/>
  <c r="AS42" i="65"/>
  <c r="AT42" i="65"/>
  <c r="AU42" i="65"/>
  <c r="AV42" i="65"/>
  <c r="AW42" i="65"/>
  <c r="AX42" i="65"/>
  <c r="AY42" i="65"/>
  <c r="AZ42" i="65"/>
  <c r="BB42" i="65"/>
  <c r="BC42" i="65"/>
  <c r="BD42" i="65"/>
  <c r="BE42" i="65"/>
  <c r="BG42" i="65"/>
  <c r="BH42" i="65"/>
  <c r="BI42" i="65"/>
  <c r="BK42" i="65"/>
  <c r="BL42" i="65"/>
  <c r="BM42" i="65"/>
  <c r="BN42" i="65"/>
  <c r="BO42" i="65"/>
  <c r="BP42" i="65"/>
  <c r="BQ42" i="65"/>
  <c r="BR42" i="65"/>
  <c r="BS42" i="65"/>
  <c r="BT42" i="65"/>
  <c r="BU42" i="65"/>
  <c r="BV42" i="65"/>
  <c r="BW42" i="65"/>
  <c r="BX42" i="65"/>
  <c r="BY42" i="65"/>
  <c r="BZ42" i="65"/>
  <c r="CA42" i="65"/>
  <c r="CB42" i="65"/>
  <c r="CC42" i="65"/>
  <c r="CD42" i="65"/>
  <c r="CE42" i="65"/>
  <c r="CF42" i="65"/>
  <c r="CG42" i="65"/>
  <c r="CH42" i="65"/>
  <c r="CI42" i="65"/>
  <c r="F43" i="65"/>
  <c r="G43" i="65"/>
  <c r="H43" i="65"/>
  <c r="I43" i="65"/>
  <c r="J43" i="65"/>
  <c r="K43" i="65"/>
  <c r="L43" i="65"/>
  <c r="M43" i="65"/>
  <c r="N43" i="65"/>
  <c r="O43" i="65"/>
  <c r="P43" i="65"/>
  <c r="Q43" i="65"/>
  <c r="R43" i="65"/>
  <c r="S43" i="65"/>
  <c r="T43" i="65"/>
  <c r="U43" i="65"/>
  <c r="V43" i="65"/>
  <c r="W43" i="65"/>
  <c r="X43" i="65"/>
  <c r="Y43" i="65"/>
  <c r="Z43" i="65"/>
  <c r="AA43" i="65"/>
  <c r="AB43" i="65"/>
  <c r="AC43" i="65"/>
  <c r="AD43" i="65"/>
  <c r="AE43" i="65"/>
  <c r="AF43" i="65"/>
  <c r="AG43" i="65"/>
  <c r="AH43" i="65"/>
  <c r="AI43" i="65"/>
  <c r="AJ43" i="65"/>
  <c r="AK43" i="65"/>
  <c r="AL43" i="65"/>
  <c r="AM43" i="65"/>
  <c r="AN43" i="65"/>
  <c r="AO43" i="65"/>
  <c r="AP43" i="65"/>
  <c r="AQ43" i="65"/>
  <c r="AR43" i="65"/>
  <c r="AS43" i="65"/>
  <c r="AT43" i="65"/>
  <c r="AU43" i="65"/>
  <c r="AV43" i="65"/>
  <c r="AW43" i="65"/>
  <c r="AX43" i="65"/>
  <c r="AY43" i="65"/>
  <c r="AZ43" i="65"/>
  <c r="BB43" i="65"/>
  <c r="BC43" i="65"/>
  <c r="BD43" i="65"/>
  <c r="BE43" i="65"/>
  <c r="BG43" i="65"/>
  <c r="BH43" i="65"/>
  <c r="BI43" i="65"/>
  <c r="BK43" i="65"/>
  <c r="BL43" i="65"/>
  <c r="BM43" i="65"/>
  <c r="BN43" i="65"/>
  <c r="BO43" i="65"/>
  <c r="BP43" i="65"/>
  <c r="BQ43" i="65"/>
  <c r="BR43" i="65"/>
  <c r="BS43" i="65"/>
  <c r="BT43" i="65"/>
  <c r="BU43" i="65"/>
  <c r="BV43" i="65"/>
  <c r="BW43" i="65"/>
  <c r="BX43" i="65"/>
  <c r="BY43" i="65"/>
  <c r="BZ43" i="65"/>
  <c r="CA43" i="65"/>
  <c r="CB43" i="65"/>
  <c r="CC43" i="65"/>
  <c r="CD43" i="65"/>
  <c r="CE43" i="65"/>
  <c r="CF43" i="65"/>
  <c r="CG43" i="65"/>
  <c r="CH43" i="65"/>
  <c r="CI43" i="65"/>
  <c r="F44" i="65"/>
  <c r="G44" i="65"/>
  <c r="H44" i="65"/>
  <c r="I44" i="65"/>
  <c r="J44" i="65"/>
  <c r="K44" i="65"/>
  <c r="L44" i="65"/>
  <c r="M44" i="65"/>
  <c r="N44" i="65"/>
  <c r="O44" i="65"/>
  <c r="P44" i="65"/>
  <c r="Q44" i="65"/>
  <c r="R44" i="65"/>
  <c r="S44" i="65"/>
  <c r="T44" i="65"/>
  <c r="U44" i="65"/>
  <c r="V44" i="65"/>
  <c r="W44" i="65"/>
  <c r="X44" i="65"/>
  <c r="Y44" i="65"/>
  <c r="Z44" i="65"/>
  <c r="AA44" i="65"/>
  <c r="AB44" i="65"/>
  <c r="AC44" i="65"/>
  <c r="AD44" i="65"/>
  <c r="AE44" i="65"/>
  <c r="AF44" i="65"/>
  <c r="AG44" i="65"/>
  <c r="AH44" i="65"/>
  <c r="AI44" i="65"/>
  <c r="AJ44" i="65"/>
  <c r="AK44" i="65"/>
  <c r="AL44" i="65"/>
  <c r="AM44" i="65"/>
  <c r="AN44" i="65"/>
  <c r="AO44" i="65"/>
  <c r="AP44" i="65"/>
  <c r="AQ44" i="65"/>
  <c r="AR44" i="65"/>
  <c r="AS44" i="65"/>
  <c r="AT44" i="65"/>
  <c r="AU44" i="65"/>
  <c r="AV44" i="65"/>
  <c r="AW44" i="65"/>
  <c r="AX44" i="65"/>
  <c r="AY44" i="65"/>
  <c r="AZ44" i="65"/>
  <c r="BA44" i="65"/>
  <c r="BB44" i="65"/>
  <c r="BC44" i="65"/>
  <c r="BD44" i="65"/>
  <c r="BE44" i="65"/>
  <c r="BF44" i="65"/>
  <c r="BG44" i="65"/>
  <c r="BH44" i="65"/>
  <c r="BI44" i="65"/>
  <c r="BJ44" i="65"/>
  <c r="BK44" i="65"/>
  <c r="BL44" i="65"/>
  <c r="BM44" i="65"/>
  <c r="BN44" i="65"/>
  <c r="BO44" i="65"/>
  <c r="BP44" i="65"/>
  <c r="BQ44" i="65"/>
  <c r="BR44" i="65"/>
  <c r="BS44" i="65"/>
  <c r="BT44" i="65"/>
  <c r="BU44" i="65"/>
  <c r="BV44" i="65"/>
  <c r="BW44" i="65"/>
  <c r="BX44" i="65"/>
  <c r="BY44" i="65"/>
  <c r="BZ44" i="65"/>
  <c r="CA44" i="65"/>
  <c r="CB44" i="65"/>
  <c r="CC44" i="65"/>
  <c r="CD44" i="65"/>
  <c r="CE44" i="65"/>
  <c r="CF44" i="65"/>
  <c r="CG44" i="65"/>
  <c r="CH44" i="65"/>
  <c r="CI44" i="65"/>
  <c r="F45" i="65"/>
  <c r="G45" i="65"/>
  <c r="H45" i="65"/>
  <c r="I45" i="65"/>
  <c r="J45" i="65"/>
  <c r="K45" i="65"/>
  <c r="L45" i="65"/>
  <c r="M45" i="65"/>
  <c r="N45" i="65"/>
  <c r="O45" i="65"/>
  <c r="P45" i="65"/>
  <c r="Q45" i="65"/>
  <c r="R45" i="65"/>
  <c r="S45" i="65"/>
  <c r="T45" i="65"/>
  <c r="U45" i="65"/>
  <c r="V45" i="65"/>
  <c r="W45" i="65"/>
  <c r="X45" i="65"/>
  <c r="Y45" i="65"/>
  <c r="Z45" i="65"/>
  <c r="AA45" i="65"/>
  <c r="AB45" i="65"/>
  <c r="AC45" i="65"/>
  <c r="AD45" i="65"/>
  <c r="AE45" i="65"/>
  <c r="AF45" i="65"/>
  <c r="AG45" i="65"/>
  <c r="AH45" i="65"/>
  <c r="AI45" i="65"/>
  <c r="AJ45" i="65"/>
  <c r="AK45" i="65"/>
  <c r="AL45" i="65"/>
  <c r="AM45" i="65"/>
  <c r="AN45" i="65"/>
  <c r="AO45" i="65"/>
  <c r="AP45" i="65"/>
  <c r="AQ45" i="65"/>
  <c r="AR45" i="65"/>
  <c r="AS45" i="65"/>
  <c r="AT45" i="65"/>
  <c r="AU45" i="65"/>
  <c r="AV45" i="65"/>
  <c r="AW45" i="65"/>
  <c r="AX45" i="65"/>
  <c r="AY45" i="65"/>
  <c r="AZ45" i="65"/>
  <c r="BA45" i="65"/>
  <c r="BB45" i="65"/>
  <c r="BC45" i="65"/>
  <c r="BD45" i="65"/>
  <c r="BE45" i="65"/>
  <c r="BF45" i="65"/>
  <c r="BG45" i="65"/>
  <c r="BH45" i="65"/>
  <c r="BI45" i="65"/>
  <c r="BJ45" i="65"/>
  <c r="BK45" i="65"/>
  <c r="BL45" i="65"/>
  <c r="BM45" i="65"/>
  <c r="BN45" i="65"/>
  <c r="BO45" i="65"/>
  <c r="BP45" i="65"/>
  <c r="BQ45" i="65"/>
  <c r="BR45" i="65"/>
  <c r="BS45" i="65"/>
  <c r="BT45" i="65"/>
  <c r="BU45" i="65"/>
  <c r="BV45" i="65"/>
  <c r="BW45" i="65"/>
  <c r="BX45" i="65"/>
  <c r="BY45" i="65"/>
  <c r="BZ45" i="65"/>
  <c r="CA45" i="65"/>
  <c r="CB45" i="65"/>
  <c r="CC45" i="65"/>
  <c r="CD45" i="65"/>
  <c r="CE45" i="65"/>
  <c r="CF45" i="65"/>
  <c r="CG45" i="65"/>
  <c r="CH45" i="65"/>
  <c r="CI45" i="65"/>
  <c r="F48" i="65"/>
  <c r="G48" i="65"/>
  <c r="H48" i="65"/>
  <c r="I48" i="65"/>
  <c r="J48" i="65"/>
  <c r="K48" i="65"/>
  <c r="L48" i="65"/>
  <c r="M48" i="65"/>
  <c r="N48" i="65"/>
  <c r="O48" i="65"/>
  <c r="P48" i="65"/>
  <c r="Q48" i="65"/>
  <c r="R48" i="65"/>
  <c r="S48" i="65"/>
  <c r="T48" i="65"/>
  <c r="U48" i="65"/>
  <c r="V48" i="65"/>
  <c r="W48" i="65"/>
  <c r="X48" i="65"/>
  <c r="Y48" i="65"/>
  <c r="Z48" i="65"/>
  <c r="AA48" i="65"/>
  <c r="AB48" i="65"/>
  <c r="AC48" i="65"/>
  <c r="AD48" i="65"/>
  <c r="AE48" i="65"/>
  <c r="AF48" i="65"/>
  <c r="AG48" i="65"/>
  <c r="AH48" i="65"/>
  <c r="AI48" i="65"/>
  <c r="AJ48" i="65"/>
  <c r="AK48" i="65"/>
  <c r="AL48" i="65"/>
  <c r="AM48" i="65"/>
  <c r="AN48" i="65"/>
  <c r="AO48" i="65"/>
  <c r="AP48" i="65"/>
  <c r="AQ48" i="65"/>
  <c r="AR48" i="65"/>
  <c r="AS48" i="65"/>
  <c r="AT48" i="65"/>
  <c r="AU48" i="65"/>
  <c r="AV48" i="65"/>
  <c r="AW48" i="65"/>
  <c r="AX48" i="65"/>
  <c r="AY48" i="65"/>
  <c r="AZ48" i="65"/>
  <c r="BB48" i="65"/>
  <c r="BC48" i="65"/>
  <c r="BD48" i="65"/>
  <c r="BE48" i="65"/>
  <c r="BG48" i="65"/>
  <c r="BH48" i="65"/>
  <c r="BI48" i="65"/>
  <c r="BK48" i="65"/>
  <c r="BL48" i="65"/>
  <c r="BM48" i="65"/>
  <c r="BN48" i="65"/>
  <c r="BO48" i="65"/>
  <c r="BP48" i="65"/>
  <c r="BQ48" i="65"/>
  <c r="BR48" i="65"/>
  <c r="BS48" i="65"/>
  <c r="BT48" i="65"/>
  <c r="BU48" i="65"/>
  <c r="BV48" i="65"/>
  <c r="BW48" i="65"/>
  <c r="BX48" i="65"/>
  <c r="BY48" i="65"/>
  <c r="BZ48" i="65"/>
  <c r="CA48" i="65"/>
  <c r="CB48" i="65"/>
  <c r="CC48" i="65"/>
  <c r="CD48" i="65"/>
  <c r="CE48" i="65"/>
  <c r="CF48" i="65"/>
  <c r="CG48" i="65"/>
  <c r="CH48" i="65"/>
  <c r="CI48" i="65"/>
  <c r="F49" i="65"/>
  <c r="G49" i="65"/>
  <c r="H49" i="65"/>
  <c r="I49" i="65"/>
  <c r="J49" i="65"/>
  <c r="K49" i="65"/>
  <c r="L49" i="65"/>
  <c r="M49" i="65"/>
  <c r="N49" i="65"/>
  <c r="O49" i="65"/>
  <c r="P49" i="65"/>
  <c r="Q49" i="65"/>
  <c r="R49" i="65"/>
  <c r="S49" i="65"/>
  <c r="T49" i="65"/>
  <c r="U49" i="65"/>
  <c r="V49" i="65"/>
  <c r="W49" i="65"/>
  <c r="X49" i="65"/>
  <c r="Y49" i="65"/>
  <c r="Z49" i="65"/>
  <c r="AA49" i="65"/>
  <c r="AB49" i="65"/>
  <c r="AC49" i="65"/>
  <c r="AD49" i="65"/>
  <c r="AE49" i="65"/>
  <c r="AF49" i="65"/>
  <c r="AG49" i="65"/>
  <c r="AH49" i="65"/>
  <c r="AI49" i="65"/>
  <c r="AJ49" i="65"/>
  <c r="AK49" i="65"/>
  <c r="AL49" i="65"/>
  <c r="AM49" i="65"/>
  <c r="AN49" i="65"/>
  <c r="AO49" i="65"/>
  <c r="AP49" i="65"/>
  <c r="AQ49" i="65"/>
  <c r="AR49" i="65"/>
  <c r="AS49" i="65"/>
  <c r="AT49" i="65"/>
  <c r="AU49" i="65"/>
  <c r="AV49" i="65"/>
  <c r="AW49" i="65"/>
  <c r="AX49" i="65"/>
  <c r="AY49" i="65"/>
  <c r="AZ49" i="65"/>
  <c r="BB49" i="65"/>
  <c r="BC49" i="65"/>
  <c r="BD49" i="65"/>
  <c r="BE49" i="65"/>
  <c r="BG49" i="65"/>
  <c r="BH49" i="65"/>
  <c r="BI49" i="65"/>
  <c r="BK49" i="65"/>
  <c r="BL49" i="65"/>
  <c r="BM49" i="65"/>
  <c r="BN49" i="65"/>
  <c r="BO49" i="65"/>
  <c r="BP49" i="65"/>
  <c r="BQ49" i="65"/>
  <c r="BR49" i="65"/>
  <c r="BS49" i="65"/>
  <c r="BT49" i="65"/>
  <c r="BU49" i="65"/>
  <c r="BV49" i="65"/>
  <c r="BW49" i="65"/>
  <c r="BX49" i="65"/>
  <c r="BY49" i="65"/>
  <c r="BZ49" i="65"/>
  <c r="CA49" i="65"/>
  <c r="CB49" i="65"/>
  <c r="CC49" i="65"/>
  <c r="CD49" i="65"/>
  <c r="CE49" i="65"/>
  <c r="CF49" i="65"/>
  <c r="CG49" i="65"/>
  <c r="CH49" i="65"/>
  <c r="CI49" i="65"/>
  <c r="F50" i="65"/>
  <c r="G50" i="65"/>
  <c r="H50" i="65"/>
  <c r="I50" i="65"/>
  <c r="J50" i="65"/>
  <c r="K50" i="65"/>
  <c r="L50" i="65"/>
  <c r="M50" i="65"/>
  <c r="N50" i="65"/>
  <c r="O50" i="65"/>
  <c r="P50" i="65"/>
  <c r="Q50" i="65"/>
  <c r="R50" i="65"/>
  <c r="S50" i="65"/>
  <c r="T50" i="65"/>
  <c r="U50" i="65"/>
  <c r="V50" i="65"/>
  <c r="W50" i="65"/>
  <c r="X50" i="65"/>
  <c r="Y50" i="65"/>
  <c r="Z50" i="65"/>
  <c r="AA50" i="65"/>
  <c r="AB50" i="65"/>
  <c r="AC50" i="65"/>
  <c r="AD50" i="65"/>
  <c r="AE50" i="65"/>
  <c r="AF50" i="65"/>
  <c r="AG50" i="65"/>
  <c r="AH50" i="65"/>
  <c r="AI50" i="65"/>
  <c r="AJ50" i="65"/>
  <c r="AK50" i="65"/>
  <c r="AL50" i="65"/>
  <c r="AM50" i="65"/>
  <c r="AN50" i="65"/>
  <c r="AO50" i="65"/>
  <c r="AP50" i="65"/>
  <c r="AQ50" i="65"/>
  <c r="AR50" i="65"/>
  <c r="AS50" i="65"/>
  <c r="AT50" i="65"/>
  <c r="AU50" i="65"/>
  <c r="AV50" i="65"/>
  <c r="AW50" i="65"/>
  <c r="AX50" i="65"/>
  <c r="AY50" i="65"/>
  <c r="AZ50" i="65"/>
  <c r="BA50" i="65"/>
  <c r="BB50" i="65"/>
  <c r="BC50" i="65"/>
  <c r="BD50" i="65"/>
  <c r="BE50" i="65"/>
  <c r="BF50" i="65"/>
  <c r="BG50" i="65"/>
  <c r="BH50" i="65"/>
  <c r="BI50" i="65"/>
  <c r="BJ50" i="65"/>
  <c r="BK50" i="65"/>
  <c r="BL50" i="65"/>
  <c r="BM50" i="65"/>
  <c r="BN50" i="65"/>
  <c r="BO50" i="65"/>
  <c r="BP50" i="65"/>
  <c r="BQ50" i="65"/>
  <c r="BR50" i="65"/>
  <c r="BS50" i="65"/>
  <c r="BT50" i="65"/>
  <c r="BU50" i="65"/>
  <c r="BV50" i="65"/>
  <c r="BW50" i="65"/>
  <c r="BX50" i="65"/>
  <c r="BY50" i="65"/>
  <c r="BZ50" i="65"/>
  <c r="CA50" i="65"/>
  <c r="CB50" i="65"/>
  <c r="CC50" i="65"/>
  <c r="CD50" i="65"/>
  <c r="CE50" i="65"/>
  <c r="CF50" i="65"/>
  <c r="CG50" i="65"/>
  <c r="CH50" i="65"/>
  <c r="CI50" i="65"/>
  <c r="F51" i="65"/>
  <c r="G51" i="65"/>
  <c r="H51" i="65"/>
  <c r="I51" i="65"/>
  <c r="J51" i="65"/>
  <c r="K51" i="65"/>
  <c r="L51" i="65"/>
  <c r="M51" i="65"/>
  <c r="N51" i="65"/>
  <c r="O51" i="65"/>
  <c r="P51" i="65"/>
  <c r="Q51" i="65"/>
  <c r="R51" i="65"/>
  <c r="S51" i="65"/>
  <c r="T51" i="65"/>
  <c r="U51" i="65"/>
  <c r="V51" i="65"/>
  <c r="W51" i="65"/>
  <c r="X51" i="65"/>
  <c r="Y51" i="65"/>
  <c r="Z51" i="65"/>
  <c r="AA51" i="65"/>
  <c r="AB51" i="65"/>
  <c r="AC51" i="65"/>
  <c r="AD51" i="65"/>
  <c r="AE51" i="65"/>
  <c r="AF51" i="65"/>
  <c r="AG51" i="65"/>
  <c r="AH51" i="65"/>
  <c r="AI51" i="65"/>
  <c r="AJ51" i="65"/>
  <c r="AK51" i="65"/>
  <c r="AL51" i="65"/>
  <c r="AM51" i="65"/>
  <c r="AN51" i="65"/>
  <c r="AO51" i="65"/>
  <c r="AP51" i="65"/>
  <c r="AQ51" i="65"/>
  <c r="AR51" i="65"/>
  <c r="AS51" i="65"/>
  <c r="AT51" i="65"/>
  <c r="AU51" i="65"/>
  <c r="AV51" i="65"/>
  <c r="AW51" i="65"/>
  <c r="AX51" i="65"/>
  <c r="AY51" i="65"/>
  <c r="AZ51" i="65"/>
  <c r="BA51" i="65"/>
  <c r="BB51" i="65"/>
  <c r="BC51" i="65"/>
  <c r="BD51" i="65"/>
  <c r="BE51" i="65"/>
  <c r="BF51" i="65"/>
  <c r="BG51" i="65"/>
  <c r="BH51" i="65"/>
  <c r="BI51" i="65"/>
  <c r="BJ51" i="65"/>
  <c r="BK51" i="65"/>
  <c r="BL51" i="65"/>
  <c r="BM51" i="65"/>
  <c r="BN51" i="65"/>
  <c r="BO51" i="65"/>
  <c r="BP51" i="65"/>
  <c r="BQ51" i="65"/>
  <c r="BR51" i="65"/>
  <c r="BS51" i="65"/>
  <c r="BT51" i="65"/>
  <c r="BU51" i="65"/>
  <c r="BV51" i="65"/>
  <c r="BW51" i="65"/>
  <c r="BX51" i="65"/>
  <c r="BY51" i="65"/>
  <c r="BZ51" i="65"/>
  <c r="CA51" i="65"/>
  <c r="CB51" i="65"/>
  <c r="CC51" i="65"/>
  <c r="CD51" i="65"/>
  <c r="CE51" i="65"/>
  <c r="CF51" i="65"/>
  <c r="CG51" i="65"/>
  <c r="CH51" i="65"/>
  <c r="CI51" i="65"/>
  <c r="F52" i="65"/>
  <c r="G52" i="65"/>
  <c r="H52" i="65"/>
  <c r="I52" i="65"/>
  <c r="J52" i="65"/>
  <c r="K52" i="65"/>
  <c r="L52" i="65"/>
  <c r="M52" i="65"/>
  <c r="N52" i="65"/>
  <c r="O52" i="65"/>
  <c r="P52" i="65"/>
  <c r="Q52" i="65"/>
  <c r="R52" i="65"/>
  <c r="S52" i="65"/>
  <c r="T52" i="65"/>
  <c r="U52" i="65"/>
  <c r="V52" i="65"/>
  <c r="W52" i="65"/>
  <c r="X52" i="65"/>
  <c r="Y52" i="65"/>
  <c r="Z52" i="65"/>
  <c r="AA52" i="65"/>
  <c r="AB52" i="65"/>
  <c r="AC52" i="65"/>
  <c r="AD52" i="65"/>
  <c r="AE52" i="65"/>
  <c r="AF52" i="65"/>
  <c r="AG52" i="65"/>
  <c r="AH52" i="65"/>
  <c r="AI52" i="65"/>
  <c r="AJ52" i="65"/>
  <c r="AK52" i="65"/>
  <c r="AL52" i="65"/>
  <c r="AM52" i="65"/>
  <c r="AN52" i="65"/>
  <c r="AO52" i="65"/>
  <c r="AP52" i="65"/>
  <c r="AQ52" i="65"/>
  <c r="AR52" i="65"/>
  <c r="AS52" i="65"/>
  <c r="AT52" i="65"/>
  <c r="AU52" i="65"/>
  <c r="AV52" i="65"/>
  <c r="AW52" i="65"/>
  <c r="AX52" i="65"/>
  <c r="AY52" i="65"/>
  <c r="AZ52" i="65"/>
  <c r="BA52" i="65"/>
  <c r="BB52" i="65"/>
  <c r="BC52" i="65"/>
  <c r="BD52" i="65"/>
  <c r="BE52" i="65"/>
  <c r="BF52" i="65"/>
  <c r="BG52" i="65"/>
  <c r="BH52" i="65"/>
  <c r="BI52" i="65"/>
  <c r="BJ52" i="65"/>
  <c r="BK52" i="65"/>
  <c r="BL52" i="65"/>
  <c r="BM52" i="65"/>
  <c r="BN52" i="65"/>
  <c r="BO52" i="65"/>
  <c r="BP52" i="65"/>
  <c r="BQ52" i="65"/>
  <c r="BR52" i="65"/>
  <c r="BS52" i="65"/>
  <c r="BT52" i="65"/>
  <c r="BU52" i="65"/>
  <c r="BV52" i="65"/>
  <c r="BW52" i="65"/>
  <c r="BX52" i="65"/>
  <c r="BY52" i="65"/>
  <c r="BZ52" i="65"/>
  <c r="CA52" i="65"/>
  <c r="CB52" i="65"/>
  <c r="CC52" i="65"/>
  <c r="CD52" i="65"/>
  <c r="CE52" i="65"/>
  <c r="CF52" i="65"/>
  <c r="CG52" i="65"/>
  <c r="CH52" i="65"/>
  <c r="CI52" i="65"/>
  <c r="F53" i="65"/>
  <c r="G53" i="65"/>
  <c r="H53" i="65"/>
  <c r="I53" i="65"/>
  <c r="J53" i="65"/>
  <c r="K53" i="65"/>
  <c r="L53" i="65"/>
  <c r="M53" i="65"/>
  <c r="N53" i="65"/>
  <c r="O53" i="65"/>
  <c r="P53" i="65"/>
  <c r="Q53" i="65"/>
  <c r="R53" i="65"/>
  <c r="S53" i="65"/>
  <c r="T53" i="65"/>
  <c r="U53" i="65"/>
  <c r="V53" i="65"/>
  <c r="W53" i="65"/>
  <c r="X53" i="65"/>
  <c r="Y53" i="65"/>
  <c r="Z53" i="65"/>
  <c r="AA53" i="65"/>
  <c r="AB53" i="65"/>
  <c r="AC53" i="65"/>
  <c r="AD53" i="65"/>
  <c r="AE53" i="65"/>
  <c r="AF53" i="65"/>
  <c r="AG53" i="65"/>
  <c r="AH53" i="65"/>
  <c r="AI53" i="65"/>
  <c r="AJ53" i="65"/>
  <c r="AK53" i="65"/>
  <c r="AL53" i="65"/>
  <c r="AM53" i="65"/>
  <c r="AN53" i="65"/>
  <c r="AO53" i="65"/>
  <c r="AP53" i="65"/>
  <c r="AQ53" i="65"/>
  <c r="AR53" i="65"/>
  <c r="AS53" i="65"/>
  <c r="AT53" i="65"/>
  <c r="AU53" i="65"/>
  <c r="AV53" i="65"/>
  <c r="AW53" i="65"/>
  <c r="AX53" i="65"/>
  <c r="AY53" i="65"/>
  <c r="AZ53" i="65"/>
  <c r="BA53" i="65"/>
  <c r="BB53" i="65"/>
  <c r="BC53" i="65"/>
  <c r="BD53" i="65"/>
  <c r="BE53" i="65"/>
  <c r="BF53" i="65"/>
  <c r="BG53" i="65"/>
  <c r="BH53" i="65"/>
  <c r="BI53" i="65"/>
  <c r="BJ53" i="65"/>
  <c r="BK53" i="65"/>
  <c r="BL53" i="65"/>
  <c r="BM53" i="65"/>
  <c r="BN53" i="65"/>
  <c r="BO53" i="65"/>
  <c r="BP53" i="65"/>
  <c r="BQ53" i="65"/>
  <c r="BR53" i="65"/>
  <c r="BS53" i="65"/>
  <c r="BT53" i="65"/>
  <c r="BU53" i="65"/>
  <c r="BV53" i="65"/>
  <c r="BW53" i="65"/>
  <c r="BX53" i="65"/>
  <c r="BY53" i="65"/>
  <c r="BZ53" i="65"/>
  <c r="CA53" i="65"/>
  <c r="CB53" i="65"/>
  <c r="CC53" i="65"/>
  <c r="CD53" i="65"/>
  <c r="CE53" i="65"/>
  <c r="CF53" i="65"/>
  <c r="CG53" i="65"/>
  <c r="CH53" i="65"/>
  <c r="CI53" i="65"/>
  <c r="F54" i="65"/>
  <c r="G54" i="65"/>
  <c r="H54" i="65"/>
  <c r="I54" i="65"/>
  <c r="J54" i="65"/>
  <c r="K54" i="65"/>
  <c r="L54" i="65"/>
  <c r="M54" i="65"/>
  <c r="N54" i="65"/>
  <c r="O54" i="65"/>
  <c r="P54" i="65"/>
  <c r="Q54" i="65"/>
  <c r="R54" i="65"/>
  <c r="S54" i="65"/>
  <c r="T54" i="65"/>
  <c r="U54" i="65"/>
  <c r="V54" i="65"/>
  <c r="W54" i="65"/>
  <c r="X54" i="65"/>
  <c r="Y54" i="65"/>
  <c r="Z54" i="65"/>
  <c r="AA54" i="65"/>
  <c r="AB54" i="65"/>
  <c r="AC54" i="65"/>
  <c r="AD54" i="65"/>
  <c r="AE54" i="65"/>
  <c r="AF54" i="65"/>
  <c r="AG54" i="65"/>
  <c r="AH54" i="65"/>
  <c r="AI54" i="65"/>
  <c r="AJ54" i="65"/>
  <c r="AK54" i="65"/>
  <c r="AL54" i="65"/>
  <c r="AM54" i="65"/>
  <c r="AN54" i="65"/>
  <c r="AO54" i="65"/>
  <c r="AP54" i="65"/>
  <c r="AQ54" i="65"/>
  <c r="AR54" i="65"/>
  <c r="AS54" i="65"/>
  <c r="AT54" i="65"/>
  <c r="AU54" i="65"/>
  <c r="AV54" i="65"/>
  <c r="AW54" i="65"/>
  <c r="AX54" i="65"/>
  <c r="AY54" i="65"/>
  <c r="AZ54" i="65"/>
  <c r="BA54" i="65"/>
  <c r="BB54" i="65"/>
  <c r="BC54" i="65"/>
  <c r="BD54" i="65"/>
  <c r="BE54" i="65"/>
  <c r="BF54" i="65"/>
  <c r="BG54" i="65"/>
  <c r="BH54" i="65"/>
  <c r="BI54" i="65"/>
  <c r="BJ54" i="65"/>
  <c r="BK54" i="65"/>
  <c r="BL54" i="65"/>
  <c r="BM54" i="65"/>
  <c r="BN54" i="65"/>
  <c r="BO54" i="65"/>
  <c r="BP54" i="65"/>
  <c r="BQ54" i="65"/>
  <c r="BR54" i="65"/>
  <c r="BS54" i="65"/>
  <c r="BT54" i="65"/>
  <c r="BU54" i="65"/>
  <c r="BV54" i="65"/>
  <c r="BW54" i="65"/>
  <c r="BX54" i="65"/>
  <c r="BY54" i="65"/>
  <c r="BZ54" i="65"/>
  <c r="CA54" i="65"/>
  <c r="CB54" i="65"/>
  <c r="CC54" i="65"/>
  <c r="CD54" i="65"/>
  <c r="CE54" i="65"/>
  <c r="CF54" i="65"/>
  <c r="CG54" i="65"/>
  <c r="CH54" i="65"/>
  <c r="CI54" i="65"/>
  <c r="F55" i="65"/>
  <c r="G55" i="65"/>
  <c r="H55" i="65"/>
  <c r="I55" i="65"/>
  <c r="J55" i="65"/>
  <c r="K55" i="65"/>
  <c r="L55" i="65"/>
  <c r="M55" i="65"/>
  <c r="N55" i="65"/>
  <c r="O55" i="65"/>
  <c r="P55" i="65"/>
  <c r="Q55" i="65"/>
  <c r="R55" i="65"/>
  <c r="S55" i="65"/>
  <c r="T55" i="65"/>
  <c r="U55" i="65"/>
  <c r="V55" i="65"/>
  <c r="W55" i="65"/>
  <c r="X55" i="65"/>
  <c r="Y55" i="65"/>
  <c r="Z55" i="65"/>
  <c r="AA55" i="65"/>
  <c r="AB55" i="65"/>
  <c r="AC55" i="65"/>
  <c r="AD55" i="65"/>
  <c r="AE55" i="65"/>
  <c r="AF55" i="65"/>
  <c r="AG55" i="65"/>
  <c r="AH55" i="65"/>
  <c r="AI55" i="65"/>
  <c r="AJ55" i="65"/>
  <c r="AK55" i="65"/>
  <c r="AL55" i="65"/>
  <c r="AM55" i="65"/>
  <c r="AN55" i="65"/>
  <c r="AO55" i="65"/>
  <c r="AP55" i="65"/>
  <c r="AQ55" i="65"/>
  <c r="AR55" i="65"/>
  <c r="AS55" i="65"/>
  <c r="AT55" i="65"/>
  <c r="AU55" i="65"/>
  <c r="AV55" i="65"/>
  <c r="AW55" i="65"/>
  <c r="AX55" i="65"/>
  <c r="AY55" i="65"/>
  <c r="AZ55" i="65"/>
  <c r="BA55" i="65"/>
  <c r="BB55" i="65"/>
  <c r="BC55" i="65"/>
  <c r="BD55" i="65"/>
  <c r="BE55" i="65"/>
  <c r="BF55" i="65"/>
  <c r="BG55" i="65"/>
  <c r="BH55" i="65"/>
  <c r="BI55" i="65"/>
  <c r="BJ55" i="65"/>
  <c r="BK55" i="65"/>
  <c r="BL55" i="65"/>
  <c r="BM55" i="65"/>
  <c r="BN55" i="65"/>
  <c r="BO55" i="65"/>
  <c r="BP55" i="65"/>
  <c r="BQ55" i="65"/>
  <c r="BR55" i="65"/>
  <c r="BS55" i="65"/>
  <c r="BT55" i="65"/>
  <c r="BU55" i="65"/>
  <c r="BV55" i="65"/>
  <c r="BW55" i="65"/>
  <c r="BX55" i="65"/>
  <c r="BY55" i="65"/>
  <c r="BZ55" i="65"/>
  <c r="CA55" i="65"/>
  <c r="CB55" i="65"/>
  <c r="CC55" i="65"/>
  <c r="CD55" i="65"/>
  <c r="CE55" i="65"/>
  <c r="CF55" i="65"/>
  <c r="CG55" i="65"/>
  <c r="CH55" i="65"/>
  <c r="CI55" i="65"/>
  <c r="F56" i="65"/>
  <c r="G56" i="65"/>
  <c r="H56" i="65"/>
  <c r="I56" i="65"/>
  <c r="J56" i="65"/>
  <c r="K56" i="65"/>
  <c r="L56" i="65"/>
  <c r="M56" i="65"/>
  <c r="N56" i="65"/>
  <c r="O56" i="65"/>
  <c r="P56" i="65"/>
  <c r="Q56" i="65"/>
  <c r="R56" i="65"/>
  <c r="S56" i="65"/>
  <c r="T56" i="65"/>
  <c r="U56" i="65"/>
  <c r="V56" i="65"/>
  <c r="W56" i="65"/>
  <c r="X56" i="65"/>
  <c r="Y56" i="65"/>
  <c r="Z56" i="65"/>
  <c r="AA56" i="65"/>
  <c r="AB56" i="65"/>
  <c r="AC56" i="65"/>
  <c r="AD56" i="65"/>
  <c r="AE56" i="65"/>
  <c r="AF56" i="65"/>
  <c r="AG56" i="65"/>
  <c r="AH56" i="65"/>
  <c r="AI56" i="65"/>
  <c r="AJ56" i="65"/>
  <c r="AK56" i="65"/>
  <c r="AL56" i="65"/>
  <c r="AM56" i="65"/>
  <c r="AN56" i="65"/>
  <c r="AO56" i="65"/>
  <c r="AP56" i="65"/>
  <c r="AQ56" i="65"/>
  <c r="AR56" i="65"/>
  <c r="AS56" i="65"/>
  <c r="AT56" i="65"/>
  <c r="AU56" i="65"/>
  <c r="AV56" i="65"/>
  <c r="AW56" i="65"/>
  <c r="AX56" i="65"/>
  <c r="AY56" i="65"/>
  <c r="AZ56" i="65"/>
  <c r="BA56" i="65"/>
  <c r="BB56" i="65"/>
  <c r="BC56" i="65"/>
  <c r="BD56" i="65"/>
  <c r="BE56" i="65"/>
  <c r="BF56" i="65"/>
  <c r="BG56" i="65"/>
  <c r="BH56" i="65"/>
  <c r="BI56" i="65"/>
  <c r="BJ56" i="65"/>
  <c r="BK56" i="65"/>
  <c r="BL56" i="65"/>
  <c r="BM56" i="65"/>
  <c r="BN56" i="65"/>
  <c r="BO56" i="65"/>
  <c r="BP56" i="65"/>
  <c r="BQ56" i="65"/>
  <c r="BR56" i="65"/>
  <c r="BS56" i="65"/>
  <c r="BT56" i="65"/>
  <c r="BU56" i="65"/>
  <c r="BV56" i="65"/>
  <c r="BW56" i="65"/>
  <c r="BX56" i="65"/>
  <c r="BY56" i="65"/>
  <c r="BZ56" i="65"/>
  <c r="CA56" i="65"/>
  <c r="CB56" i="65"/>
  <c r="CC56" i="65"/>
  <c r="CD56" i="65"/>
  <c r="CE56" i="65"/>
  <c r="CF56" i="65"/>
  <c r="CG56" i="65"/>
  <c r="CH56" i="65"/>
  <c r="CI56" i="65"/>
  <c r="F57" i="65"/>
  <c r="G57" i="65"/>
  <c r="H57" i="65"/>
  <c r="I57" i="65"/>
  <c r="J57" i="65"/>
  <c r="K57" i="65"/>
  <c r="L57" i="65"/>
  <c r="M57" i="65"/>
  <c r="N57" i="65"/>
  <c r="O57" i="65"/>
  <c r="P57" i="65"/>
  <c r="Q57" i="65"/>
  <c r="R57" i="65"/>
  <c r="S57" i="65"/>
  <c r="T57" i="65"/>
  <c r="U57" i="65"/>
  <c r="V57" i="65"/>
  <c r="W57" i="65"/>
  <c r="X57" i="65"/>
  <c r="Y57" i="65"/>
  <c r="Z57" i="65"/>
  <c r="AA57" i="65"/>
  <c r="AB57" i="65"/>
  <c r="AC57" i="65"/>
  <c r="AD57" i="65"/>
  <c r="AE57" i="65"/>
  <c r="AF57" i="65"/>
  <c r="AG57" i="65"/>
  <c r="AH57" i="65"/>
  <c r="AI57" i="65"/>
  <c r="AJ57" i="65"/>
  <c r="AK57" i="65"/>
  <c r="AL57" i="65"/>
  <c r="AM57" i="65"/>
  <c r="AN57" i="65"/>
  <c r="AO57" i="65"/>
  <c r="AP57" i="65"/>
  <c r="AQ57" i="65"/>
  <c r="AR57" i="65"/>
  <c r="AS57" i="65"/>
  <c r="AT57" i="65"/>
  <c r="AU57" i="65"/>
  <c r="AV57" i="65"/>
  <c r="AW57" i="65"/>
  <c r="AX57" i="65"/>
  <c r="AY57" i="65"/>
  <c r="AZ57" i="65"/>
  <c r="BA57" i="65"/>
  <c r="BB57" i="65"/>
  <c r="BC57" i="65"/>
  <c r="BD57" i="65"/>
  <c r="BE57" i="65"/>
  <c r="BF57" i="65"/>
  <c r="BG57" i="65"/>
  <c r="BH57" i="65"/>
  <c r="BI57" i="65"/>
  <c r="BJ57" i="65"/>
  <c r="BK57" i="65"/>
  <c r="BL57" i="65"/>
  <c r="BM57" i="65"/>
  <c r="BN57" i="65"/>
  <c r="BO57" i="65"/>
  <c r="BP57" i="65"/>
  <c r="BQ57" i="65"/>
  <c r="BR57" i="65"/>
  <c r="BS57" i="65"/>
  <c r="BT57" i="65"/>
  <c r="BU57" i="65"/>
  <c r="BV57" i="65"/>
  <c r="BW57" i="65"/>
  <c r="BX57" i="65"/>
  <c r="BY57" i="65"/>
  <c r="BZ57" i="65"/>
  <c r="CA57" i="65"/>
  <c r="CB57" i="65"/>
  <c r="CC57" i="65"/>
  <c r="CD57" i="65"/>
  <c r="CE57" i="65"/>
  <c r="CF57" i="65"/>
  <c r="CG57" i="65"/>
  <c r="CH57" i="65"/>
  <c r="CI57" i="65"/>
  <c r="F58" i="65"/>
  <c r="G58" i="65"/>
  <c r="H58" i="65"/>
  <c r="I58" i="65"/>
  <c r="J58" i="65"/>
  <c r="K58" i="65"/>
  <c r="L58" i="65"/>
  <c r="M58" i="65"/>
  <c r="N58" i="65"/>
  <c r="O58" i="65"/>
  <c r="P58" i="65"/>
  <c r="Q58" i="65"/>
  <c r="R58" i="65"/>
  <c r="S58" i="65"/>
  <c r="T58" i="65"/>
  <c r="U58" i="65"/>
  <c r="V58" i="65"/>
  <c r="W58" i="65"/>
  <c r="X58" i="65"/>
  <c r="Y58" i="65"/>
  <c r="Z58" i="65"/>
  <c r="AA58" i="65"/>
  <c r="AB58" i="65"/>
  <c r="AC58" i="65"/>
  <c r="AD58" i="65"/>
  <c r="AE58" i="65"/>
  <c r="AF58" i="65"/>
  <c r="AG58" i="65"/>
  <c r="AH58" i="65"/>
  <c r="AI58" i="65"/>
  <c r="AJ58" i="65"/>
  <c r="AK58" i="65"/>
  <c r="AL58" i="65"/>
  <c r="AM58" i="65"/>
  <c r="AN58" i="65"/>
  <c r="AO58" i="65"/>
  <c r="AP58" i="65"/>
  <c r="AQ58" i="65"/>
  <c r="AR58" i="65"/>
  <c r="AS58" i="65"/>
  <c r="AT58" i="65"/>
  <c r="AU58" i="65"/>
  <c r="AV58" i="65"/>
  <c r="AW58" i="65"/>
  <c r="AX58" i="65"/>
  <c r="AY58" i="65"/>
  <c r="AZ58" i="65"/>
  <c r="BA58" i="65"/>
  <c r="BB58" i="65"/>
  <c r="BC58" i="65"/>
  <c r="BD58" i="65"/>
  <c r="BE58" i="65"/>
  <c r="BF58" i="65"/>
  <c r="BG58" i="65"/>
  <c r="BH58" i="65"/>
  <c r="BI58" i="65"/>
  <c r="BJ58" i="65"/>
  <c r="BK58" i="65"/>
  <c r="BL58" i="65"/>
  <c r="BM58" i="65"/>
  <c r="BN58" i="65"/>
  <c r="BO58" i="65"/>
  <c r="BP58" i="65"/>
  <c r="BQ58" i="65"/>
  <c r="BR58" i="65"/>
  <c r="BS58" i="65"/>
  <c r="BT58" i="65"/>
  <c r="BU58" i="65"/>
  <c r="BV58" i="65"/>
  <c r="BW58" i="65"/>
  <c r="BX58" i="65"/>
  <c r="BY58" i="65"/>
  <c r="BZ58" i="65"/>
  <c r="CA58" i="65"/>
  <c r="CB58" i="65"/>
  <c r="CC58" i="65"/>
  <c r="CD58" i="65"/>
  <c r="CE58" i="65"/>
  <c r="CF58" i="65"/>
  <c r="CG58" i="65"/>
  <c r="CH58" i="65"/>
  <c r="CI58" i="65"/>
  <c r="F59" i="65"/>
  <c r="G59" i="65"/>
  <c r="H59" i="65"/>
  <c r="I59" i="65"/>
  <c r="J59" i="65"/>
  <c r="K59" i="65"/>
  <c r="L59" i="65"/>
  <c r="M59" i="65"/>
  <c r="N59" i="65"/>
  <c r="O59" i="65"/>
  <c r="P59" i="65"/>
  <c r="Q59" i="65"/>
  <c r="R59" i="65"/>
  <c r="S59" i="65"/>
  <c r="T59" i="65"/>
  <c r="U59" i="65"/>
  <c r="V59" i="65"/>
  <c r="W59" i="65"/>
  <c r="X59" i="65"/>
  <c r="Y59" i="65"/>
  <c r="Z59" i="65"/>
  <c r="AA59" i="65"/>
  <c r="AB59" i="65"/>
  <c r="AC59" i="65"/>
  <c r="AD59" i="65"/>
  <c r="AE59" i="65"/>
  <c r="AF59" i="65"/>
  <c r="AG59" i="65"/>
  <c r="AH59" i="65"/>
  <c r="AI59" i="65"/>
  <c r="AJ59" i="65"/>
  <c r="AK59" i="65"/>
  <c r="AL59" i="65"/>
  <c r="AM59" i="65"/>
  <c r="AN59" i="65"/>
  <c r="AO59" i="65"/>
  <c r="AP59" i="65"/>
  <c r="AQ59" i="65"/>
  <c r="AR59" i="65"/>
  <c r="AS59" i="65"/>
  <c r="AT59" i="65"/>
  <c r="AU59" i="65"/>
  <c r="AV59" i="65"/>
  <c r="AW59" i="65"/>
  <c r="AX59" i="65"/>
  <c r="AY59" i="65"/>
  <c r="AZ59" i="65"/>
  <c r="BB59" i="65"/>
  <c r="BC59" i="65"/>
  <c r="BD59" i="65"/>
  <c r="BE59" i="65"/>
  <c r="BG59" i="65"/>
  <c r="BH59" i="65"/>
  <c r="BI59" i="65"/>
  <c r="BK59" i="65"/>
  <c r="BL59" i="65"/>
  <c r="BM59" i="65"/>
  <c r="BN59" i="65"/>
  <c r="BO59" i="65"/>
  <c r="BP59" i="65"/>
  <c r="BQ59" i="65"/>
  <c r="BR59" i="65"/>
  <c r="BS59" i="65"/>
  <c r="BT59" i="65"/>
  <c r="BU59" i="65"/>
  <c r="BV59" i="65"/>
  <c r="BW59" i="65"/>
  <c r="BX59" i="65"/>
  <c r="BY59" i="65"/>
  <c r="BZ59" i="65"/>
  <c r="CA59" i="65"/>
  <c r="CB59" i="65"/>
  <c r="CC59" i="65"/>
  <c r="CD59" i="65"/>
  <c r="CE59" i="65"/>
  <c r="CF59" i="65"/>
  <c r="CG59" i="65"/>
  <c r="CH59" i="65"/>
  <c r="CI59" i="65"/>
  <c r="F60" i="65"/>
  <c r="G60" i="65"/>
  <c r="H60" i="65"/>
  <c r="I60" i="65"/>
  <c r="J60" i="65"/>
  <c r="K60" i="65"/>
  <c r="L60" i="65"/>
  <c r="M60" i="65"/>
  <c r="N60" i="65"/>
  <c r="O60" i="65"/>
  <c r="P60" i="65"/>
  <c r="Q60" i="65"/>
  <c r="R60" i="65"/>
  <c r="S60" i="65"/>
  <c r="T60" i="65"/>
  <c r="U60" i="65"/>
  <c r="V60" i="65"/>
  <c r="W60" i="65"/>
  <c r="X60" i="65"/>
  <c r="Y60" i="65"/>
  <c r="Z60" i="65"/>
  <c r="AA60" i="65"/>
  <c r="AB60" i="65"/>
  <c r="AC60" i="65"/>
  <c r="AD60" i="65"/>
  <c r="AE60" i="65"/>
  <c r="AF60" i="65"/>
  <c r="AG60" i="65"/>
  <c r="AH60" i="65"/>
  <c r="AI60" i="65"/>
  <c r="AJ60" i="65"/>
  <c r="AK60" i="65"/>
  <c r="AL60" i="65"/>
  <c r="AM60" i="65"/>
  <c r="AN60" i="65"/>
  <c r="AO60" i="65"/>
  <c r="AP60" i="65"/>
  <c r="AQ60" i="65"/>
  <c r="AR60" i="65"/>
  <c r="AS60" i="65"/>
  <c r="AT60" i="65"/>
  <c r="AU60" i="65"/>
  <c r="AV60" i="65"/>
  <c r="AW60" i="65"/>
  <c r="AX60" i="65"/>
  <c r="AY60" i="65"/>
  <c r="AZ60" i="65"/>
  <c r="BB60" i="65"/>
  <c r="BC60" i="65"/>
  <c r="BD60" i="65"/>
  <c r="BE60" i="65"/>
  <c r="BG60" i="65"/>
  <c r="BH60" i="65"/>
  <c r="BI60" i="65"/>
  <c r="BK60" i="65"/>
  <c r="BL60" i="65"/>
  <c r="BM60" i="65"/>
  <c r="BN60" i="65"/>
  <c r="BO60" i="65"/>
  <c r="BP60" i="65"/>
  <c r="BQ60" i="65"/>
  <c r="BR60" i="65"/>
  <c r="BS60" i="65"/>
  <c r="BT60" i="65"/>
  <c r="BU60" i="65"/>
  <c r="BV60" i="65"/>
  <c r="BW60" i="65"/>
  <c r="BX60" i="65"/>
  <c r="BY60" i="65"/>
  <c r="BZ60" i="65"/>
  <c r="CA60" i="65"/>
  <c r="CB60" i="65"/>
  <c r="CC60" i="65"/>
  <c r="CD60" i="65"/>
  <c r="CE60" i="65"/>
  <c r="CF60" i="65"/>
  <c r="CG60" i="65"/>
  <c r="CH60" i="65"/>
  <c r="CI60" i="65"/>
  <c r="F61" i="65"/>
  <c r="G61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U61" i="65"/>
  <c r="V61" i="65"/>
  <c r="W61" i="65"/>
  <c r="X61" i="65"/>
  <c r="Y61" i="65"/>
  <c r="Z61" i="65"/>
  <c r="AA61" i="65"/>
  <c r="AB61" i="65"/>
  <c r="AC61" i="65"/>
  <c r="AD61" i="65"/>
  <c r="AE61" i="65"/>
  <c r="AF61" i="65"/>
  <c r="AG61" i="65"/>
  <c r="AH61" i="65"/>
  <c r="AI61" i="65"/>
  <c r="AJ61" i="65"/>
  <c r="AK61" i="65"/>
  <c r="AL61" i="65"/>
  <c r="AM61" i="65"/>
  <c r="AN61" i="65"/>
  <c r="AO61" i="65"/>
  <c r="AP61" i="65"/>
  <c r="AQ61" i="65"/>
  <c r="AR61" i="65"/>
  <c r="AS61" i="65"/>
  <c r="AT61" i="65"/>
  <c r="AU61" i="65"/>
  <c r="AV61" i="65"/>
  <c r="AW61" i="65"/>
  <c r="AX61" i="65"/>
  <c r="AY61" i="65"/>
  <c r="AZ61" i="65"/>
  <c r="BB61" i="65"/>
  <c r="BC61" i="65"/>
  <c r="BD61" i="65"/>
  <c r="BE61" i="65"/>
  <c r="BG61" i="65"/>
  <c r="BH61" i="65"/>
  <c r="BI61" i="65"/>
  <c r="BK61" i="65"/>
  <c r="BL61" i="65"/>
  <c r="BM61" i="65"/>
  <c r="BN61" i="65"/>
  <c r="BO61" i="65"/>
  <c r="BP61" i="65"/>
  <c r="BQ61" i="65"/>
  <c r="BR61" i="65"/>
  <c r="BS61" i="65"/>
  <c r="BT61" i="65"/>
  <c r="BU61" i="65"/>
  <c r="BV61" i="65"/>
  <c r="BW61" i="65"/>
  <c r="BX61" i="65"/>
  <c r="BY61" i="65"/>
  <c r="BZ61" i="65"/>
  <c r="CA61" i="65"/>
  <c r="CB61" i="65"/>
  <c r="CC61" i="65"/>
  <c r="CD61" i="65"/>
  <c r="CE61" i="65"/>
  <c r="CF61" i="65"/>
  <c r="CG61" i="65"/>
  <c r="CH61" i="65"/>
  <c r="CI61" i="65"/>
  <c r="F62" i="65"/>
  <c r="G62" i="65"/>
  <c r="H62" i="65"/>
  <c r="I62" i="65"/>
  <c r="J62" i="65"/>
  <c r="K62" i="65"/>
  <c r="L62" i="65"/>
  <c r="M62" i="65"/>
  <c r="N62" i="65"/>
  <c r="O62" i="65"/>
  <c r="P62" i="65"/>
  <c r="Q62" i="65"/>
  <c r="R62" i="65"/>
  <c r="S62" i="65"/>
  <c r="T62" i="65"/>
  <c r="U62" i="65"/>
  <c r="V62" i="65"/>
  <c r="W62" i="65"/>
  <c r="X62" i="65"/>
  <c r="Y62" i="65"/>
  <c r="Z62" i="65"/>
  <c r="AA62" i="65"/>
  <c r="AB62" i="65"/>
  <c r="AC62" i="65"/>
  <c r="AD62" i="65"/>
  <c r="AE62" i="65"/>
  <c r="AF62" i="65"/>
  <c r="AG62" i="65"/>
  <c r="AH62" i="65"/>
  <c r="AI62" i="65"/>
  <c r="AJ62" i="65"/>
  <c r="AK62" i="65"/>
  <c r="AL62" i="65"/>
  <c r="AM62" i="65"/>
  <c r="AN62" i="65"/>
  <c r="AO62" i="65"/>
  <c r="AP62" i="65"/>
  <c r="AQ62" i="65"/>
  <c r="AR62" i="65"/>
  <c r="AS62" i="65"/>
  <c r="AT62" i="65"/>
  <c r="AU62" i="65"/>
  <c r="AV62" i="65"/>
  <c r="AW62" i="65"/>
  <c r="AX62" i="65"/>
  <c r="AY62" i="65"/>
  <c r="AZ62" i="65"/>
  <c r="BB62" i="65"/>
  <c r="BC62" i="65"/>
  <c r="BD62" i="65"/>
  <c r="BE62" i="65"/>
  <c r="BF62" i="65"/>
  <c r="BG62" i="65"/>
  <c r="BH62" i="65"/>
  <c r="BI62" i="65"/>
  <c r="BJ62" i="65"/>
  <c r="BK62" i="65"/>
  <c r="BL62" i="65"/>
  <c r="BM62" i="65"/>
  <c r="BN62" i="65"/>
  <c r="BO62" i="65"/>
  <c r="BP62" i="65"/>
  <c r="BQ62" i="65"/>
  <c r="BR62" i="65"/>
  <c r="BS62" i="65"/>
  <c r="BT62" i="65"/>
  <c r="BU62" i="65"/>
  <c r="BV62" i="65"/>
  <c r="BW62" i="65"/>
  <c r="BX62" i="65"/>
  <c r="BY62" i="65"/>
  <c r="BZ62" i="65"/>
  <c r="CA62" i="65"/>
  <c r="CB62" i="65"/>
  <c r="CC62" i="65"/>
  <c r="CD62" i="65"/>
  <c r="CE62" i="65"/>
  <c r="CF62" i="65"/>
  <c r="CG62" i="65"/>
  <c r="CH62" i="65"/>
  <c r="CI62" i="65"/>
  <c r="F63" i="65"/>
  <c r="G63" i="65"/>
  <c r="H63" i="65"/>
  <c r="I63" i="65"/>
  <c r="J63" i="65"/>
  <c r="K63" i="65"/>
  <c r="L63" i="65"/>
  <c r="M63" i="65"/>
  <c r="N63" i="65"/>
  <c r="O63" i="65"/>
  <c r="P63" i="65"/>
  <c r="Q63" i="65"/>
  <c r="R63" i="65"/>
  <c r="S63" i="65"/>
  <c r="T63" i="65"/>
  <c r="U63" i="65"/>
  <c r="V63" i="65"/>
  <c r="W63" i="65"/>
  <c r="X63" i="65"/>
  <c r="Y63" i="65"/>
  <c r="Z63" i="65"/>
  <c r="AA63" i="65"/>
  <c r="AB63" i="65"/>
  <c r="AC63" i="65"/>
  <c r="AD63" i="65"/>
  <c r="AE63" i="65"/>
  <c r="AF63" i="65"/>
  <c r="AG63" i="65"/>
  <c r="AH63" i="65"/>
  <c r="AI63" i="65"/>
  <c r="AJ63" i="65"/>
  <c r="AK63" i="65"/>
  <c r="AL63" i="65"/>
  <c r="AM63" i="65"/>
  <c r="AN63" i="65"/>
  <c r="AO63" i="65"/>
  <c r="AP63" i="65"/>
  <c r="AQ63" i="65"/>
  <c r="AR63" i="65"/>
  <c r="AS63" i="65"/>
  <c r="AT63" i="65"/>
  <c r="AU63" i="65"/>
  <c r="AV63" i="65"/>
  <c r="AW63" i="65"/>
  <c r="AX63" i="65"/>
  <c r="AY63" i="65"/>
  <c r="AZ63" i="65"/>
  <c r="BB63" i="65"/>
  <c r="BC63" i="65"/>
  <c r="BD63" i="65"/>
  <c r="BE63" i="65"/>
  <c r="BG63" i="65"/>
  <c r="BH63" i="65"/>
  <c r="BI63" i="65"/>
  <c r="BK63" i="65"/>
  <c r="BL63" i="65"/>
  <c r="BM63" i="65"/>
  <c r="BN63" i="65"/>
  <c r="BO63" i="65"/>
  <c r="BP63" i="65"/>
  <c r="BQ63" i="65"/>
  <c r="BR63" i="65"/>
  <c r="BS63" i="65"/>
  <c r="BT63" i="65"/>
  <c r="BU63" i="65"/>
  <c r="BV63" i="65"/>
  <c r="BW63" i="65"/>
  <c r="BX63" i="65"/>
  <c r="BY63" i="65"/>
  <c r="BZ63" i="65"/>
  <c r="CA63" i="65"/>
  <c r="CB63" i="65"/>
  <c r="CC63" i="65"/>
  <c r="CD63" i="65"/>
  <c r="CE63" i="65"/>
  <c r="CF63" i="65"/>
  <c r="CG63" i="65"/>
  <c r="CH63" i="65"/>
  <c r="CI63" i="65"/>
  <c r="F64" i="65"/>
  <c r="G64" i="65"/>
  <c r="H64" i="65"/>
  <c r="I64" i="65"/>
  <c r="J64" i="65"/>
  <c r="K64" i="65"/>
  <c r="L64" i="65"/>
  <c r="M64" i="65"/>
  <c r="N64" i="65"/>
  <c r="O64" i="65"/>
  <c r="P64" i="65"/>
  <c r="Q64" i="65"/>
  <c r="R64" i="65"/>
  <c r="S64" i="65"/>
  <c r="T64" i="65"/>
  <c r="U64" i="65"/>
  <c r="V64" i="65"/>
  <c r="W64" i="65"/>
  <c r="X64" i="65"/>
  <c r="Y64" i="65"/>
  <c r="Z64" i="65"/>
  <c r="AA64" i="65"/>
  <c r="AB64" i="65"/>
  <c r="AC64" i="65"/>
  <c r="AD64" i="65"/>
  <c r="AE64" i="65"/>
  <c r="AF64" i="65"/>
  <c r="AG64" i="65"/>
  <c r="AH64" i="65"/>
  <c r="AI64" i="65"/>
  <c r="AJ64" i="65"/>
  <c r="AK64" i="65"/>
  <c r="AL64" i="65"/>
  <c r="AM64" i="65"/>
  <c r="AN64" i="65"/>
  <c r="AO64" i="65"/>
  <c r="AP64" i="65"/>
  <c r="AQ64" i="65"/>
  <c r="AR64" i="65"/>
  <c r="AS64" i="65"/>
  <c r="AT64" i="65"/>
  <c r="AU64" i="65"/>
  <c r="AV64" i="65"/>
  <c r="AW64" i="65"/>
  <c r="AX64" i="65"/>
  <c r="AY64" i="65"/>
  <c r="AZ64" i="65"/>
  <c r="BA64" i="65"/>
  <c r="BB64" i="65"/>
  <c r="BC64" i="65"/>
  <c r="BD64" i="65"/>
  <c r="BE64" i="65"/>
  <c r="BF64" i="65"/>
  <c r="BG64" i="65"/>
  <c r="BH64" i="65"/>
  <c r="BI64" i="65"/>
  <c r="BJ64" i="65"/>
  <c r="BK64" i="65"/>
  <c r="BL64" i="65"/>
  <c r="BM64" i="65"/>
  <c r="BN64" i="65"/>
  <c r="BO64" i="65"/>
  <c r="BP64" i="65"/>
  <c r="BQ64" i="65"/>
  <c r="BR64" i="65"/>
  <c r="BS64" i="65"/>
  <c r="BT64" i="65"/>
  <c r="BU64" i="65"/>
  <c r="BV64" i="65"/>
  <c r="BW64" i="65"/>
  <c r="BX64" i="65"/>
  <c r="BY64" i="65"/>
  <c r="BZ64" i="65"/>
  <c r="CA64" i="65"/>
  <c r="CB64" i="65"/>
  <c r="CC64" i="65"/>
  <c r="CD64" i="65"/>
  <c r="CE64" i="65"/>
  <c r="CF64" i="65"/>
  <c r="CG64" i="65"/>
  <c r="CH64" i="65"/>
  <c r="CI64" i="65"/>
  <c r="F65" i="65"/>
  <c r="G65" i="65"/>
  <c r="H65" i="65"/>
  <c r="I65" i="65"/>
  <c r="J65" i="65"/>
  <c r="K65" i="65"/>
  <c r="L65" i="65"/>
  <c r="M65" i="65"/>
  <c r="N65" i="65"/>
  <c r="O65" i="65"/>
  <c r="P65" i="65"/>
  <c r="Q65" i="65"/>
  <c r="R65" i="65"/>
  <c r="S65" i="65"/>
  <c r="T65" i="65"/>
  <c r="U65" i="65"/>
  <c r="V65" i="65"/>
  <c r="W65" i="65"/>
  <c r="X65" i="65"/>
  <c r="Y65" i="65"/>
  <c r="Z65" i="65"/>
  <c r="AA65" i="65"/>
  <c r="AB65" i="65"/>
  <c r="AC65" i="65"/>
  <c r="AD65" i="65"/>
  <c r="AE65" i="65"/>
  <c r="AF65" i="65"/>
  <c r="AG65" i="65"/>
  <c r="AH65" i="65"/>
  <c r="AI65" i="65"/>
  <c r="AJ65" i="65"/>
  <c r="AK65" i="65"/>
  <c r="AL65" i="65"/>
  <c r="AM65" i="65"/>
  <c r="AN65" i="65"/>
  <c r="AO65" i="65"/>
  <c r="AP65" i="65"/>
  <c r="AQ65" i="65"/>
  <c r="AR65" i="65"/>
  <c r="AS65" i="65"/>
  <c r="AT65" i="65"/>
  <c r="AU65" i="65"/>
  <c r="AV65" i="65"/>
  <c r="AW65" i="65"/>
  <c r="AX65" i="65"/>
  <c r="AY65" i="65"/>
  <c r="AZ65" i="65"/>
  <c r="BB65" i="65"/>
  <c r="BC65" i="65"/>
  <c r="BD65" i="65"/>
  <c r="BE65" i="65"/>
  <c r="BG65" i="65"/>
  <c r="BH65" i="65"/>
  <c r="BI65" i="65"/>
  <c r="BK65" i="65"/>
  <c r="BL65" i="65"/>
  <c r="BM65" i="65"/>
  <c r="BN65" i="65"/>
  <c r="BO65" i="65"/>
  <c r="BP65" i="65"/>
  <c r="BQ65" i="65"/>
  <c r="BR65" i="65"/>
  <c r="BS65" i="65"/>
  <c r="BT65" i="65"/>
  <c r="BU65" i="65"/>
  <c r="BV65" i="65"/>
  <c r="BW65" i="65"/>
  <c r="BX65" i="65"/>
  <c r="BY65" i="65"/>
  <c r="BZ65" i="65"/>
  <c r="CA65" i="65"/>
  <c r="CB65" i="65"/>
  <c r="CC65" i="65"/>
  <c r="CD65" i="65"/>
  <c r="CE65" i="65"/>
  <c r="CF65" i="65"/>
  <c r="CG65" i="65"/>
  <c r="CH65" i="65"/>
  <c r="CI65" i="65"/>
  <c r="F66" i="65"/>
  <c r="G66" i="65"/>
  <c r="H66" i="65"/>
  <c r="I66" i="65"/>
  <c r="J66" i="65"/>
  <c r="K66" i="65"/>
  <c r="L66" i="65"/>
  <c r="M66" i="65"/>
  <c r="N66" i="65"/>
  <c r="O66" i="65"/>
  <c r="P66" i="65"/>
  <c r="Q66" i="65"/>
  <c r="R66" i="65"/>
  <c r="S66" i="65"/>
  <c r="T66" i="65"/>
  <c r="U66" i="65"/>
  <c r="V66" i="65"/>
  <c r="W66" i="65"/>
  <c r="X66" i="65"/>
  <c r="Y66" i="65"/>
  <c r="Z66" i="65"/>
  <c r="AA66" i="65"/>
  <c r="AB66" i="65"/>
  <c r="AC66" i="65"/>
  <c r="AD66" i="65"/>
  <c r="AE66" i="65"/>
  <c r="AF66" i="65"/>
  <c r="AG66" i="65"/>
  <c r="AH66" i="65"/>
  <c r="AI66" i="65"/>
  <c r="AJ66" i="65"/>
  <c r="AK66" i="65"/>
  <c r="AL66" i="65"/>
  <c r="AM66" i="65"/>
  <c r="AN66" i="65"/>
  <c r="AO66" i="65"/>
  <c r="AP66" i="65"/>
  <c r="AQ66" i="65"/>
  <c r="AR66" i="65"/>
  <c r="AS66" i="65"/>
  <c r="AT66" i="65"/>
  <c r="AU66" i="65"/>
  <c r="AV66" i="65"/>
  <c r="AW66" i="65"/>
  <c r="AX66" i="65"/>
  <c r="AY66" i="65"/>
  <c r="AZ66" i="65"/>
  <c r="BB66" i="65"/>
  <c r="BC66" i="65"/>
  <c r="BD66" i="65"/>
  <c r="BE66" i="65"/>
  <c r="BF66" i="65"/>
  <c r="BG66" i="65"/>
  <c r="BH66" i="65"/>
  <c r="BI66" i="65"/>
  <c r="BJ66" i="65"/>
  <c r="BK66" i="65"/>
  <c r="BL66" i="65"/>
  <c r="BM66" i="65"/>
  <c r="BN66" i="65"/>
  <c r="BO66" i="65"/>
  <c r="BP66" i="65"/>
  <c r="BQ66" i="65"/>
  <c r="BR66" i="65"/>
  <c r="BS66" i="65"/>
  <c r="BT66" i="65"/>
  <c r="BU66" i="65"/>
  <c r="BV66" i="65"/>
  <c r="BW66" i="65"/>
  <c r="BX66" i="65"/>
  <c r="BY66" i="65"/>
  <c r="BZ66" i="65"/>
  <c r="CA66" i="65"/>
  <c r="CB66" i="65"/>
  <c r="CC66" i="65"/>
  <c r="CD66" i="65"/>
  <c r="CE66" i="65"/>
  <c r="CF66" i="65"/>
  <c r="CG66" i="65"/>
  <c r="CH66" i="65"/>
  <c r="CI66" i="65"/>
  <c r="F67" i="65"/>
  <c r="G67" i="65"/>
  <c r="H67" i="65"/>
  <c r="I67" i="65"/>
  <c r="J67" i="65"/>
  <c r="K67" i="65"/>
  <c r="L67" i="65"/>
  <c r="M67" i="65"/>
  <c r="N67" i="65"/>
  <c r="O67" i="65"/>
  <c r="P67" i="65"/>
  <c r="Q67" i="65"/>
  <c r="R67" i="65"/>
  <c r="S67" i="65"/>
  <c r="T67" i="65"/>
  <c r="U67" i="65"/>
  <c r="V67" i="65"/>
  <c r="W67" i="65"/>
  <c r="X67" i="65"/>
  <c r="Y67" i="65"/>
  <c r="Z67" i="65"/>
  <c r="AA67" i="65"/>
  <c r="AB67" i="65"/>
  <c r="AC67" i="65"/>
  <c r="AD67" i="65"/>
  <c r="AE67" i="65"/>
  <c r="AF67" i="65"/>
  <c r="AG67" i="65"/>
  <c r="AH67" i="65"/>
  <c r="AI67" i="65"/>
  <c r="AJ67" i="65"/>
  <c r="AK67" i="65"/>
  <c r="AL67" i="65"/>
  <c r="AM67" i="65"/>
  <c r="AN67" i="65"/>
  <c r="AO67" i="65"/>
  <c r="AP67" i="65"/>
  <c r="AQ67" i="65"/>
  <c r="AR67" i="65"/>
  <c r="AS67" i="65"/>
  <c r="AT67" i="65"/>
  <c r="AU67" i="65"/>
  <c r="AV67" i="65"/>
  <c r="AW67" i="65"/>
  <c r="AX67" i="65"/>
  <c r="AY67" i="65"/>
  <c r="AZ67" i="65"/>
  <c r="BB67" i="65"/>
  <c r="BC67" i="65"/>
  <c r="BD67" i="65"/>
  <c r="BE67" i="65"/>
  <c r="BG67" i="65"/>
  <c r="BH67" i="65"/>
  <c r="BI67" i="65"/>
  <c r="BK67" i="65"/>
  <c r="BL67" i="65"/>
  <c r="BM67" i="65"/>
  <c r="BN67" i="65"/>
  <c r="BO67" i="65"/>
  <c r="BP67" i="65"/>
  <c r="BQ67" i="65"/>
  <c r="BR67" i="65"/>
  <c r="BS67" i="65"/>
  <c r="BT67" i="65"/>
  <c r="BU67" i="65"/>
  <c r="BV67" i="65"/>
  <c r="BW67" i="65"/>
  <c r="BX67" i="65"/>
  <c r="BY67" i="65"/>
  <c r="BZ67" i="65"/>
  <c r="CA67" i="65"/>
  <c r="CB67" i="65"/>
  <c r="CC67" i="65"/>
  <c r="CD67" i="65"/>
  <c r="CE67" i="65"/>
  <c r="CF67" i="65"/>
  <c r="CG67" i="65"/>
  <c r="CH67" i="65"/>
  <c r="CI67" i="65"/>
  <c r="F70" i="65"/>
  <c r="G70" i="65"/>
  <c r="H70" i="65"/>
  <c r="I70" i="65"/>
  <c r="J70" i="65"/>
  <c r="K70" i="65"/>
  <c r="L70" i="65"/>
  <c r="M70" i="65"/>
  <c r="N70" i="65"/>
  <c r="O70" i="65"/>
  <c r="P70" i="65"/>
  <c r="Q70" i="65"/>
  <c r="R70" i="65"/>
  <c r="S70" i="65"/>
  <c r="T70" i="65"/>
  <c r="U70" i="65"/>
  <c r="V70" i="65"/>
  <c r="W70" i="65"/>
  <c r="X70" i="65"/>
  <c r="Y70" i="65"/>
  <c r="Z70" i="65"/>
  <c r="AA70" i="65"/>
  <c r="AB70" i="65"/>
  <c r="AC70" i="65"/>
  <c r="AD70" i="65"/>
  <c r="AE70" i="65"/>
  <c r="AF70" i="65"/>
  <c r="AG70" i="65"/>
  <c r="AH70" i="65"/>
  <c r="AI70" i="65"/>
  <c r="AJ70" i="65"/>
  <c r="AK70" i="65"/>
  <c r="AL70" i="65"/>
  <c r="AM70" i="65"/>
  <c r="AN70" i="65"/>
  <c r="AO70" i="65"/>
  <c r="AP70" i="65"/>
  <c r="AQ70" i="65"/>
  <c r="AR70" i="65"/>
  <c r="AS70" i="65"/>
  <c r="AT70" i="65"/>
  <c r="AU70" i="65"/>
  <c r="AV70" i="65"/>
  <c r="AW70" i="65"/>
  <c r="AX70" i="65"/>
  <c r="AY70" i="65"/>
  <c r="AZ70" i="65"/>
  <c r="BB70" i="65"/>
  <c r="BC70" i="65"/>
  <c r="BD70" i="65"/>
  <c r="BE70" i="65"/>
  <c r="BG70" i="65"/>
  <c r="BH70" i="65"/>
  <c r="BI70" i="65"/>
  <c r="BK70" i="65"/>
  <c r="BL70" i="65"/>
  <c r="BM70" i="65"/>
  <c r="BN70" i="65"/>
  <c r="BO70" i="65"/>
  <c r="BP70" i="65"/>
  <c r="BQ70" i="65"/>
  <c r="BR70" i="65"/>
  <c r="BS70" i="65"/>
  <c r="BT70" i="65"/>
  <c r="BU70" i="65"/>
  <c r="BV70" i="65"/>
  <c r="BW70" i="65"/>
  <c r="BX70" i="65"/>
  <c r="BY70" i="65"/>
  <c r="BZ70" i="65"/>
  <c r="CA70" i="65"/>
  <c r="CB70" i="65"/>
  <c r="CC70" i="65"/>
  <c r="CD70" i="65"/>
  <c r="CE70" i="65"/>
  <c r="CF70" i="65"/>
  <c r="CG70" i="65"/>
  <c r="CH70" i="65"/>
  <c r="CI70" i="65"/>
  <c r="F71" i="65"/>
  <c r="G71" i="65"/>
  <c r="H71" i="65"/>
  <c r="I71" i="65"/>
  <c r="J71" i="65"/>
  <c r="K71" i="65"/>
  <c r="L71" i="65"/>
  <c r="M71" i="65"/>
  <c r="N71" i="65"/>
  <c r="O71" i="65"/>
  <c r="P71" i="65"/>
  <c r="Q71" i="65"/>
  <c r="R71" i="65"/>
  <c r="S71" i="65"/>
  <c r="T71" i="65"/>
  <c r="U71" i="65"/>
  <c r="V71" i="65"/>
  <c r="W71" i="65"/>
  <c r="X71" i="65"/>
  <c r="Y71" i="65"/>
  <c r="Z71" i="65"/>
  <c r="AA71" i="65"/>
  <c r="AB71" i="65"/>
  <c r="AC71" i="65"/>
  <c r="AD71" i="65"/>
  <c r="AE71" i="65"/>
  <c r="AF71" i="65"/>
  <c r="AG71" i="65"/>
  <c r="AH71" i="65"/>
  <c r="AI71" i="65"/>
  <c r="AJ71" i="65"/>
  <c r="AK71" i="65"/>
  <c r="AL71" i="65"/>
  <c r="AM71" i="65"/>
  <c r="AN71" i="65"/>
  <c r="AO71" i="65"/>
  <c r="AP71" i="65"/>
  <c r="AQ71" i="65"/>
  <c r="AR71" i="65"/>
  <c r="AS71" i="65"/>
  <c r="AT71" i="65"/>
  <c r="AU71" i="65"/>
  <c r="AV71" i="65"/>
  <c r="AW71" i="65"/>
  <c r="AX71" i="65"/>
  <c r="AY71" i="65"/>
  <c r="AZ71" i="65"/>
  <c r="BB71" i="65"/>
  <c r="BC71" i="65"/>
  <c r="BD71" i="65"/>
  <c r="BE71" i="65"/>
  <c r="BG71" i="65"/>
  <c r="BH71" i="65"/>
  <c r="BI71" i="65"/>
  <c r="BK71" i="65"/>
  <c r="BL71" i="65"/>
  <c r="BM71" i="65"/>
  <c r="BN71" i="65"/>
  <c r="BO71" i="65"/>
  <c r="BP71" i="65"/>
  <c r="BQ71" i="65"/>
  <c r="BR71" i="65"/>
  <c r="BS71" i="65"/>
  <c r="BT71" i="65"/>
  <c r="BU71" i="65"/>
  <c r="BV71" i="65"/>
  <c r="BW71" i="65"/>
  <c r="BX71" i="65"/>
  <c r="BY71" i="65"/>
  <c r="BZ71" i="65"/>
  <c r="CA71" i="65"/>
  <c r="CB71" i="65"/>
  <c r="CC71" i="65"/>
  <c r="CD71" i="65"/>
  <c r="CE71" i="65"/>
  <c r="CF71" i="65"/>
  <c r="CG71" i="65"/>
  <c r="CH71" i="65"/>
  <c r="CI71" i="65"/>
  <c r="F72" i="65"/>
  <c r="G72" i="65"/>
  <c r="H72" i="65"/>
  <c r="I72" i="65"/>
  <c r="J72" i="65"/>
  <c r="K72" i="65"/>
  <c r="L72" i="65"/>
  <c r="M72" i="65"/>
  <c r="N72" i="65"/>
  <c r="O72" i="65"/>
  <c r="P72" i="65"/>
  <c r="Q72" i="65"/>
  <c r="R72" i="65"/>
  <c r="S72" i="65"/>
  <c r="T72" i="65"/>
  <c r="U72" i="65"/>
  <c r="V72" i="65"/>
  <c r="W72" i="65"/>
  <c r="X72" i="65"/>
  <c r="Y72" i="65"/>
  <c r="Z72" i="65"/>
  <c r="AA72" i="65"/>
  <c r="AB72" i="65"/>
  <c r="AC72" i="65"/>
  <c r="AD72" i="65"/>
  <c r="AE72" i="65"/>
  <c r="AF72" i="65"/>
  <c r="AG72" i="65"/>
  <c r="AH72" i="65"/>
  <c r="AI72" i="65"/>
  <c r="AJ72" i="65"/>
  <c r="AK72" i="65"/>
  <c r="AL72" i="65"/>
  <c r="AM72" i="65"/>
  <c r="AN72" i="65"/>
  <c r="AO72" i="65"/>
  <c r="AP72" i="65"/>
  <c r="AQ72" i="65"/>
  <c r="AR72" i="65"/>
  <c r="AS72" i="65"/>
  <c r="AT72" i="65"/>
  <c r="AU72" i="65"/>
  <c r="AV72" i="65"/>
  <c r="AW72" i="65"/>
  <c r="AX72" i="65"/>
  <c r="AY72" i="65"/>
  <c r="AZ72" i="65"/>
  <c r="BB72" i="65"/>
  <c r="BC72" i="65"/>
  <c r="BD72" i="65"/>
  <c r="BE72" i="65"/>
  <c r="BG72" i="65"/>
  <c r="BH72" i="65"/>
  <c r="BI72" i="65"/>
  <c r="BK72" i="65"/>
  <c r="BL72" i="65"/>
  <c r="BM72" i="65"/>
  <c r="BN72" i="65"/>
  <c r="BO72" i="65"/>
  <c r="BP72" i="65"/>
  <c r="BQ72" i="65"/>
  <c r="BR72" i="65"/>
  <c r="BS72" i="65"/>
  <c r="BT72" i="65"/>
  <c r="BU72" i="65"/>
  <c r="BV72" i="65"/>
  <c r="BW72" i="65"/>
  <c r="BX72" i="65"/>
  <c r="BY72" i="65"/>
  <c r="BZ72" i="65"/>
  <c r="CA72" i="65"/>
  <c r="CB72" i="65"/>
  <c r="CC72" i="65"/>
  <c r="CD72" i="65"/>
  <c r="CE72" i="65"/>
  <c r="CF72" i="65"/>
  <c r="CG72" i="65"/>
  <c r="CH72" i="65"/>
  <c r="CI72" i="65"/>
  <c r="F73" i="65"/>
  <c r="G73" i="65"/>
  <c r="H73" i="65"/>
  <c r="I73" i="65"/>
  <c r="J73" i="65"/>
  <c r="K73" i="65"/>
  <c r="L73" i="65"/>
  <c r="M73" i="65"/>
  <c r="N73" i="65"/>
  <c r="O73" i="65"/>
  <c r="P73" i="65"/>
  <c r="Q73" i="65"/>
  <c r="R73" i="65"/>
  <c r="S73" i="65"/>
  <c r="T73" i="65"/>
  <c r="U73" i="65"/>
  <c r="V73" i="65"/>
  <c r="W73" i="65"/>
  <c r="X73" i="65"/>
  <c r="Y73" i="65"/>
  <c r="Z73" i="65"/>
  <c r="AA73" i="65"/>
  <c r="AB73" i="65"/>
  <c r="AC73" i="65"/>
  <c r="AD73" i="65"/>
  <c r="AE73" i="65"/>
  <c r="AF73" i="65"/>
  <c r="AG73" i="65"/>
  <c r="AH73" i="65"/>
  <c r="AI73" i="65"/>
  <c r="AJ73" i="65"/>
  <c r="AK73" i="65"/>
  <c r="AL73" i="65"/>
  <c r="AM73" i="65"/>
  <c r="AN73" i="65"/>
  <c r="AO73" i="65"/>
  <c r="AP73" i="65"/>
  <c r="AQ73" i="65"/>
  <c r="AR73" i="65"/>
  <c r="AS73" i="65"/>
  <c r="AT73" i="65"/>
  <c r="AU73" i="65"/>
  <c r="AV73" i="65"/>
  <c r="AW73" i="65"/>
  <c r="AX73" i="65"/>
  <c r="AY73" i="65"/>
  <c r="AZ73" i="65"/>
  <c r="BB73" i="65"/>
  <c r="BC73" i="65"/>
  <c r="BD73" i="65"/>
  <c r="BE73" i="65"/>
  <c r="BG73" i="65"/>
  <c r="BH73" i="65"/>
  <c r="BI73" i="65"/>
  <c r="BK73" i="65"/>
  <c r="BL73" i="65"/>
  <c r="BM73" i="65"/>
  <c r="BN73" i="65"/>
  <c r="BO73" i="65"/>
  <c r="BP73" i="65"/>
  <c r="BQ73" i="65"/>
  <c r="BR73" i="65"/>
  <c r="BS73" i="65"/>
  <c r="BT73" i="65"/>
  <c r="BU73" i="65"/>
  <c r="BV73" i="65"/>
  <c r="BW73" i="65"/>
  <c r="BX73" i="65"/>
  <c r="BY73" i="65"/>
  <c r="BZ73" i="65"/>
  <c r="CA73" i="65"/>
  <c r="CB73" i="65"/>
  <c r="CC73" i="65"/>
  <c r="CD73" i="65"/>
  <c r="CE73" i="65"/>
  <c r="CF73" i="65"/>
  <c r="CG73" i="65"/>
  <c r="CH73" i="65"/>
  <c r="CI73" i="65"/>
  <c r="F74" i="65"/>
  <c r="G74" i="65"/>
  <c r="H74" i="65"/>
  <c r="I74" i="65"/>
  <c r="J74" i="65"/>
  <c r="K74" i="65"/>
  <c r="L74" i="65"/>
  <c r="M74" i="65"/>
  <c r="N74" i="65"/>
  <c r="O74" i="65"/>
  <c r="P74" i="65"/>
  <c r="Q74" i="65"/>
  <c r="R74" i="65"/>
  <c r="S74" i="65"/>
  <c r="T74" i="65"/>
  <c r="U74" i="65"/>
  <c r="V74" i="65"/>
  <c r="W74" i="65"/>
  <c r="X74" i="65"/>
  <c r="Y74" i="65"/>
  <c r="Z74" i="65"/>
  <c r="AA74" i="65"/>
  <c r="AB74" i="65"/>
  <c r="AC74" i="65"/>
  <c r="AD74" i="65"/>
  <c r="AE74" i="65"/>
  <c r="AF74" i="65"/>
  <c r="AG74" i="65"/>
  <c r="AH74" i="65"/>
  <c r="AI74" i="65"/>
  <c r="AJ74" i="65"/>
  <c r="AK74" i="65"/>
  <c r="AL74" i="65"/>
  <c r="AM74" i="65"/>
  <c r="AN74" i="65"/>
  <c r="AO74" i="65"/>
  <c r="AP74" i="65"/>
  <c r="AQ74" i="65"/>
  <c r="AR74" i="65"/>
  <c r="AS74" i="65"/>
  <c r="AT74" i="65"/>
  <c r="AU74" i="65"/>
  <c r="AV74" i="65"/>
  <c r="AW74" i="65"/>
  <c r="AX74" i="65"/>
  <c r="AY74" i="65"/>
  <c r="AZ74" i="65"/>
  <c r="BA74" i="65"/>
  <c r="BB74" i="65"/>
  <c r="BC74" i="65"/>
  <c r="BD74" i="65"/>
  <c r="BE74" i="65"/>
  <c r="BF74" i="65"/>
  <c r="BG74" i="65"/>
  <c r="BH74" i="65"/>
  <c r="BI74" i="65"/>
  <c r="BJ74" i="65"/>
  <c r="BK74" i="65"/>
  <c r="BL74" i="65"/>
  <c r="BM74" i="65"/>
  <c r="BN74" i="65"/>
  <c r="BO74" i="65"/>
  <c r="BP74" i="65"/>
  <c r="BQ74" i="65"/>
  <c r="BR74" i="65"/>
  <c r="BS74" i="65"/>
  <c r="BT74" i="65"/>
  <c r="BU74" i="65"/>
  <c r="BV74" i="65"/>
  <c r="BW74" i="65"/>
  <c r="BX74" i="65"/>
  <c r="BY74" i="65"/>
  <c r="BZ74" i="65"/>
  <c r="CA74" i="65"/>
  <c r="CB74" i="65"/>
  <c r="CC74" i="65"/>
  <c r="CD74" i="65"/>
  <c r="CE74" i="65"/>
  <c r="CF74" i="65"/>
  <c r="CG74" i="65"/>
  <c r="CH74" i="65"/>
  <c r="CI74" i="65"/>
  <c r="F75" i="65"/>
  <c r="G75" i="65"/>
  <c r="H75" i="65"/>
  <c r="I75" i="65"/>
  <c r="J75" i="65"/>
  <c r="K75" i="65"/>
  <c r="L75" i="65"/>
  <c r="M75" i="65"/>
  <c r="N75" i="65"/>
  <c r="O75" i="65"/>
  <c r="P75" i="65"/>
  <c r="Q75" i="65"/>
  <c r="R75" i="65"/>
  <c r="S75" i="65"/>
  <c r="T75" i="65"/>
  <c r="U75" i="65"/>
  <c r="V75" i="65"/>
  <c r="W75" i="65"/>
  <c r="X75" i="65"/>
  <c r="Y75" i="65"/>
  <c r="Z75" i="65"/>
  <c r="AA75" i="65"/>
  <c r="AB75" i="65"/>
  <c r="AC75" i="65"/>
  <c r="AD75" i="65"/>
  <c r="AE75" i="65"/>
  <c r="AF75" i="65"/>
  <c r="AG75" i="65"/>
  <c r="AH75" i="65"/>
  <c r="AI75" i="65"/>
  <c r="AJ75" i="65"/>
  <c r="AK75" i="65"/>
  <c r="AL75" i="65"/>
  <c r="AM75" i="65"/>
  <c r="AN75" i="65"/>
  <c r="AO75" i="65"/>
  <c r="AP75" i="65"/>
  <c r="AQ75" i="65"/>
  <c r="AR75" i="65"/>
  <c r="AS75" i="65"/>
  <c r="AT75" i="65"/>
  <c r="AU75" i="65"/>
  <c r="AV75" i="65"/>
  <c r="AW75" i="65"/>
  <c r="AX75" i="65"/>
  <c r="AY75" i="65"/>
  <c r="AZ75" i="65"/>
  <c r="BA75" i="65"/>
  <c r="BB75" i="65"/>
  <c r="BC75" i="65"/>
  <c r="BD75" i="65"/>
  <c r="BE75" i="65"/>
  <c r="BF75" i="65"/>
  <c r="BG75" i="65"/>
  <c r="BH75" i="65"/>
  <c r="BI75" i="65"/>
  <c r="BJ75" i="65"/>
  <c r="BK75" i="65"/>
  <c r="BL75" i="65"/>
  <c r="BM75" i="65"/>
  <c r="BN75" i="65"/>
  <c r="BO75" i="65"/>
  <c r="BP75" i="65"/>
  <c r="BQ75" i="65"/>
  <c r="BR75" i="65"/>
  <c r="BS75" i="65"/>
  <c r="BT75" i="65"/>
  <c r="BU75" i="65"/>
  <c r="BV75" i="65"/>
  <c r="BW75" i="65"/>
  <c r="BX75" i="65"/>
  <c r="BY75" i="65"/>
  <c r="BZ75" i="65"/>
  <c r="CA75" i="65"/>
  <c r="CB75" i="65"/>
  <c r="CC75" i="65"/>
  <c r="CD75" i="65"/>
  <c r="CE75" i="65"/>
  <c r="CF75" i="65"/>
  <c r="CG75" i="65"/>
  <c r="CH75" i="65"/>
  <c r="CI75" i="65"/>
  <c r="F76" i="65"/>
  <c r="G76" i="65"/>
  <c r="H76" i="65"/>
  <c r="I76" i="65"/>
  <c r="J76" i="65"/>
  <c r="K76" i="65"/>
  <c r="L76" i="65"/>
  <c r="M76" i="65"/>
  <c r="N76" i="65"/>
  <c r="O76" i="65"/>
  <c r="P76" i="65"/>
  <c r="Q76" i="65"/>
  <c r="R76" i="65"/>
  <c r="S76" i="65"/>
  <c r="T76" i="65"/>
  <c r="U76" i="65"/>
  <c r="V76" i="65"/>
  <c r="W76" i="65"/>
  <c r="X76" i="65"/>
  <c r="Y76" i="65"/>
  <c r="Z76" i="65"/>
  <c r="AA76" i="65"/>
  <c r="AB76" i="65"/>
  <c r="AC76" i="65"/>
  <c r="AD76" i="65"/>
  <c r="AE76" i="65"/>
  <c r="AF76" i="65"/>
  <c r="AG76" i="65"/>
  <c r="AH76" i="65"/>
  <c r="AI76" i="65"/>
  <c r="AJ76" i="65"/>
  <c r="AK76" i="65"/>
  <c r="AL76" i="65"/>
  <c r="AM76" i="65"/>
  <c r="AN76" i="65"/>
  <c r="AO76" i="65"/>
  <c r="AP76" i="65"/>
  <c r="AQ76" i="65"/>
  <c r="AR76" i="65"/>
  <c r="AS76" i="65"/>
  <c r="AT76" i="65"/>
  <c r="AU76" i="65"/>
  <c r="AV76" i="65"/>
  <c r="AW76" i="65"/>
  <c r="AX76" i="65"/>
  <c r="AY76" i="65"/>
  <c r="AZ76" i="65"/>
  <c r="BA76" i="65"/>
  <c r="BB76" i="65"/>
  <c r="BC76" i="65"/>
  <c r="BD76" i="65"/>
  <c r="BE76" i="65"/>
  <c r="BF76" i="65"/>
  <c r="BG76" i="65"/>
  <c r="BH76" i="65"/>
  <c r="BI76" i="65"/>
  <c r="BJ76" i="65"/>
  <c r="BK76" i="65"/>
  <c r="BL76" i="65"/>
  <c r="BM76" i="65"/>
  <c r="BN76" i="65"/>
  <c r="BO76" i="65"/>
  <c r="BP76" i="65"/>
  <c r="BQ76" i="65"/>
  <c r="BR76" i="65"/>
  <c r="BS76" i="65"/>
  <c r="BT76" i="65"/>
  <c r="BU76" i="65"/>
  <c r="BV76" i="65"/>
  <c r="BW76" i="65"/>
  <c r="BX76" i="65"/>
  <c r="BY76" i="65"/>
  <c r="BZ76" i="65"/>
  <c r="CA76" i="65"/>
  <c r="CB76" i="65"/>
  <c r="CC76" i="65"/>
  <c r="CD76" i="65"/>
  <c r="CE76" i="65"/>
  <c r="CF76" i="65"/>
  <c r="CG76" i="65"/>
  <c r="CH76" i="65"/>
  <c r="CI76" i="65"/>
  <c r="F77" i="65"/>
  <c r="G77" i="65"/>
  <c r="H77" i="65"/>
  <c r="I77" i="65"/>
  <c r="J77" i="65"/>
  <c r="K77" i="65"/>
  <c r="L77" i="65"/>
  <c r="M77" i="65"/>
  <c r="N77" i="65"/>
  <c r="O77" i="65"/>
  <c r="P77" i="65"/>
  <c r="Q77" i="65"/>
  <c r="R77" i="65"/>
  <c r="S77" i="65"/>
  <c r="T77" i="65"/>
  <c r="U77" i="65"/>
  <c r="V77" i="65"/>
  <c r="W77" i="65"/>
  <c r="X77" i="65"/>
  <c r="Y77" i="65"/>
  <c r="Z77" i="65"/>
  <c r="AA77" i="65"/>
  <c r="AB77" i="65"/>
  <c r="AC77" i="65"/>
  <c r="AD77" i="65"/>
  <c r="AE77" i="65"/>
  <c r="AF77" i="65"/>
  <c r="AG77" i="65"/>
  <c r="AH77" i="65"/>
  <c r="AI77" i="65"/>
  <c r="AJ77" i="65"/>
  <c r="AK77" i="65"/>
  <c r="AL77" i="65"/>
  <c r="AM77" i="65"/>
  <c r="AN77" i="65"/>
  <c r="AO77" i="65"/>
  <c r="AP77" i="65"/>
  <c r="AQ77" i="65"/>
  <c r="AR77" i="65"/>
  <c r="AS77" i="65"/>
  <c r="AT77" i="65"/>
  <c r="AU77" i="65"/>
  <c r="AV77" i="65"/>
  <c r="AW77" i="65"/>
  <c r="AX77" i="65"/>
  <c r="AY77" i="65"/>
  <c r="AZ77" i="65"/>
  <c r="BA77" i="65"/>
  <c r="BB77" i="65"/>
  <c r="BC77" i="65"/>
  <c r="BD77" i="65"/>
  <c r="BE77" i="65"/>
  <c r="BF77" i="65"/>
  <c r="BG77" i="65"/>
  <c r="BH77" i="65"/>
  <c r="BI77" i="65"/>
  <c r="BJ77" i="65"/>
  <c r="BK77" i="65"/>
  <c r="BL77" i="65"/>
  <c r="BM77" i="65"/>
  <c r="BN77" i="65"/>
  <c r="BO77" i="65"/>
  <c r="BP77" i="65"/>
  <c r="BQ77" i="65"/>
  <c r="BR77" i="65"/>
  <c r="BS77" i="65"/>
  <c r="BT77" i="65"/>
  <c r="BU77" i="65"/>
  <c r="BV77" i="65"/>
  <c r="BW77" i="65"/>
  <c r="BX77" i="65"/>
  <c r="BY77" i="65"/>
  <c r="BZ77" i="65"/>
  <c r="CA77" i="65"/>
  <c r="CB77" i="65"/>
  <c r="CC77" i="65"/>
  <c r="CD77" i="65"/>
  <c r="CE77" i="65"/>
  <c r="CF77" i="65"/>
  <c r="CG77" i="65"/>
  <c r="CH77" i="65"/>
  <c r="CI77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R78" i="65"/>
  <c r="S78" i="65"/>
  <c r="T78" i="65"/>
  <c r="U78" i="65"/>
  <c r="V78" i="65"/>
  <c r="W78" i="65"/>
  <c r="X78" i="65"/>
  <c r="Y78" i="65"/>
  <c r="Z78" i="65"/>
  <c r="AA78" i="65"/>
  <c r="AB78" i="65"/>
  <c r="AC78" i="65"/>
  <c r="AD78" i="65"/>
  <c r="AE78" i="65"/>
  <c r="AF78" i="65"/>
  <c r="AG78" i="65"/>
  <c r="AH78" i="65"/>
  <c r="AI78" i="65"/>
  <c r="AJ78" i="65"/>
  <c r="AK78" i="65"/>
  <c r="AL78" i="65"/>
  <c r="AM78" i="65"/>
  <c r="AN78" i="65"/>
  <c r="AO78" i="65"/>
  <c r="AP78" i="65"/>
  <c r="AQ78" i="65"/>
  <c r="AR78" i="65"/>
  <c r="AS78" i="65"/>
  <c r="AT78" i="65"/>
  <c r="AU78" i="65"/>
  <c r="AV78" i="65"/>
  <c r="AW78" i="65"/>
  <c r="AX78" i="65"/>
  <c r="AY78" i="65"/>
  <c r="AZ78" i="65"/>
  <c r="BA78" i="65"/>
  <c r="BB78" i="65"/>
  <c r="BC78" i="65"/>
  <c r="BD78" i="65"/>
  <c r="BE78" i="65"/>
  <c r="BF78" i="65"/>
  <c r="BG78" i="65"/>
  <c r="BH78" i="65"/>
  <c r="BI78" i="65"/>
  <c r="BJ78" i="65"/>
  <c r="BK78" i="65"/>
  <c r="BL78" i="65"/>
  <c r="BM78" i="65"/>
  <c r="BN78" i="65"/>
  <c r="BO78" i="65"/>
  <c r="BP78" i="65"/>
  <c r="BQ78" i="65"/>
  <c r="BR78" i="65"/>
  <c r="BS78" i="65"/>
  <c r="BT78" i="65"/>
  <c r="BU78" i="65"/>
  <c r="BV78" i="65"/>
  <c r="BW78" i="65"/>
  <c r="BX78" i="65"/>
  <c r="BY78" i="65"/>
  <c r="BZ78" i="65"/>
  <c r="CA78" i="65"/>
  <c r="CB78" i="65"/>
  <c r="CC78" i="65"/>
  <c r="CD78" i="65"/>
  <c r="CE78" i="65"/>
  <c r="CF78" i="65"/>
  <c r="CG78" i="65"/>
  <c r="CH78" i="65"/>
  <c r="CI78" i="65"/>
  <c r="F79" i="65"/>
  <c r="G79" i="65"/>
  <c r="H79" i="65"/>
  <c r="I79" i="65"/>
  <c r="J79" i="65"/>
  <c r="K79" i="65"/>
  <c r="L79" i="65"/>
  <c r="M79" i="65"/>
  <c r="N79" i="65"/>
  <c r="O79" i="65"/>
  <c r="P79" i="65"/>
  <c r="Q79" i="65"/>
  <c r="R79" i="65"/>
  <c r="S79" i="65"/>
  <c r="T79" i="65"/>
  <c r="U79" i="65"/>
  <c r="V79" i="65"/>
  <c r="W79" i="65"/>
  <c r="X79" i="65"/>
  <c r="Y79" i="65"/>
  <c r="Z79" i="65"/>
  <c r="AA79" i="65"/>
  <c r="AB79" i="65"/>
  <c r="AC79" i="65"/>
  <c r="AD79" i="65"/>
  <c r="AE79" i="65"/>
  <c r="AF79" i="65"/>
  <c r="AG79" i="65"/>
  <c r="AH79" i="65"/>
  <c r="AI79" i="65"/>
  <c r="AJ79" i="65"/>
  <c r="AK79" i="65"/>
  <c r="AL79" i="65"/>
  <c r="AM79" i="65"/>
  <c r="AN79" i="65"/>
  <c r="AO79" i="65"/>
  <c r="AP79" i="65"/>
  <c r="AQ79" i="65"/>
  <c r="AR79" i="65"/>
  <c r="AS79" i="65"/>
  <c r="AT79" i="65"/>
  <c r="AU79" i="65"/>
  <c r="AV79" i="65"/>
  <c r="AW79" i="65"/>
  <c r="AX79" i="65"/>
  <c r="AY79" i="65"/>
  <c r="AZ79" i="65"/>
  <c r="BA79" i="65"/>
  <c r="BB79" i="65"/>
  <c r="BC79" i="65"/>
  <c r="BD79" i="65"/>
  <c r="BE79" i="65"/>
  <c r="BF79" i="65"/>
  <c r="BG79" i="65"/>
  <c r="BH79" i="65"/>
  <c r="BI79" i="65"/>
  <c r="BJ79" i="65"/>
  <c r="BK79" i="65"/>
  <c r="BL79" i="65"/>
  <c r="BM79" i="65"/>
  <c r="BN79" i="65"/>
  <c r="BO79" i="65"/>
  <c r="BP79" i="65"/>
  <c r="BQ79" i="65"/>
  <c r="BR79" i="65"/>
  <c r="BS79" i="65"/>
  <c r="BT79" i="65"/>
  <c r="BU79" i="65"/>
  <c r="BV79" i="65"/>
  <c r="BW79" i="65"/>
  <c r="BX79" i="65"/>
  <c r="BY79" i="65"/>
  <c r="BZ79" i="65"/>
  <c r="CA79" i="65"/>
  <c r="CB79" i="65"/>
  <c r="CC79" i="65"/>
  <c r="CD79" i="65"/>
  <c r="CE79" i="65"/>
  <c r="CF79" i="65"/>
  <c r="CG79" i="65"/>
  <c r="CH79" i="65"/>
  <c r="CI79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R80" i="65"/>
  <c r="S80" i="65"/>
  <c r="T80" i="65"/>
  <c r="U80" i="65"/>
  <c r="V80" i="65"/>
  <c r="W80" i="65"/>
  <c r="X80" i="65"/>
  <c r="Y80" i="65"/>
  <c r="Z80" i="65"/>
  <c r="AA80" i="65"/>
  <c r="AB80" i="65"/>
  <c r="AC80" i="65"/>
  <c r="AD80" i="65"/>
  <c r="AE80" i="65"/>
  <c r="AF80" i="65"/>
  <c r="AG80" i="65"/>
  <c r="AH80" i="65"/>
  <c r="AI80" i="65"/>
  <c r="AJ80" i="65"/>
  <c r="AK80" i="65"/>
  <c r="AL80" i="65"/>
  <c r="AM80" i="65"/>
  <c r="AN80" i="65"/>
  <c r="AO80" i="65"/>
  <c r="AP80" i="65"/>
  <c r="AQ80" i="65"/>
  <c r="AR80" i="65"/>
  <c r="AS80" i="65"/>
  <c r="AT80" i="65"/>
  <c r="AU80" i="65"/>
  <c r="AV80" i="65"/>
  <c r="AW80" i="65"/>
  <c r="AX80" i="65"/>
  <c r="AY80" i="65"/>
  <c r="AZ80" i="65"/>
  <c r="BA80" i="65"/>
  <c r="BB80" i="65"/>
  <c r="BC80" i="65"/>
  <c r="BD80" i="65"/>
  <c r="BE80" i="65"/>
  <c r="BF80" i="65"/>
  <c r="BG80" i="65"/>
  <c r="BH80" i="65"/>
  <c r="BI80" i="65"/>
  <c r="BJ80" i="65"/>
  <c r="BK80" i="65"/>
  <c r="BL80" i="65"/>
  <c r="BM80" i="65"/>
  <c r="BN80" i="65"/>
  <c r="BO80" i="65"/>
  <c r="BP80" i="65"/>
  <c r="BQ80" i="65"/>
  <c r="BR80" i="65"/>
  <c r="BS80" i="65"/>
  <c r="BT80" i="65"/>
  <c r="BU80" i="65"/>
  <c r="BV80" i="65"/>
  <c r="BW80" i="65"/>
  <c r="BX80" i="65"/>
  <c r="BY80" i="65"/>
  <c r="BZ80" i="65"/>
  <c r="CA80" i="65"/>
  <c r="CB80" i="65"/>
  <c r="CC80" i="65"/>
  <c r="CD80" i="65"/>
  <c r="CE80" i="65"/>
  <c r="CF80" i="65"/>
  <c r="CG80" i="65"/>
  <c r="CH80" i="65"/>
  <c r="CI80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R81" i="65"/>
  <c r="S81" i="65"/>
  <c r="T81" i="65"/>
  <c r="U81" i="65"/>
  <c r="V81" i="65"/>
  <c r="W81" i="65"/>
  <c r="X81" i="65"/>
  <c r="Y81" i="65"/>
  <c r="Z81" i="65"/>
  <c r="AA81" i="65"/>
  <c r="AB81" i="65"/>
  <c r="AC81" i="65"/>
  <c r="AD81" i="65"/>
  <c r="AE81" i="65"/>
  <c r="AF81" i="65"/>
  <c r="AG81" i="65"/>
  <c r="AH81" i="65"/>
  <c r="AI81" i="65"/>
  <c r="AJ81" i="65"/>
  <c r="AK81" i="65"/>
  <c r="AL81" i="65"/>
  <c r="AM81" i="65"/>
  <c r="AN81" i="65"/>
  <c r="AO81" i="65"/>
  <c r="AP81" i="65"/>
  <c r="AQ81" i="65"/>
  <c r="AR81" i="65"/>
  <c r="AS81" i="65"/>
  <c r="AT81" i="65"/>
  <c r="AU81" i="65"/>
  <c r="AV81" i="65"/>
  <c r="AW81" i="65"/>
  <c r="AX81" i="65"/>
  <c r="AY81" i="65"/>
  <c r="AZ81" i="65"/>
  <c r="BA81" i="65"/>
  <c r="BB81" i="65"/>
  <c r="BC81" i="65"/>
  <c r="BD81" i="65"/>
  <c r="BE81" i="65"/>
  <c r="BF81" i="65"/>
  <c r="BG81" i="65"/>
  <c r="BH81" i="65"/>
  <c r="BI81" i="65"/>
  <c r="BJ81" i="65"/>
  <c r="BK81" i="65"/>
  <c r="BL81" i="65"/>
  <c r="BM81" i="65"/>
  <c r="BN81" i="65"/>
  <c r="BO81" i="65"/>
  <c r="BP81" i="65"/>
  <c r="BQ81" i="65"/>
  <c r="BR81" i="65"/>
  <c r="BS81" i="65"/>
  <c r="BT81" i="65"/>
  <c r="BU81" i="65"/>
  <c r="BV81" i="65"/>
  <c r="BW81" i="65"/>
  <c r="BX81" i="65"/>
  <c r="BY81" i="65"/>
  <c r="BZ81" i="65"/>
  <c r="CA81" i="65"/>
  <c r="CB81" i="65"/>
  <c r="CC81" i="65"/>
  <c r="CD81" i="65"/>
  <c r="CE81" i="65"/>
  <c r="CF81" i="65"/>
  <c r="CG81" i="65"/>
  <c r="CH81" i="65"/>
  <c r="CI81" i="65"/>
  <c r="F82" i="65"/>
  <c r="G82" i="65"/>
  <c r="H82" i="65"/>
  <c r="I82" i="65"/>
  <c r="J82" i="65"/>
  <c r="K82" i="65"/>
  <c r="L82" i="65"/>
  <c r="M82" i="65"/>
  <c r="N82" i="65"/>
  <c r="O82" i="65"/>
  <c r="P82" i="65"/>
  <c r="Q82" i="65"/>
  <c r="R82" i="65"/>
  <c r="S82" i="65"/>
  <c r="T82" i="65"/>
  <c r="U82" i="65"/>
  <c r="V82" i="65"/>
  <c r="W82" i="65"/>
  <c r="X82" i="65"/>
  <c r="Y82" i="65"/>
  <c r="Z82" i="65"/>
  <c r="AA82" i="65"/>
  <c r="AB82" i="65"/>
  <c r="AC82" i="65"/>
  <c r="AD82" i="65"/>
  <c r="AE82" i="65"/>
  <c r="AF82" i="65"/>
  <c r="AG82" i="65"/>
  <c r="AH82" i="65"/>
  <c r="AI82" i="65"/>
  <c r="AJ82" i="65"/>
  <c r="AK82" i="65"/>
  <c r="AL82" i="65"/>
  <c r="AM82" i="65"/>
  <c r="AN82" i="65"/>
  <c r="AO82" i="65"/>
  <c r="AP82" i="65"/>
  <c r="AQ82" i="65"/>
  <c r="AR82" i="65"/>
  <c r="AS82" i="65"/>
  <c r="AT82" i="65"/>
  <c r="AU82" i="65"/>
  <c r="AV82" i="65"/>
  <c r="AW82" i="65"/>
  <c r="AX82" i="65"/>
  <c r="AY82" i="65"/>
  <c r="AZ82" i="65"/>
  <c r="BA82" i="65"/>
  <c r="BB82" i="65"/>
  <c r="BC82" i="65"/>
  <c r="BD82" i="65"/>
  <c r="BE82" i="65"/>
  <c r="BF82" i="65"/>
  <c r="BG82" i="65"/>
  <c r="BH82" i="65"/>
  <c r="BI82" i="65"/>
  <c r="BJ82" i="65"/>
  <c r="BK82" i="65"/>
  <c r="BL82" i="65"/>
  <c r="BM82" i="65"/>
  <c r="BN82" i="65"/>
  <c r="BO82" i="65"/>
  <c r="BP82" i="65"/>
  <c r="BQ82" i="65"/>
  <c r="BR82" i="65"/>
  <c r="BS82" i="65"/>
  <c r="BT82" i="65"/>
  <c r="BU82" i="65"/>
  <c r="BV82" i="65"/>
  <c r="BW82" i="65"/>
  <c r="BX82" i="65"/>
  <c r="BY82" i="65"/>
  <c r="BZ82" i="65"/>
  <c r="CA82" i="65"/>
  <c r="CB82" i="65"/>
  <c r="CC82" i="65"/>
  <c r="CD82" i="65"/>
  <c r="CE82" i="65"/>
  <c r="CF82" i="65"/>
  <c r="CG82" i="65"/>
  <c r="CH82" i="65"/>
  <c r="CI82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R83" i="65"/>
  <c r="S83" i="65"/>
  <c r="T83" i="65"/>
  <c r="U83" i="65"/>
  <c r="V83" i="65"/>
  <c r="W83" i="65"/>
  <c r="X83" i="65"/>
  <c r="Y83" i="65"/>
  <c r="Z83" i="65"/>
  <c r="AA83" i="65"/>
  <c r="AB83" i="65"/>
  <c r="AC83" i="65"/>
  <c r="AD83" i="65"/>
  <c r="AE83" i="65"/>
  <c r="AF83" i="65"/>
  <c r="AG83" i="65"/>
  <c r="AH83" i="65"/>
  <c r="AI83" i="65"/>
  <c r="AJ83" i="65"/>
  <c r="AK83" i="65"/>
  <c r="AL83" i="65"/>
  <c r="AM83" i="65"/>
  <c r="AN83" i="65"/>
  <c r="AO83" i="65"/>
  <c r="AP83" i="65"/>
  <c r="AQ83" i="65"/>
  <c r="AR83" i="65"/>
  <c r="AS83" i="65"/>
  <c r="AT83" i="65"/>
  <c r="AU83" i="65"/>
  <c r="AV83" i="65"/>
  <c r="AW83" i="65"/>
  <c r="AX83" i="65"/>
  <c r="AY83" i="65"/>
  <c r="AZ83" i="65"/>
  <c r="BA83" i="65"/>
  <c r="BB83" i="65"/>
  <c r="BC83" i="65"/>
  <c r="BD83" i="65"/>
  <c r="BE83" i="65"/>
  <c r="BF83" i="65"/>
  <c r="BG83" i="65"/>
  <c r="BH83" i="65"/>
  <c r="BI83" i="65"/>
  <c r="BJ83" i="65"/>
  <c r="BK83" i="65"/>
  <c r="BL83" i="65"/>
  <c r="BM83" i="65"/>
  <c r="BN83" i="65"/>
  <c r="BO83" i="65"/>
  <c r="BP83" i="65"/>
  <c r="BQ83" i="65"/>
  <c r="BR83" i="65"/>
  <c r="BS83" i="65"/>
  <c r="BT83" i="65"/>
  <c r="BU83" i="65"/>
  <c r="BV83" i="65"/>
  <c r="BW83" i="65"/>
  <c r="BX83" i="65"/>
  <c r="BY83" i="65"/>
  <c r="BZ83" i="65"/>
  <c r="CA83" i="65"/>
  <c r="CB83" i="65"/>
  <c r="CC83" i="65"/>
  <c r="CD83" i="65"/>
  <c r="CE83" i="65"/>
  <c r="CF83" i="65"/>
  <c r="CG83" i="65"/>
  <c r="CH83" i="65"/>
  <c r="CI83" i="65"/>
  <c r="F84" i="65"/>
  <c r="G84" i="65"/>
  <c r="H84" i="65"/>
  <c r="I84" i="65"/>
  <c r="J84" i="65"/>
  <c r="K84" i="65"/>
  <c r="L84" i="65"/>
  <c r="M84" i="65"/>
  <c r="N84" i="65"/>
  <c r="O84" i="65"/>
  <c r="P84" i="65"/>
  <c r="Q84" i="65"/>
  <c r="R84" i="65"/>
  <c r="S84" i="65"/>
  <c r="T84" i="65"/>
  <c r="U84" i="65"/>
  <c r="V84" i="65"/>
  <c r="W84" i="65"/>
  <c r="X84" i="65"/>
  <c r="Y84" i="65"/>
  <c r="Z84" i="65"/>
  <c r="AA84" i="65"/>
  <c r="AB84" i="65"/>
  <c r="AC84" i="65"/>
  <c r="AD84" i="65"/>
  <c r="AE84" i="65"/>
  <c r="AF84" i="65"/>
  <c r="AG84" i="65"/>
  <c r="AH84" i="65"/>
  <c r="AI84" i="65"/>
  <c r="AJ84" i="65"/>
  <c r="AK84" i="65"/>
  <c r="AL84" i="65"/>
  <c r="AM84" i="65"/>
  <c r="AN84" i="65"/>
  <c r="AO84" i="65"/>
  <c r="AP84" i="65"/>
  <c r="AQ84" i="65"/>
  <c r="AR84" i="65"/>
  <c r="AS84" i="65"/>
  <c r="AT84" i="65"/>
  <c r="AU84" i="65"/>
  <c r="AV84" i="65"/>
  <c r="AW84" i="65"/>
  <c r="AX84" i="65"/>
  <c r="AY84" i="65"/>
  <c r="AZ84" i="65"/>
  <c r="BA84" i="65"/>
  <c r="BB84" i="65"/>
  <c r="BC84" i="65"/>
  <c r="BD84" i="65"/>
  <c r="BE84" i="65"/>
  <c r="BF84" i="65"/>
  <c r="BG84" i="65"/>
  <c r="BH84" i="65"/>
  <c r="BI84" i="65"/>
  <c r="BJ84" i="65"/>
  <c r="BK84" i="65"/>
  <c r="BL84" i="65"/>
  <c r="BM84" i="65"/>
  <c r="BN84" i="65"/>
  <c r="BO84" i="65"/>
  <c r="BP84" i="65"/>
  <c r="BQ84" i="65"/>
  <c r="BR84" i="65"/>
  <c r="BS84" i="65"/>
  <c r="BT84" i="65"/>
  <c r="BU84" i="65"/>
  <c r="BV84" i="65"/>
  <c r="BW84" i="65"/>
  <c r="BX84" i="65"/>
  <c r="BY84" i="65"/>
  <c r="BZ84" i="65"/>
  <c r="CA84" i="65"/>
  <c r="CB84" i="65"/>
  <c r="CC84" i="65"/>
  <c r="CD84" i="65"/>
  <c r="CE84" i="65"/>
  <c r="CF84" i="65"/>
  <c r="CG84" i="65"/>
  <c r="CH84" i="65"/>
  <c r="CI84" i="65"/>
  <c r="F85" i="65"/>
  <c r="G85" i="65"/>
  <c r="H85" i="65"/>
  <c r="I85" i="65"/>
  <c r="J85" i="65"/>
  <c r="K85" i="65"/>
  <c r="L85" i="65"/>
  <c r="M85" i="65"/>
  <c r="N85" i="65"/>
  <c r="O85" i="65"/>
  <c r="P85" i="65"/>
  <c r="Q85" i="65"/>
  <c r="R85" i="65"/>
  <c r="S85" i="65"/>
  <c r="T85" i="65"/>
  <c r="U85" i="65"/>
  <c r="V85" i="65"/>
  <c r="W85" i="65"/>
  <c r="X85" i="65"/>
  <c r="Y85" i="65"/>
  <c r="Z85" i="65"/>
  <c r="AA85" i="65"/>
  <c r="AB85" i="65"/>
  <c r="AC85" i="65"/>
  <c r="AD85" i="65"/>
  <c r="AE85" i="65"/>
  <c r="AF85" i="65"/>
  <c r="AG85" i="65"/>
  <c r="AH85" i="65"/>
  <c r="AI85" i="65"/>
  <c r="AJ85" i="65"/>
  <c r="AK85" i="65"/>
  <c r="AL85" i="65"/>
  <c r="AM85" i="65"/>
  <c r="AN85" i="65"/>
  <c r="AO85" i="65"/>
  <c r="AP85" i="65"/>
  <c r="AQ85" i="65"/>
  <c r="AR85" i="65"/>
  <c r="AS85" i="65"/>
  <c r="AT85" i="65"/>
  <c r="AU85" i="65"/>
  <c r="AV85" i="65"/>
  <c r="AW85" i="65"/>
  <c r="AX85" i="65"/>
  <c r="AY85" i="65"/>
  <c r="AZ85" i="65"/>
  <c r="BA85" i="65"/>
  <c r="BB85" i="65"/>
  <c r="BC85" i="65"/>
  <c r="BD85" i="65"/>
  <c r="BE85" i="65"/>
  <c r="BF85" i="65"/>
  <c r="BG85" i="65"/>
  <c r="BH85" i="65"/>
  <c r="BI85" i="65"/>
  <c r="BJ85" i="65"/>
  <c r="BK85" i="65"/>
  <c r="BL85" i="65"/>
  <c r="BM85" i="65"/>
  <c r="BN85" i="65"/>
  <c r="BO85" i="65"/>
  <c r="BP85" i="65"/>
  <c r="BQ85" i="65"/>
  <c r="BR85" i="65"/>
  <c r="BS85" i="65"/>
  <c r="BT85" i="65"/>
  <c r="BU85" i="65"/>
  <c r="BV85" i="65"/>
  <c r="BW85" i="65"/>
  <c r="BX85" i="65"/>
  <c r="BY85" i="65"/>
  <c r="BZ85" i="65"/>
  <c r="CA85" i="65"/>
  <c r="CB85" i="65"/>
  <c r="CC85" i="65"/>
  <c r="CD85" i="65"/>
  <c r="CE85" i="65"/>
  <c r="CF85" i="65"/>
  <c r="CG85" i="65"/>
  <c r="CH85" i="65"/>
  <c r="CI85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R86" i="65"/>
  <c r="S86" i="65"/>
  <c r="T86" i="65"/>
  <c r="U86" i="65"/>
  <c r="V86" i="65"/>
  <c r="W86" i="65"/>
  <c r="X86" i="65"/>
  <c r="Y86" i="65"/>
  <c r="Z86" i="65"/>
  <c r="AA86" i="65"/>
  <c r="AB86" i="65"/>
  <c r="AC86" i="65"/>
  <c r="AD86" i="65"/>
  <c r="AE86" i="65"/>
  <c r="AF86" i="65"/>
  <c r="AG86" i="65"/>
  <c r="AH86" i="65"/>
  <c r="AI86" i="65"/>
  <c r="AJ86" i="65"/>
  <c r="AK86" i="65"/>
  <c r="AL86" i="65"/>
  <c r="AM86" i="65"/>
  <c r="AN86" i="65"/>
  <c r="AO86" i="65"/>
  <c r="AP86" i="65"/>
  <c r="AQ86" i="65"/>
  <c r="AR86" i="65"/>
  <c r="AS86" i="65"/>
  <c r="AT86" i="65"/>
  <c r="AU86" i="65"/>
  <c r="AV86" i="65"/>
  <c r="AW86" i="65"/>
  <c r="AX86" i="65"/>
  <c r="AY86" i="65"/>
  <c r="AZ86" i="65"/>
  <c r="BB86" i="65"/>
  <c r="BC86" i="65"/>
  <c r="BD86" i="65"/>
  <c r="BE86" i="65"/>
  <c r="BG86" i="65"/>
  <c r="BH86" i="65"/>
  <c r="BI86" i="65"/>
  <c r="BK86" i="65"/>
  <c r="BL86" i="65"/>
  <c r="BM86" i="65"/>
  <c r="BN86" i="65"/>
  <c r="BO86" i="65"/>
  <c r="BP86" i="65"/>
  <c r="BQ86" i="65"/>
  <c r="BR86" i="65"/>
  <c r="BS86" i="65"/>
  <c r="BT86" i="65"/>
  <c r="BU86" i="65"/>
  <c r="BV86" i="65"/>
  <c r="BW86" i="65"/>
  <c r="BX86" i="65"/>
  <c r="BY86" i="65"/>
  <c r="BZ86" i="65"/>
  <c r="CA86" i="65"/>
  <c r="CB86" i="65"/>
  <c r="CC86" i="65"/>
  <c r="CD86" i="65"/>
  <c r="CE86" i="65"/>
  <c r="CF86" i="65"/>
  <c r="CG86" i="65"/>
  <c r="CH86" i="65"/>
  <c r="CI86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R87" i="65"/>
  <c r="S87" i="65"/>
  <c r="T87" i="65"/>
  <c r="U87" i="65"/>
  <c r="V87" i="65"/>
  <c r="W87" i="65"/>
  <c r="X87" i="65"/>
  <c r="Y87" i="65"/>
  <c r="Z87" i="65"/>
  <c r="AA87" i="65"/>
  <c r="AB87" i="65"/>
  <c r="AC87" i="65"/>
  <c r="AD87" i="65"/>
  <c r="AE87" i="65"/>
  <c r="AF87" i="65"/>
  <c r="AG87" i="65"/>
  <c r="AH87" i="65"/>
  <c r="AI87" i="65"/>
  <c r="AJ87" i="65"/>
  <c r="AK87" i="65"/>
  <c r="AL87" i="65"/>
  <c r="AM87" i="65"/>
  <c r="AN87" i="65"/>
  <c r="AO87" i="65"/>
  <c r="AP87" i="65"/>
  <c r="AQ87" i="65"/>
  <c r="AR87" i="65"/>
  <c r="AS87" i="65"/>
  <c r="AT87" i="65"/>
  <c r="AU87" i="65"/>
  <c r="AV87" i="65"/>
  <c r="AW87" i="65"/>
  <c r="AX87" i="65"/>
  <c r="AY87" i="65"/>
  <c r="AZ87" i="65"/>
  <c r="BB87" i="65"/>
  <c r="BC87" i="65"/>
  <c r="BD87" i="65"/>
  <c r="BE87" i="65"/>
  <c r="BG87" i="65"/>
  <c r="BH87" i="65"/>
  <c r="BI87" i="65"/>
  <c r="BK87" i="65"/>
  <c r="BL87" i="65"/>
  <c r="BM87" i="65"/>
  <c r="BN87" i="65"/>
  <c r="BO87" i="65"/>
  <c r="BP87" i="65"/>
  <c r="BQ87" i="65"/>
  <c r="BR87" i="65"/>
  <c r="BS87" i="65"/>
  <c r="BT87" i="65"/>
  <c r="BU87" i="65"/>
  <c r="BV87" i="65"/>
  <c r="BW87" i="65"/>
  <c r="BX87" i="65"/>
  <c r="BY87" i="65"/>
  <c r="BZ87" i="65"/>
  <c r="CA87" i="65"/>
  <c r="CB87" i="65"/>
  <c r="CC87" i="65"/>
  <c r="CD87" i="65"/>
  <c r="CE87" i="65"/>
  <c r="CF87" i="65"/>
  <c r="CG87" i="65"/>
  <c r="CH87" i="65"/>
  <c r="CI87" i="65"/>
  <c r="F88" i="65"/>
  <c r="G88" i="65"/>
  <c r="H88" i="65"/>
  <c r="I88" i="65"/>
  <c r="J88" i="65"/>
  <c r="K88" i="65"/>
  <c r="L88" i="65"/>
  <c r="M88" i="65"/>
  <c r="N88" i="65"/>
  <c r="O88" i="65"/>
  <c r="P88" i="65"/>
  <c r="Q88" i="65"/>
  <c r="R88" i="65"/>
  <c r="S88" i="65"/>
  <c r="T88" i="65"/>
  <c r="U88" i="65"/>
  <c r="V88" i="65"/>
  <c r="W88" i="65"/>
  <c r="X88" i="65"/>
  <c r="Y88" i="65"/>
  <c r="Z88" i="65"/>
  <c r="AA88" i="65"/>
  <c r="AB88" i="65"/>
  <c r="AC88" i="65"/>
  <c r="AD88" i="65"/>
  <c r="AE88" i="65"/>
  <c r="AF88" i="65"/>
  <c r="AG88" i="65"/>
  <c r="AH88" i="65"/>
  <c r="AI88" i="65"/>
  <c r="AJ88" i="65"/>
  <c r="AK88" i="65"/>
  <c r="AL88" i="65"/>
  <c r="AM88" i="65"/>
  <c r="AN88" i="65"/>
  <c r="AO88" i="65"/>
  <c r="AP88" i="65"/>
  <c r="AQ88" i="65"/>
  <c r="AR88" i="65"/>
  <c r="AS88" i="65"/>
  <c r="AT88" i="65"/>
  <c r="AU88" i="65"/>
  <c r="AV88" i="65"/>
  <c r="AW88" i="65"/>
  <c r="AX88" i="65"/>
  <c r="AY88" i="65"/>
  <c r="AZ88" i="65"/>
  <c r="BB88" i="65"/>
  <c r="BC88" i="65"/>
  <c r="BD88" i="65"/>
  <c r="BE88" i="65"/>
  <c r="BG88" i="65"/>
  <c r="BH88" i="65"/>
  <c r="BI88" i="65"/>
  <c r="BK88" i="65"/>
  <c r="BL88" i="65"/>
  <c r="BM88" i="65"/>
  <c r="BN88" i="65"/>
  <c r="BO88" i="65"/>
  <c r="BP88" i="65"/>
  <c r="BQ88" i="65"/>
  <c r="BR88" i="65"/>
  <c r="BS88" i="65"/>
  <c r="BT88" i="65"/>
  <c r="BU88" i="65"/>
  <c r="BV88" i="65"/>
  <c r="BW88" i="65"/>
  <c r="BX88" i="65"/>
  <c r="BY88" i="65"/>
  <c r="BZ88" i="65"/>
  <c r="CA88" i="65"/>
  <c r="CB88" i="65"/>
  <c r="CC88" i="65"/>
  <c r="CD88" i="65"/>
  <c r="CE88" i="65"/>
  <c r="CF88" i="65"/>
  <c r="CG88" i="65"/>
  <c r="CH88" i="65"/>
  <c r="CI88" i="65"/>
  <c r="F89" i="65"/>
  <c r="G89" i="65"/>
  <c r="H89" i="65"/>
  <c r="I89" i="65"/>
  <c r="J89" i="65"/>
  <c r="K89" i="65"/>
  <c r="L89" i="65"/>
  <c r="M89" i="65"/>
  <c r="N89" i="65"/>
  <c r="O89" i="65"/>
  <c r="P89" i="65"/>
  <c r="Q89" i="65"/>
  <c r="R89" i="65"/>
  <c r="S89" i="65"/>
  <c r="T89" i="65"/>
  <c r="U89" i="65"/>
  <c r="V89" i="65"/>
  <c r="W89" i="65"/>
  <c r="X89" i="65"/>
  <c r="Y89" i="65"/>
  <c r="Z89" i="65"/>
  <c r="AA89" i="65"/>
  <c r="AB89" i="65"/>
  <c r="AC89" i="65"/>
  <c r="AD89" i="65"/>
  <c r="AE89" i="65"/>
  <c r="AF89" i="65"/>
  <c r="AG89" i="65"/>
  <c r="AH89" i="65"/>
  <c r="AI89" i="65"/>
  <c r="AJ89" i="65"/>
  <c r="AK89" i="65"/>
  <c r="AL89" i="65"/>
  <c r="AM89" i="65"/>
  <c r="AN89" i="65"/>
  <c r="AO89" i="65"/>
  <c r="AP89" i="65"/>
  <c r="AQ89" i="65"/>
  <c r="AR89" i="65"/>
  <c r="AS89" i="65"/>
  <c r="AT89" i="65"/>
  <c r="AU89" i="65"/>
  <c r="AV89" i="65"/>
  <c r="AW89" i="65"/>
  <c r="AX89" i="65"/>
  <c r="AY89" i="65"/>
  <c r="AZ89" i="65"/>
  <c r="BB89" i="65"/>
  <c r="BC89" i="65"/>
  <c r="BD89" i="65"/>
  <c r="BE89" i="65"/>
  <c r="BG89" i="65"/>
  <c r="BH89" i="65"/>
  <c r="BI89" i="65"/>
  <c r="BK89" i="65"/>
  <c r="BL89" i="65"/>
  <c r="BM89" i="65"/>
  <c r="BN89" i="65"/>
  <c r="BO89" i="65"/>
  <c r="BP89" i="65"/>
  <c r="BQ89" i="65"/>
  <c r="BR89" i="65"/>
  <c r="BS89" i="65"/>
  <c r="BT89" i="65"/>
  <c r="BU89" i="65"/>
  <c r="BV89" i="65"/>
  <c r="BW89" i="65"/>
  <c r="BX89" i="65"/>
  <c r="BY89" i="65"/>
  <c r="BZ89" i="65"/>
  <c r="CA89" i="65"/>
  <c r="CB89" i="65"/>
  <c r="CC89" i="65"/>
  <c r="CD89" i="65"/>
  <c r="CE89" i="65"/>
  <c r="CF89" i="65"/>
  <c r="CG89" i="65"/>
  <c r="CH89" i="65"/>
  <c r="CI89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R92" i="65"/>
  <c r="S92" i="65"/>
  <c r="T92" i="65"/>
  <c r="U92" i="65"/>
  <c r="V92" i="65"/>
  <c r="W92" i="65"/>
  <c r="X92" i="65"/>
  <c r="Y92" i="65"/>
  <c r="Z92" i="65"/>
  <c r="AA92" i="65"/>
  <c r="AB92" i="65"/>
  <c r="AC92" i="65"/>
  <c r="AD92" i="65"/>
  <c r="AE92" i="65"/>
  <c r="AF92" i="65"/>
  <c r="AG92" i="65"/>
  <c r="AH92" i="65"/>
  <c r="AI92" i="65"/>
  <c r="AJ92" i="65"/>
  <c r="AK92" i="65"/>
  <c r="AL92" i="65"/>
  <c r="AM92" i="65"/>
  <c r="AN92" i="65"/>
  <c r="AO92" i="65"/>
  <c r="AP92" i="65"/>
  <c r="AQ92" i="65"/>
  <c r="AR92" i="65"/>
  <c r="AS92" i="65"/>
  <c r="AT92" i="65"/>
  <c r="AU92" i="65"/>
  <c r="AV92" i="65"/>
  <c r="AW92" i="65"/>
  <c r="AX92" i="65"/>
  <c r="AY92" i="65"/>
  <c r="AZ92" i="65"/>
  <c r="BA92" i="65"/>
  <c r="BB92" i="65"/>
  <c r="BC92" i="65"/>
  <c r="BD92" i="65"/>
  <c r="BE92" i="65"/>
  <c r="BF92" i="65"/>
  <c r="BG92" i="65"/>
  <c r="BH92" i="65"/>
  <c r="BI92" i="65"/>
  <c r="BJ92" i="65"/>
  <c r="BK92" i="65"/>
  <c r="BL92" i="65"/>
  <c r="BM92" i="65"/>
  <c r="BN92" i="65"/>
  <c r="BO92" i="65"/>
  <c r="BP92" i="65"/>
  <c r="BQ92" i="65"/>
  <c r="BR92" i="65"/>
  <c r="BS92" i="65"/>
  <c r="BT92" i="65"/>
  <c r="BU92" i="65"/>
  <c r="BV92" i="65"/>
  <c r="BW92" i="65"/>
  <c r="BX92" i="65"/>
  <c r="BY92" i="65"/>
  <c r="BZ92" i="65"/>
  <c r="CA92" i="65"/>
  <c r="CB92" i="65"/>
  <c r="CC92" i="65"/>
  <c r="CD92" i="65"/>
  <c r="CE92" i="65"/>
  <c r="CF92" i="65"/>
  <c r="CG92" i="65"/>
  <c r="CH92" i="65"/>
  <c r="CI92" i="65"/>
  <c r="F93" i="65"/>
  <c r="G93" i="65"/>
  <c r="H93" i="65"/>
  <c r="I93" i="65"/>
  <c r="J93" i="65"/>
  <c r="K93" i="65"/>
  <c r="L93" i="65"/>
  <c r="M93" i="65"/>
  <c r="N93" i="65"/>
  <c r="O93" i="65"/>
  <c r="P93" i="65"/>
  <c r="Q93" i="65"/>
  <c r="R93" i="65"/>
  <c r="S93" i="65"/>
  <c r="T93" i="65"/>
  <c r="U93" i="65"/>
  <c r="V93" i="65"/>
  <c r="W93" i="65"/>
  <c r="X93" i="65"/>
  <c r="Y93" i="65"/>
  <c r="Z93" i="65"/>
  <c r="AA93" i="65"/>
  <c r="AB93" i="65"/>
  <c r="AC93" i="65"/>
  <c r="AD93" i="65"/>
  <c r="AE93" i="65"/>
  <c r="AF93" i="65"/>
  <c r="AG93" i="65"/>
  <c r="AH93" i="65"/>
  <c r="AI93" i="65"/>
  <c r="AJ93" i="65"/>
  <c r="AK93" i="65"/>
  <c r="AL93" i="65"/>
  <c r="AM93" i="65"/>
  <c r="AN93" i="65"/>
  <c r="AO93" i="65"/>
  <c r="AP93" i="65"/>
  <c r="AQ93" i="65"/>
  <c r="AR93" i="65"/>
  <c r="AS93" i="65"/>
  <c r="AT93" i="65"/>
  <c r="AU93" i="65"/>
  <c r="AV93" i="65"/>
  <c r="AW93" i="65"/>
  <c r="AX93" i="65"/>
  <c r="AY93" i="65"/>
  <c r="AZ93" i="65"/>
  <c r="BB93" i="65"/>
  <c r="BC93" i="65"/>
  <c r="BD93" i="65"/>
  <c r="BE93" i="65"/>
  <c r="BG93" i="65"/>
  <c r="BH93" i="65"/>
  <c r="BI93" i="65"/>
  <c r="BK93" i="65"/>
  <c r="BL93" i="65"/>
  <c r="BM93" i="65"/>
  <c r="BN93" i="65"/>
  <c r="BO93" i="65"/>
  <c r="BP93" i="65"/>
  <c r="BQ93" i="65"/>
  <c r="BR93" i="65"/>
  <c r="BS93" i="65"/>
  <c r="BT93" i="65"/>
  <c r="BU93" i="65"/>
  <c r="BV93" i="65"/>
  <c r="BW93" i="65"/>
  <c r="BX93" i="65"/>
  <c r="BY93" i="65"/>
  <c r="BZ93" i="65"/>
  <c r="CA93" i="65"/>
  <c r="CB93" i="65"/>
  <c r="CC93" i="65"/>
  <c r="CD93" i="65"/>
  <c r="CE93" i="65"/>
  <c r="CF93" i="65"/>
  <c r="CG93" i="65"/>
  <c r="CH93" i="65"/>
  <c r="CI93" i="65"/>
  <c r="F94" i="65"/>
  <c r="G94" i="65"/>
  <c r="H94" i="65"/>
  <c r="I94" i="65"/>
  <c r="J94" i="65"/>
  <c r="K94" i="65"/>
  <c r="L94" i="65"/>
  <c r="M94" i="65"/>
  <c r="N94" i="65"/>
  <c r="O94" i="65"/>
  <c r="P94" i="65"/>
  <c r="Q94" i="65"/>
  <c r="R94" i="65"/>
  <c r="S94" i="65"/>
  <c r="T94" i="65"/>
  <c r="U94" i="65"/>
  <c r="V94" i="65"/>
  <c r="W94" i="65"/>
  <c r="X94" i="65"/>
  <c r="Y94" i="65"/>
  <c r="Z94" i="65"/>
  <c r="AA94" i="65"/>
  <c r="AB94" i="65"/>
  <c r="AC94" i="65"/>
  <c r="AD94" i="65"/>
  <c r="AE94" i="65"/>
  <c r="AF94" i="65"/>
  <c r="AG94" i="65"/>
  <c r="AH94" i="65"/>
  <c r="AI94" i="65"/>
  <c r="AJ94" i="65"/>
  <c r="AK94" i="65"/>
  <c r="AL94" i="65"/>
  <c r="AM94" i="65"/>
  <c r="AN94" i="65"/>
  <c r="AO94" i="65"/>
  <c r="AP94" i="65"/>
  <c r="AQ94" i="65"/>
  <c r="AR94" i="65"/>
  <c r="AS94" i="65"/>
  <c r="AT94" i="65"/>
  <c r="AU94" i="65"/>
  <c r="AV94" i="65"/>
  <c r="AW94" i="65"/>
  <c r="AX94" i="65"/>
  <c r="AY94" i="65"/>
  <c r="AZ94" i="65"/>
  <c r="BB94" i="65"/>
  <c r="BC94" i="65"/>
  <c r="BD94" i="65"/>
  <c r="BE94" i="65"/>
  <c r="BG94" i="65"/>
  <c r="BH94" i="65"/>
  <c r="BI94" i="65"/>
  <c r="BJ94" i="65"/>
  <c r="BK94" i="65"/>
  <c r="BL94" i="65"/>
  <c r="BM94" i="65"/>
  <c r="BN94" i="65"/>
  <c r="BO94" i="65"/>
  <c r="BP94" i="65"/>
  <c r="BQ94" i="65"/>
  <c r="BR94" i="65"/>
  <c r="BS94" i="65"/>
  <c r="BT94" i="65"/>
  <c r="BU94" i="65"/>
  <c r="BV94" i="65"/>
  <c r="BW94" i="65"/>
  <c r="BX94" i="65"/>
  <c r="BY94" i="65"/>
  <c r="BZ94" i="65"/>
  <c r="CA94" i="65"/>
  <c r="CB94" i="65"/>
  <c r="CC94" i="65"/>
  <c r="CD94" i="65"/>
  <c r="CE94" i="65"/>
  <c r="CF94" i="65"/>
  <c r="CG94" i="65"/>
  <c r="CH94" i="65"/>
  <c r="CI94" i="65"/>
  <c r="F95" i="65"/>
  <c r="G95" i="65"/>
  <c r="H95" i="65"/>
  <c r="I95" i="65"/>
  <c r="J95" i="65"/>
  <c r="K95" i="65"/>
  <c r="L95" i="65"/>
  <c r="M95" i="65"/>
  <c r="N95" i="65"/>
  <c r="O95" i="65"/>
  <c r="P95" i="65"/>
  <c r="Q95" i="65"/>
  <c r="R95" i="65"/>
  <c r="S95" i="65"/>
  <c r="T95" i="65"/>
  <c r="U95" i="65"/>
  <c r="V95" i="65"/>
  <c r="W95" i="65"/>
  <c r="X95" i="65"/>
  <c r="Y95" i="65"/>
  <c r="Z95" i="65"/>
  <c r="AA95" i="65"/>
  <c r="AB95" i="65"/>
  <c r="AC95" i="65"/>
  <c r="AD95" i="65"/>
  <c r="AE95" i="65"/>
  <c r="AF95" i="65"/>
  <c r="AG95" i="65"/>
  <c r="AH95" i="65"/>
  <c r="AI95" i="65"/>
  <c r="AJ95" i="65"/>
  <c r="AK95" i="65"/>
  <c r="AL95" i="65"/>
  <c r="AM95" i="65"/>
  <c r="AN95" i="65"/>
  <c r="AO95" i="65"/>
  <c r="AP95" i="65"/>
  <c r="AQ95" i="65"/>
  <c r="AR95" i="65"/>
  <c r="AS95" i="65"/>
  <c r="AT95" i="65"/>
  <c r="AU95" i="65"/>
  <c r="AV95" i="65"/>
  <c r="AW95" i="65"/>
  <c r="AX95" i="65"/>
  <c r="AY95" i="65"/>
  <c r="AZ95" i="65"/>
  <c r="BB95" i="65"/>
  <c r="BC95" i="65"/>
  <c r="BD95" i="65"/>
  <c r="BE95" i="65"/>
  <c r="BG95" i="65"/>
  <c r="BH95" i="65"/>
  <c r="BI95" i="65"/>
  <c r="BJ95" i="65"/>
  <c r="BK95" i="65"/>
  <c r="BL95" i="65"/>
  <c r="BM95" i="65"/>
  <c r="BN95" i="65"/>
  <c r="BO95" i="65"/>
  <c r="BP95" i="65"/>
  <c r="BQ95" i="65"/>
  <c r="BR95" i="65"/>
  <c r="BS95" i="65"/>
  <c r="BT95" i="65"/>
  <c r="BU95" i="65"/>
  <c r="BV95" i="65"/>
  <c r="BW95" i="65"/>
  <c r="BX95" i="65"/>
  <c r="BY95" i="65"/>
  <c r="BZ95" i="65"/>
  <c r="CA95" i="65"/>
  <c r="CB95" i="65"/>
  <c r="CC95" i="65"/>
  <c r="CD95" i="65"/>
  <c r="CE95" i="65"/>
  <c r="CF95" i="65"/>
  <c r="CG95" i="65"/>
  <c r="CH95" i="65"/>
  <c r="CI95" i="65"/>
  <c r="F96" i="65"/>
  <c r="G96" i="65"/>
  <c r="H96" i="65"/>
  <c r="I96" i="65"/>
  <c r="J96" i="65"/>
  <c r="K96" i="65"/>
  <c r="L96" i="65"/>
  <c r="M96" i="65"/>
  <c r="N96" i="65"/>
  <c r="O96" i="65"/>
  <c r="P96" i="65"/>
  <c r="Q96" i="65"/>
  <c r="R96" i="65"/>
  <c r="S96" i="65"/>
  <c r="T96" i="65"/>
  <c r="U96" i="65"/>
  <c r="V96" i="65"/>
  <c r="W96" i="65"/>
  <c r="X96" i="65"/>
  <c r="Y96" i="65"/>
  <c r="Z96" i="65"/>
  <c r="AA96" i="65"/>
  <c r="AB96" i="65"/>
  <c r="AC96" i="65"/>
  <c r="AD96" i="65"/>
  <c r="AE96" i="65"/>
  <c r="AF96" i="65"/>
  <c r="AG96" i="65"/>
  <c r="AH96" i="65"/>
  <c r="AI96" i="65"/>
  <c r="AJ96" i="65"/>
  <c r="AK96" i="65"/>
  <c r="AL96" i="65"/>
  <c r="AM96" i="65"/>
  <c r="AN96" i="65"/>
  <c r="AO96" i="65"/>
  <c r="AP96" i="65"/>
  <c r="AQ96" i="65"/>
  <c r="AR96" i="65"/>
  <c r="AS96" i="65"/>
  <c r="AT96" i="65"/>
  <c r="AU96" i="65"/>
  <c r="AV96" i="65"/>
  <c r="AW96" i="65"/>
  <c r="AX96" i="65"/>
  <c r="AY96" i="65"/>
  <c r="AZ96" i="65"/>
  <c r="BB96" i="65"/>
  <c r="BC96" i="65"/>
  <c r="BD96" i="65"/>
  <c r="BE96" i="65"/>
  <c r="BG96" i="65"/>
  <c r="BH96" i="65"/>
  <c r="BI96" i="65"/>
  <c r="BJ96" i="65"/>
  <c r="BK96" i="65"/>
  <c r="BL96" i="65"/>
  <c r="BM96" i="65"/>
  <c r="BN96" i="65"/>
  <c r="BO96" i="65"/>
  <c r="BP96" i="65"/>
  <c r="BQ96" i="65"/>
  <c r="BR96" i="65"/>
  <c r="BS96" i="65"/>
  <c r="BT96" i="65"/>
  <c r="BU96" i="65"/>
  <c r="BV96" i="65"/>
  <c r="BW96" i="65"/>
  <c r="BX96" i="65"/>
  <c r="BY96" i="65"/>
  <c r="BZ96" i="65"/>
  <c r="CA96" i="65"/>
  <c r="CB96" i="65"/>
  <c r="CC96" i="65"/>
  <c r="CD96" i="65"/>
  <c r="CE96" i="65"/>
  <c r="CF96" i="65"/>
  <c r="CG96" i="65"/>
  <c r="CH96" i="65"/>
  <c r="CI96" i="65"/>
  <c r="F97" i="65"/>
  <c r="G97" i="65"/>
  <c r="H97" i="65"/>
  <c r="I97" i="65"/>
  <c r="J97" i="65"/>
  <c r="K97" i="65"/>
  <c r="L97" i="65"/>
  <c r="M97" i="65"/>
  <c r="N97" i="65"/>
  <c r="O97" i="65"/>
  <c r="P97" i="65"/>
  <c r="Q97" i="65"/>
  <c r="R97" i="65"/>
  <c r="S97" i="65"/>
  <c r="T97" i="65"/>
  <c r="U97" i="65"/>
  <c r="V97" i="65"/>
  <c r="W97" i="65"/>
  <c r="X97" i="65"/>
  <c r="Y97" i="65"/>
  <c r="Z97" i="65"/>
  <c r="AA97" i="65"/>
  <c r="AB97" i="65"/>
  <c r="AC97" i="65"/>
  <c r="AD97" i="65"/>
  <c r="AE97" i="65"/>
  <c r="AF97" i="65"/>
  <c r="AG97" i="65"/>
  <c r="AH97" i="65"/>
  <c r="AI97" i="65"/>
  <c r="AJ97" i="65"/>
  <c r="AK97" i="65"/>
  <c r="AL97" i="65"/>
  <c r="AM97" i="65"/>
  <c r="AN97" i="65"/>
  <c r="AO97" i="65"/>
  <c r="AP97" i="65"/>
  <c r="AQ97" i="65"/>
  <c r="AR97" i="65"/>
  <c r="AS97" i="65"/>
  <c r="AT97" i="65"/>
  <c r="AU97" i="65"/>
  <c r="AV97" i="65"/>
  <c r="AW97" i="65"/>
  <c r="AX97" i="65"/>
  <c r="AY97" i="65"/>
  <c r="AZ97" i="65"/>
  <c r="BB97" i="65"/>
  <c r="BC97" i="65"/>
  <c r="BD97" i="65"/>
  <c r="BE97" i="65"/>
  <c r="BG97" i="65"/>
  <c r="BH97" i="65"/>
  <c r="BI97" i="65"/>
  <c r="BJ97" i="65"/>
  <c r="BK97" i="65"/>
  <c r="BL97" i="65"/>
  <c r="BM97" i="65"/>
  <c r="BN97" i="65"/>
  <c r="BO97" i="65"/>
  <c r="BP97" i="65"/>
  <c r="BQ97" i="65"/>
  <c r="BR97" i="65"/>
  <c r="BS97" i="65"/>
  <c r="BT97" i="65"/>
  <c r="BU97" i="65"/>
  <c r="BV97" i="65"/>
  <c r="BW97" i="65"/>
  <c r="BX97" i="65"/>
  <c r="BY97" i="65"/>
  <c r="BZ97" i="65"/>
  <c r="CA97" i="65"/>
  <c r="CB97" i="65"/>
  <c r="CC97" i="65"/>
  <c r="CD97" i="65"/>
  <c r="CE97" i="65"/>
  <c r="CF97" i="65"/>
  <c r="CG97" i="65"/>
  <c r="CH97" i="65"/>
  <c r="CI97" i="65"/>
  <c r="G2" i="65"/>
  <c r="H2" i="65"/>
  <c r="I2" i="65"/>
  <c r="J2" i="65"/>
  <c r="K2" i="65"/>
  <c r="L2" i="65"/>
  <c r="M2" i="65"/>
  <c r="N2" i="65"/>
  <c r="O2" i="65"/>
  <c r="P2" i="65"/>
  <c r="Q2" i="65"/>
  <c r="R2" i="65"/>
  <c r="S2" i="65"/>
  <c r="T2" i="65"/>
  <c r="U2" i="65"/>
  <c r="V2" i="65"/>
  <c r="W2" i="65"/>
  <c r="X2" i="65"/>
  <c r="Y2" i="65"/>
  <c r="Z2" i="65"/>
  <c r="AA2" i="65"/>
  <c r="AB2" i="65"/>
  <c r="AC2" i="65"/>
  <c r="AD2" i="65"/>
  <c r="AE2" i="65"/>
  <c r="AF2" i="65"/>
  <c r="AG2" i="65"/>
  <c r="AH2" i="65"/>
  <c r="AI2" i="65"/>
  <c r="AJ2" i="65"/>
  <c r="AK2" i="65"/>
  <c r="AL2" i="65"/>
  <c r="AM2" i="65"/>
  <c r="AN2" i="65"/>
  <c r="AO2" i="65"/>
  <c r="AP2" i="65"/>
  <c r="AQ2" i="65"/>
  <c r="AR2" i="65"/>
  <c r="AS2" i="65"/>
  <c r="AT2" i="65"/>
  <c r="AU2" i="65"/>
  <c r="AV2" i="65"/>
  <c r="AW2" i="65"/>
  <c r="AX2" i="65"/>
  <c r="AY2" i="65"/>
  <c r="AZ2" i="65"/>
  <c r="BA2" i="65"/>
  <c r="BB2" i="65"/>
  <c r="BC2" i="65"/>
  <c r="BD2" i="65"/>
  <c r="BE2" i="65"/>
  <c r="BF2" i="65"/>
  <c r="BG2" i="65"/>
  <c r="BH2" i="65"/>
  <c r="BI2" i="65"/>
  <c r="BJ2" i="65"/>
  <c r="BK2" i="65"/>
  <c r="BL2" i="65"/>
  <c r="BM2" i="65"/>
  <c r="BN2" i="65"/>
  <c r="BO2" i="65"/>
  <c r="BP2" i="65"/>
  <c r="BQ2" i="65"/>
  <c r="BR2" i="65"/>
  <c r="BS2" i="65"/>
  <c r="BT2" i="65"/>
  <c r="BU2" i="65"/>
  <c r="BV2" i="65"/>
  <c r="BW2" i="65"/>
  <c r="BX2" i="65"/>
  <c r="BY2" i="65"/>
  <c r="BZ2" i="65"/>
  <c r="CA2" i="65"/>
  <c r="CB2" i="65"/>
  <c r="CC2" i="65"/>
  <c r="CD2" i="65"/>
  <c r="CE2" i="65"/>
  <c r="CF2" i="65"/>
  <c r="CG2" i="65"/>
  <c r="CH2" i="65"/>
  <c r="CI2" i="65"/>
  <c r="F2" i="65"/>
  <c r="E44" i="65"/>
  <c r="E45" i="65"/>
  <c r="D3" i="65"/>
  <c r="D4" i="65"/>
  <c r="D5" i="65"/>
  <c r="D6" i="65"/>
  <c r="D7" i="65"/>
  <c r="D8" i="65"/>
  <c r="D9" i="65"/>
  <c r="D10" i="65"/>
  <c r="D11" i="65"/>
  <c r="D12" i="65"/>
  <c r="D13" i="65"/>
  <c r="D14" i="65"/>
  <c r="D15" i="65"/>
  <c r="D16" i="65"/>
  <c r="D17" i="65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2" i="65"/>
  <c r="D33" i="65"/>
  <c r="D34" i="65"/>
  <c r="D35" i="65"/>
  <c r="D36" i="65"/>
  <c r="D37" i="65"/>
  <c r="D40" i="65"/>
  <c r="D41" i="65"/>
  <c r="D42" i="65"/>
  <c r="D43" i="65"/>
  <c r="D44" i="65"/>
  <c r="D45" i="65"/>
  <c r="D46" i="65"/>
  <c r="D47" i="65"/>
  <c r="D48" i="65"/>
  <c r="D49" i="65"/>
  <c r="D50" i="65"/>
  <c r="D51" i="65"/>
  <c r="D52" i="65"/>
  <c r="D53" i="65"/>
  <c r="D54" i="65"/>
  <c r="D55" i="65"/>
  <c r="D56" i="65"/>
  <c r="D57" i="65"/>
  <c r="D58" i="65"/>
  <c r="D59" i="65"/>
  <c r="D60" i="65"/>
  <c r="D61" i="65"/>
  <c r="D62" i="65"/>
  <c r="D63" i="65"/>
  <c r="D64" i="65"/>
  <c r="D65" i="65"/>
  <c r="D66" i="65"/>
  <c r="D67" i="65"/>
  <c r="D68" i="65"/>
  <c r="D69" i="65"/>
  <c r="D70" i="65"/>
  <c r="D71" i="65"/>
  <c r="D72" i="65"/>
  <c r="D73" i="65"/>
  <c r="D74" i="65"/>
  <c r="D75" i="65"/>
  <c r="D76" i="65"/>
  <c r="D77" i="65"/>
  <c r="D78" i="65"/>
  <c r="D79" i="65"/>
  <c r="D80" i="65"/>
  <c r="D81" i="65"/>
  <c r="D82" i="65"/>
  <c r="D83" i="65"/>
  <c r="D84" i="65"/>
  <c r="D85" i="65"/>
  <c r="D86" i="65"/>
  <c r="D87" i="65"/>
  <c r="D88" i="65"/>
  <c r="D89" i="65"/>
  <c r="D90" i="65"/>
  <c r="D91" i="65"/>
  <c r="D92" i="65"/>
  <c r="D93" i="65"/>
  <c r="D94" i="65"/>
  <c r="D95" i="65"/>
  <c r="D96" i="65"/>
  <c r="D97" i="65"/>
  <c r="D98" i="65"/>
  <c r="D99" i="65"/>
  <c r="D100" i="65"/>
  <c r="D101" i="65"/>
  <c r="D102" i="65"/>
  <c r="D103" i="65"/>
  <c r="D104" i="65"/>
  <c r="D105" i="65"/>
  <c r="D106" i="65"/>
  <c r="D107" i="65"/>
  <c r="D108" i="65"/>
  <c r="D109" i="65"/>
  <c r="D110" i="65"/>
  <c r="D111" i="65"/>
  <c r="D2" i="65"/>
  <c r="B86" i="65"/>
  <c r="A88" i="65"/>
  <c r="A90" i="65"/>
  <c r="A87" i="65"/>
  <c r="B126" i="64"/>
  <c r="B127" i="64" s="1"/>
  <c r="B124" i="64"/>
  <c r="B125" i="64" s="1"/>
  <c r="A111" i="65" s="1"/>
  <c r="B122" i="64"/>
  <c r="B123" i="64" s="1"/>
  <c r="A109" i="65" s="1"/>
  <c r="B120" i="64"/>
  <c r="B121" i="64" s="1"/>
  <c r="A107" i="65" s="1"/>
  <c r="B118" i="64"/>
  <c r="B119" i="64" s="1"/>
  <c r="A105" i="65" s="1"/>
  <c r="B116" i="64"/>
  <c r="B117" i="64" s="1"/>
  <c r="A103" i="65" s="1"/>
  <c r="B114" i="64"/>
  <c r="B115" i="64" s="1"/>
  <c r="A101" i="65" s="1"/>
  <c r="B112" i="64"/>
  <c r="B113" i="64" s="1"/>
  <c r="A99" i="65" s="1"/>
  <c r="B110" i="64"/>
  <c r="B111" i="64" s="1"/>
  <c r="A97" i="65" s="1"/>
  <c r="B108" i="64"/>
  <c r="B109" i="64" s="1"/>
  <c r="A95" i="65" s="1"/>
  <c r="B106" i="64"/>
  <c r="B107" i="64" s="1"/>
  <c r="A93" i="65" s="1"/>
  <c r="B104" i="64"/>
  <c r="B105" i="64" s="1"/>
  <c r="A91" i="65" s="1"/>
  <c r="A89" i="65"/>
  <c r="B98" i="64"/>
  <c r="B99" i="64" s="1"/>
  <c r="A85" i="65" s="1"/>
  <c r="B96" i="64"/>
  <c r="B97" i="64" s="1"/>
  <c r="A83" i="65" s="1"/>
  <c r="B94" i="64"/>
  <c r="B95" i="64" s="1"/>
  <c r="A81" i="65" s="1"/>
  <c r="B92" i="64"/>
  <c r="B93" i="64" s="1"/>
  <c r="A79" i="65" s="1"/>
  <c r="B90" i="64"/>
  <c r="B91" i="64" s="1"/>
  <c r="A77" i="65" s="1"/>
  <c r="B88" i="64"/>
  <c r="B89" i="64" s="1"/>
  <c r="A75" i="65" s="1"/>
  <c r="B86" i="64"/>
  <c r="B87" i="64" s="1"/>
  <c r="A73" i="65" s="1"/>
  <c r="B84" i="64"/>
  <c r="B85" i="64" s="1"/>
  <c r="A71" i="65" s="1"/>
  <c r="B82" i="64"/>
  <c r="B83" i="64" s="1"/>
  <c r="A69" i="65" s="1"/>
  <c r="B80" i="64"/>
  <c r="B81" i="64" s="1"/>
  <c r="A67" i="65" s="1"/>
  <c r="B78" i="64"/>
  <c r="B79" i="64" s="1"/>
  <c r="A65" i="65" s="1"/>
  <c r="B76" i="64"/>
  <c r="B77" i="64" s="1"/>
  <c r="A63" i="65" s="1"/>
  <c r="B74" i="64"/>
  <c r="B75" i="64" s="1"/>
  <c r="A61" i="65" s="1"/>
  <c r="B72" i="64"/>
  <c r="B73" i="64" s="1"/>
  <c r="A59" i="65" s="1"/>
  <c r="B70" i="64"/>
  <c r="B71" i="64" s="1"/>
  <c r="A57" i="65" s="1"/>
  <c r="B68" i="64"/>
  <c r="B69" i="64" s="1"/>
  <c r="A55" i="65" s="1"/>
  <c r="B66" i="64"/>
  <c r="B67" i="64" s="1"/>
  <c r="A53" i="65" s="1"/>
  <c r="B64" i="64"/>
  <c r="B65" i="64" s="1"/>
  <c r="A51" i="65" s="1"/>
  <c r="B62" i="64"/>
  <c r="B63" i="64" s="1"/>
  <c r="A49" i="65" s="1"/>
  <c r="B60" i="64"/>
  <c r="B61" i="64" s="1"/>
  <c r="A47" i="65" s="1"/>
  <c r="B58" i="64"/>
  <c r="B59" i="64" s="1"/>
  <c r="A45" i="65" s="1"/>
  <c r="B56" i="64"/>
  <c r="B57" i="64" s="1"/>
  <c r="A43" i="65" s="1"/>
  <c r="B54" i="64"/>
  <c r="B55" i="64" s="1"/>
  <c r="A41" i="65" s="1"/>
  <c r="B50" i="64"/>
  <c r="B51" i="64" s="1"/>
  <c r="A39" i="65" s="1"/>
  <c r="B48" i="64"/>
  <c r="B49" i="64" s="1"/>
  <c r="A37" i="65" s="1"/>
  <c r="B46" i="64"/>
  <c r="B47" i="64" s="1"/>
  <c r="A35" i="65" s="1"/>
  <c r="A33" i="65"/>
  <c r="B42" i="64"/>
  <c r="B43" i="64" s="1"/>
  <c r="A31" i="65" s="1"/>
  <c r="B40" i="64"/>
  <c r="B41" i="64" s="1"/>
  <c r="A29" i="65" s="1"/>
  <c r="B38" i="64"/>
  <c r="B39" i="64" s="1"/>
  <c r="A27" i="65" s="1"/>
  <c r="B36" i="64"/>
  <c r="B37" i="64" s="1"/>
  <c r="A25" i="65" s="1"/>
  <c r="B34" i="64"/>
  <c r="B35" i="64" s="1"/>
  <c r="A23" i="65" s="1"/>
  <c r="B32" i="64"/>
  <c r="B33" i="64" s="1"/>
  <c r="A21" i="65" s="1"/>
  <c r="B30" i="64"/>
  <c r="B31" i="64" s="1"/>
  <c r="A19" i="65" s="1"/>
  <c r="B28" i="64"/>
  <c r="B29" i="64" s="1"/>
  <c r="A17" i="65" s="1"/>
  <c r="B26" i="64"/>
  <c r="B27" i="64" s="1"/>
  <c r="A15" i="65" s="1"/>
  <c r="B24" i="64"/>
  <c r="B25" i="64" s="1"/>
  <c r="A13" i="65" s="1"/>
  <c r="B22" i="64"/>
  <c r="B23" i="64" s="1"/>
  <c r="A11" i="65" s="1"/>
  <c r="B20" i="64"/>
  <c r="B21" i="64" s="1"/>
  <c r="A9" i="65" s="1"/>
  <c r="B18" i="64"/>
  <c r="B19" i="64" s="1"/>
  <c r="A7" i="65" s="1"/>
  <c r="B16" i="64"/>
  <c r="B17" i="64" s="1"/>
  <c r="A5" i="65" s="1"/>
  <c r="B14" i="64"/>
  <c r="A2" i="65" s="1"/>
  <c r="D126" i="64"/>
  <c r="D127" i="64" s="1"/>
  <c r="D124" i="64"/>
  <c r="D125" i="64" s="1"/>
  <c r="B111" i="65" s="1"/>
  <c r="D122" i="64"/>
  <c r="D123" i="64" s="1"/>
  <c r="B109" i="65" s="1"/>
  <c r="D120" i="64"/>
  <c r="D121" i="64" s="1"/>
  <c r="B107" i="65" s="1"/>
  <c r="D118" i="64"/>
  <c r="D119" i="64" s="1"/>
  <c r="B105" i="65" s="1"/>
  <c r="D116" i="64"/>
  <c r="D117" i="64" s="1"/>
  <c r="B103" i="65" s="1"/>
  <c r="D114" i="64"/>
  <c r="D115" i="64" s="1"/>
  <c r="B101" i="65" s="1"/>
  <c r="D112" i="64"/>
  <c r="D113" i="64" s="1"/>
  <c r="B99" i="65" s="1"/>
  <c r="D110" i="64"/>
  <c r="D111" i="64" s="1"/>
  <c r="B97" i="65" s="1"/>
  <c r="D108" i="64"/>
  <c r="D109" i="64" s="1"/>
  <c r="B95" i="65" s="1"/>
  <c r="D106" i="64"/>
  <c r="D107" i="64" s="1"/>
  <c r="B93" i="65" s="1"/>
  <c r="D104" i="64"/>
  <c r="D105" i="64" s="1"/>
  <c r="B91" i="65" s="1"/>
  <c r="B89" i="65"/>
  <c r="B87" i="65"/>
  <c r="D98" i="64"/>
  <c r="D99" i="64" s="1"/>
  <c r="B85" i="65" s="1"/>
  <c r="D96" i="64"/>
  <c r="D97" i="64" s="1"/>
  <c r="B83" i="65" s="1"/>
  <c r="D94" i="64"/>
  <c r="D95" i="64" s="1"/>
  <c r="B81" i="65" s="1"/>
  <c r="D92" i="64"/>
  <c r="D93" i="64" s="1"/>
  <c r="B79" i="65" s="1"/>
  <c r="D90" i="64"/>
  <c r="D91" i="64" s="1"/>
  <c r="B77" i="65" s="1"/>
  <c r="D88" i="64"/>
  <c r="D89" i="64" s="1"/>
  <c r="B75" i="65" s="1"/>
  <c r="D86" i="64"/>
  <c r="D87" i="64" s="1"/>
  <c r="B73" i="65" s="1"/>
  <c r="D84" i="64"/>
  <c r="D85" i="64" s="1"/>
  <c r="B71" i="65" s="1"/>
  <c r="D82" i="64"/>
  <c r="D83" i="64" s="1"/>
  <c r="B69" i="65" s="1"/>
  <c r="D80" i="64"/>
  <c r="D81" i="64" s="1"/>
  <c r="B67" i="65" s="1"/>
  <c r="D78" i="64"/>
  <c r="D79" i="64" s="1"/>
  <c r="B65" i="65" s="1"/>
  <c r="D76" i="64"/>
  <c r="D77" i="64" s="1"/>
  <c r="B63" i="65" s="1"/>
  <c r="D74" i="64"/>
  <c r="D75" i="64" s="1"/>
  <c r="B61" i="65" s="1"/>
  <c r="D72" i="64"/>
  <c r="D73" i="64" s="1"/>
  <c r="B59" i="65" s="1"/>
  <c r="D70" i="64"/>
  <c r="D71" i="64" s="1"/>
  <c r="B57" i="65" s="1"/>
  <c r="D68" i="64"/>
  <c r="D69" i="64" s="1"/>
  <c r="B55" i="65" s="1"/>
  <c r="D66" i="64"/>
  <c r="D67" i="64" s="1"/>
  <c r="B53" i="65" s="1"/>
  <c r="D64" i="64"/>
  <c r="D65" i="64" s="1"/>
  <c r="B51" i="65" s="1"/>
  <c r="D62" i="64"/>
  <c r="D63" i="64" s="1"/>
  <c r="B49" i="65" s="1"/>
  <c r="D60" i="64"/>
  <c r="D61" i="64" s="1"/>
  <c r="B47" i="65" s="1"/>
  <c r="D58" i="64"/>
  <c r="D59" i="64" s="1"/>
  <c r="B45" i="65" s="1"/>
  <c r="D56" i="64"/>
  <c r="D57" i="64" s="1"/>
  <c r="B43" i="65" s="1"/>
  <c r="D54" i="64"/>
  <c r="D55" i="64" s="1"/>
  <c r="B41" i="65" s="1"/>
  <c r="D50" i="64"/>
  <c r="D51" i="64" s="1"/>
  <c r="B39" i="65" s="1"/>
  <c r="D48" i="64"/>
  <c r="D49" i="64" s="1"/>
  <c r="B37" i="65" s="1"/>
  <c r="D46" i="64"/>
  <c r="D47" i="64" s="1"/>
  <c r="B35" i="65" s="1"/>
  <c r="B33" i="65"/>
  <c r="D42" i="64"/>
  <c r="D43" i="64" s="1"/>
  <c r="B31" i="65" s="1"/>
  <c r="D40" i="64"/>
  <c r="D41" i="64" s="1"/>
  <c r="B29" i="65" s="1"/>
  <c r="D38" i="64"/>
  <c r="D39" i="64" s="1"/>
  <c r="B27" i="65" s="1"/>
  <c r="D36" i="64"/>
  <c r="D37" i="64" s="1"/>
  <c r="B25" i="65" s="1"/>
  <c r="D34" i="64"/>
  <c r="D35" i="64" s="1"/>
  <c r="B23" i="65" s="1"/>
  <c r="D32" i="64"/>
  <c r="D33" i="64" s="1"/>
  <c r="B21" i="65" s="1"/>
  <c r="D30" i="64"/>
  <c r="D31" i="64" s="1"/>
  <c r="B19" i="65" s="1"/>
  <c r="D28" i="64"/>
  <c r="D29" i="64" s="1"/>
  <c r="B17" i="65" s="1"/>
  <c r="D26" i="64"/>
  <c r="D27" i="64" s="1"/>
  <c r="B15" i="65" s="1"/>
  <c r="D24" i="64"/>
  <c r="D25" i="64" s="1"/>
  <c r="B13" i="65" s="1"/>
  <c r="D22" i="64"/>
  <c r="D23" i="64" s="1"/>
  <c r="B11" i="65" s="1"/>
  <c r="D20" i="64"/>
  <c r="D21" i="64" s="1"/>
  <c r="B9" i="65" s="1"/>
  <c r="D18" i="64"/>
  <c r="D19" i="64" s="1"/>
  <c r="B7" i="65" s="1"/>
  <c r="D16" i="64"/>
  <c r="D17" i="64" s="1"/>
  <c r="B5" i="65" s="1"/>
  <c r="D14" i="64"/>
  <c r="D15" i="64" s="1"/>
  <c r="B3" i="65" s="1"/>
  <c r="F1" i="65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F2" i="64"/>
  <c r="C2" i="63"/>
  <c r="A40" i="65" l="1"/>
  <c r="A48" i="65"/>
  <c r="A10" i="65"/>
  <c r="A72" i="65"/>
  <c r="A26" i="65"/>
  <c r="A64" i="65"/>
  <c r="A18" i="65"/>
  <c r="A56" i="65"/>
  <c r="A80" i="65"/>
  <c r="B108" i="65"/>
  <c r="B30" i="65"/>
  <c r="B76" i="65"/>
  <c r="B52" i="65"/>
  <c r="B14" i="65"/>
  <c r="A66" i="65"/>
  <c r="B84" i="65"/>
  <c r="B46" i="65"/>
  <c r="B24" i="65"/>
  <c r="B8" i="65"/>
  <c r="A52" i="65"/>
  <c r="A76" i="65"/>
  <c r="A108" i="65"/>
  <c r="B92" i="65"/>
  <c r="B60" i="65"/>
  <c r="B44" i="65"/>
  <c r="B22" i="65"/>
  <c r="B6" i="65"/>
  <c r="A74" i="65"/>
  <c r="A84" i="65"/>
  <c r="B100" i="65"/>
  <c r="B68" i="65"/>
  <c r="B54" i="65"/>
  <c r="B32" i="65"/>
  <c r="B16" i="65"/>
  <c r="A62" i="65"/>
  <c r="A70" i="65"/>
  <c r="B90" i="65"/>
  <c r="B50" i="65"/>
  <c r="B42" i="65"/>
  <c r="B36" i="65"/>
  <c r="B28" i="65"/>
  <c r="B20" i="65"/>
  <c r="B12" i="65"/>
  <c r="B4" i="65"/>
  <c r="B15" i="64"/>
  <c r="A3" i="65" s="1"/>
  <c r="A20" i="65"/>
  <c r="A16" i="65"/>
  <c r="A12" i="65"/>
  <c r="A8" i="65"/>
  <c r="A4" i="65"/>
  <c r="A28" i="65"/>
  <c r="A24" i="65"/>
  <c r="A34" i="65"/>
  <c r="A46" i="65"/>
  <c r="A42" i="65"/>
  <c r="A98" i="65"/>
  <c r="A94" i="65"/>
  <c r="A106" i="65"/>
  <c r="A102" i="65"/>
  <c r="B110" i="65"/>
  <c r="B106" i="65"/>
  <c r="B102" i="65"/>
  <c r="B98" i="65"/>
  <c r="B94" i="65"/>
  <c r="B82" i="65"/>
  <c r="B78" i="65"/>
  <c r="B74" i="65"/>
  <c r="B70" i="65"/>
  <c r="B66" i="65"/>
  <c r="B62" i="65"/>
  <c r="A54" i="65"/>
  <c r="A50" i="65"/>
  <c r="A68" i="65"/>
  <c r="A82" i="65"/>
  <c r="A78" i="65"/>
  <c r="A110" i="65"/>
  <c r="B56" i="65"/>
  <c r="B48" i="65"/>
  <c r="B40" i="65"/>
  <c r="B34" i="65"/>
  <c r="B26" i="65"/>
  <c r="B18" i="65"/>
  <c r="B10" i="65"/>
  <c r="A22" i="65"/>
  <c r="A14" i="65"/>
  <c r="A6" i="65"/>
  <c r="A30" i="65"/>
  <c r="A36" i="65"/>
  <c r="A32" i="65"/>
  <c r="A44" i="65"/>
  <c r="A96" i="65"/>
  <c r="A92" i="65"/>
  <c r="A104" i="65"/>
  <c r="A100" i="65"/>
  <c r="B2" i="65"/>
  <c r="B104" i="65"/>
  <c r="B96" i="65"/>
  <c r="B80" i="65"/>
  <c r="B72" i="65"/>
  <c r="B64" i="65"/>
  <c r="B88" i="65"/>
  <c r="A86" i="65"/>
  <c r="A38" i="65"/>
  <c r="B38" i="65"/>
  <c r="A58" i="65"/>
  <c r="B58" i="65"/>
  <c r="A60" i="65"/>
  <c r="CV134" i="64"/>
  <c r="CR134" i="64"/>
  <c r="CN134" i="64"/>
  <c r="F127" i="64"/>
  <c r="F126" i="64"/>
  <c r="BJ111" i="65"/>
  <c r="BF111" i="65"/>
  <c r="BA111" i="65"/>
  <c r="F125" i="64"/>
  <c r="C111" i="65" s="1"/>
  <c r="BJ110" i="65"/>
  <c r="F124" i="64"/>
  <c r="C110" i="65" s="1"/>
  <c r="BJ109" i="65"/>
  <c r="BF109" i="65"/>
  <c r="BA109" i="65"/>
  <c r="F123" i="64"/>
  <c r="C109" i="65" s="1"/>
  <c r="F122" i="64"/>
  <c r="C108" i="65" s="1"/>
  <c r="BJ121" i="64"/>
  <c r="BF107" i="65" s="1"/>
  <c r="BE121" i="64"/>
  <c r="BA107" i="65" s="1"/>
  <c r="F121" i="64"/>
  <c r="C107" i="65" s="1"/>
  <c r="BJ120" i="64"/>
  <c r="BF106" i="65" s="1"/>
  <c r="BE120" i="64"/>
  <c r="BA106" i="65" s="1"/>
  <c r="BA120" i="64"/>
  <c r="AW106" i="65" s="1"/>
  <c r="AW120" i="64"/>
  <c r="AS106" i="65" s="1"/>
  <c r="F120" i="64"/>
  <c r="C106" i="65" s="1"/>
  <c r="BJ119" i="64"/>
  <c r="BF105" i="65" s="1"/>
  <c r="BE119" i="64"/>
  <c r="BA105" i="65" s="1"/>
  <c r="F119" i="64"/>
  <c r="C105" i="65" s="1"/>
  <c r="BJ118" i="64"/>
  <c r="BF104" i="65" s="1"/>
  <c r="BE118" i="64"/>
  <c r="BA104" i="65" s="1"/>
  <c r="BA118" i="64"/>
  <c r="AW104" i="65" s="1"/>
  <c r="AW118" i="64"/>
  <c r="AS104" i="65" s="1"/>
  <c r="F118" i="64"/>
  <c r="C104" i="65" s="1"/>
  <c r="BF103" i="65"/>
  <c r="BA103" i="65"/>
  <c r="F117" i="64"/>
  <c r="C103" i="65" s="1"/>
  <c r="F116" i="64"/>
  <c r="C102" i="65" s="1"/>
  <c r="BF101" i="65"/>
  <c r="BA101" i="65"/>
  <c r="F115" i="64"/>
  <c r="C101" i="65" s="1"/>
  <c r="BF100" i="65"/>
  <c r="F114" i="64"/>
  <c r="E112" i="64"/>
  <c r="F112" i="64" s="1"/>
  <c r="C98" i="65" s="1"/>
  <c r="BF97" i="65"/>
  <c r="BA97" i="65"/>
  <c r="F111" i="64"/>
  <c r="C97" i="65" s="1"/>
  <c r="BF96" i="65"/>
  <c r="BA96" i="65"/>
  <c r="F110" i="64"/>
  <c r="C96" i="65" s="1"/>
  <c r="BJ109" i="64"/>
  <c r="BF95" i="65" s="1"/>
  <c r="BE109" i="64"/>
  <c r="BA95" i="65" s="1"/>
  <c r="F109" i="64"/>
  <c r="C95" i="65" s="1"/>
  <c r="BJ108" i="64"/>
  <c r="BF94" i="65" s="1"/>
  <c r="BE108" i="64"/>
  <c r="BA94" i="65" s="1"/>
  <c r="F108" i="64"/>
  <c r="C94" i="65" s="1"/>
  <c r="BJ93" i="65"/>
  <c r="BF93" i="65"/>
  <c r="BA93" i="65"/>
  <c r="F107" i="64"/>
  <c r="C93" i="65" s="1"/>
  <c r="F106" i="64"/>
  <c r="E104" i="64"/>
  <c r="BJ89" i="65"/>
  <c r="BF89" i="65"/>
  <c r="BA89" i="65"/>
  <c r="C89" i="65"/>
  <c r="BJ88" i="65"/>
  <c r="BF88" i="65"/>
  <c r="BA88" i="65"/>
  <c r="C88" i="65"/>
  <c r="BJ87" i="65"/>
  <c r="BF87" i="65"/>
  <c r="BA87" i="65"/>
  <c r="C87" i="65"/>
  <c r="BJ86" i="65"/>
  <c r="BF86" i="65"/>
  <c r="BA86" i="65"/>
  <c r="C86" i="65"/>
  <c r="F99" i="64"/>
  <c r="C85" i="65" s="1"/>
  <c r="F98" i="64"/>
  <c r="C84" i="65" s="1"/>
  <c r="F97" i="64"/>
  <c r="C83" i="65" s="1"/>
  <c r="F96" i="64"/>
  <c r="C82" i="65" s="1"/>
  <c r="F95" i="64"/>
  <c r="C81" i="65" s="1"/>
  <c r="F94" i="64"/>
  <c r="C80" i="65" s="1"/>
  <c r="F93" i="64"/>
  <c r="C79" i="65" s="1"/>
  <c r="F92" i="64"/>
  <c r="C78" i="65" s="1"/>
  <c r="F91" i="64"/>
  <c r="C77" i="65" s="1"/>
  <c r="F90" i="64"/>
  <c r="C76" i="65" s="1"/>
  <c r="F89" i="64"/>
  <c r="C75" i="65" s="1"/>
  <c r="F88" i="64"/>
  <c r="C74" i="65" s="1"/>
  <c r="BJ73" i="65"/>
  <c r="BF73" i="65"/>
  <c r="BA73" i="65"/>
  <c r="F87" i="64"/>
  <c r="C73" i="65" s="1"/>
  <c r="BJ72" i="65"/>
  <c r="BF72" i="65"/>
  <c r="BA72" i="65"/>
  <c r="F86" i="64"/>
  <c r="C72" i="65" s="1"/>
  <c r="BJ71" i="65"/>
  <c r="BF71" i="65"/>
  <c r="BA71" i="65"/>
  <c r="F85" i="64"/>
  <c r="C71" i="65" s="1"/>
  <c r="BJ70" i="65"/>
  <c r="BF70" i="65"/>
  <c r="BA70" i="65"/>
  <c r="F84" i="64"/>
  <c r="C70" i="65" s="1"/>
  <c r="E82" i="64"/>
  <c r="BN81" i="64"/>
  <c r="BJ67" i="65" s="1"/>
  <c r="BJ81" i="64"/>
  <c r="BF67" i="65" s="1"/>
  <c r="BA67" i="65"/>
  <c r="F81" i="64"/>
  <c r="C67" i="65" s="1"/>
  <c r="BA66" i="65"/>
  <c r="F80" i="64"/>
  <c r="C66" i="65" s="1"/>
  <c r="BJ65" i="65"/>
  <c r="BF65" i="65"/>
  <c r="BA65" i="65"/>
  <c r="F79" i="64"/>
  <c r="C65" i="65" s="1"/>
  <c r="F78" i="64"/>
  <c r="C64" i="65" s="1"/>
  <c r="BJ63" i="65"/>
  <c r="BF63" i="65"/>
  <c r="BA63" i="65"/>
  <c r="F77" i="64"/>
  <c r="C63" i="65" s="1"/>
  <c r="BA62" i="65"/>
  <c r="F76" i="64"/>
  <c r="C62" i="65" s="1"/>
  <c r="BJ61" i="65"/>
  <c r="BF61" i="65"/>
  <c r="BA61" i="65"/>
  <c r="T61" i="65"/>
  <c r="F75" i="64"/>
  <c r="C61" i="65" s="1"/>
  <c r="BJ60" i="65"/>
  <c r="BF60" i="65"/>
  <c r="BA60" i="65"/>
  <c r="F74" i="64"/>
  <c r="C60" i="65" s="1"/>
  <c r="BJ59" i="65"/>
  <c r="BF59" i="65"/>
  <c r="BA59" i="65"/>
  <c r="F73" i="64"/>
  <c r="C59" i="65" s="1"/>
  <c r="F72" i="64"/>
  <c r="C58" i="65" s="1"/>
  <c r="F71" i="64"/>
  <c r="C57" i="65" s="1"/>
  <c r="F70" i="64"/>
  <c r="C56" i="65" s="1"/>
  <c r="F69" i="64"/>
  <c r="C55" i="65" s="1"/>
  <c r="F68" i="64"/>
  <c r="C54" i="65" s="1"/>
  <c r="F67" i="64"/>
  <c r="C53" i="65" s="1"/>
  <c r="F66" i="64"/>
  <c r="C52" i="65" s="1"/>
  <c r="F65" i="64"/>
  <c r="C51" i="65" s="1"/>
  <c r="F64" i="64"/>
  <c r="C50" i="65" s="1"/>
  <c r="BJ49" i="65"/>
  <c r="BF49" i="65"/>
  <c r="BA49" i="65"/>
  <c r="F63" i="64"/>
  <c r="C49" i="65" s="1"/>
  <c r="BJ48" i="65"/>
  <c r="BF48" i="65"/>
  <c r="BA48" i="65"/>
  <c r="F62" i="64"/>
  <c r="E60" i="64"/>
  <c r="F60" i="64" s="1"/>
  <c r="C46" i="65" s="1"/>
  <c r="BJ43" i="65"/>
  <c r="BF43" i="65"/>
  <c r="BA43" i="65"/>
  <c r="F57" i="64"/>
  <c r="C43" i="65" s="1"/>
  <c r="BJ42" i="65"/>
  <c r="BF42" i="65"/>
  <c r="BA42" i="65"/>
  <c r="F56" i="64"/>
  <c r="C42" i="65" s="1"/>
  <c r="BJ41" i="65"/>
  <c r="BF41" i="65"/>
  <c r="BA41" i="65"/>
  <c r="F55" i="64"/>
  <c r="C41" i="65" s="1"/>
  <c r="BJ40" i="65"/>
  <c r="BF40" i="65"/>
  <c r="BA40" i="65"/>
  <c r="F54" i="64"/>
  <c r="C40" i="65" s="1"/>
  <c r="BJ39" i="65"/>
  <c r="BF39" i="65"/>
  <c r="BA39" i="65"/>
  <c r="F51" i="64"/>
  <c r="BJ38" i="65"/>
  <c r="BF38" i="65"/>
  <c r="BA38" i="65"/>
  <c r="F50" i="64"/>
  <c r="E48" i="64"/>
  <c r="F49" i="64" s="1"/>
  <c r="C37" i="65" s="1"/>
  <c r="BJ35" i="65"/>
  <c r="BF35" i="65"/>
  <c r="BA35" i="65"/>
  <c r="F47" i="64"/>
  <c r="C35" i="65" s="1"/>
  <c r="BJ34" i="65"/>
  <c r="BF34" i="65"/>
  <c r="BA34" i="65"/>
  <c r="F46" i="64"/>
  <c r="C34" i="65" s="1"/>
  <c r="BJ33" i="65"/>
  <c r="BF33" i="65"/>
  <c r="BA33" i="65"/>
  <c r="C33" i="65"/>
  <c r="BJ32" i="65"/>
  <c r="BF32" i="65"/>
  <c r="BA32" i="65"/>
  <c r="C32" i="65"/>
  <c r="BJ31" i="65"/>
  <c r="BF31" i="65"/>
  <c r="BA31" i="65"/>
  <c r="F43" i="64"/>
  <c r="C31" i="65" s="1"/>
  <c r="BJ30" i="65"/>
  <c r="BF30" i="65"/>
  <c r="BA30" i="65"/>
  <c r="F42" i="64"/>
  <c r="C30" i="65" s="1"/>
  <c r="BJ29" i="65"/>
  <c r="BF29" i="65"/>
  <c r="BA29" i="65"/>
  <c r="F41" i="64"/>
  <c r="C29" i="65" s="1"/>
  <c r="BJ28" i="65"/>
  <c r="BF28" i="65"/>
  <c r="BA28" i="65"/>
  <c r="F40" i="64"/>
  <c r="C28" i="65" s="1"/>
  <c r="BJ27" i="65"/>
  <c r="BF27" i="65"/>
  <c r="BA27" i="65"/>
  <c r="F39" i="64"/>
  <c r="C27" i="65" s="1"/>
  <c r="BJ26" i="65"/>
  <c r="BF26" i="65"/>
  <c r="BA26" i="65"/>
  <c r="F38" i="64"/>
  <c r="C26" i="65" s="1"/>
  <c r="BJ25" i="65"/>
  <c r="BF25" i="65"/>
  <c r="BA25" i="65"/>
  <c r="F37" i="64"/>
  <c r="C25" i="65" s="1"/>
  <c r="BJ24" i="65"/>
  <c r="BF24" i="65"/>
  <c r="BA24" i="65"/>
  <c r="F36" i="64"/>
  <c r="C24" i="65" s="1"/>
  <c r="BJ23" i="65"/>
  <c r="BF23" i="65"/>
  <c r="BA23" i="65"/>
  <c r="F35" i="64"/>
  <c r="C23" i="65" s="1"/>
  <c r="BJ22" i="65"/>
  <c r="BF22" i="65"/>
  <c r="BA22" i="65"/>
  <c r="F34" i="64"/>
  <c r="C22" i="65" s="1"/>
  <c r="BJ21" i="65"/>
  <c r="BF21" i="65"/>
  <c r="BA21" i="65"/>
  <c r="F33" i="64"/>
  <c r="C21" i="65" s="1"/>
  <c r="BJ20" i="65"/>
  <c r="BF20" i="65"/>
  <c r="BA20" i="65"/>
  <c r="F32" i="64"/>
  <c r="C20" i="65" s="1"/>
  <c r="BJ19" i="65"/>
  <c r="BF19" i="65"/>
  <c r="F31" i="64"/>
  <c r="C19" i="65" s="1"/>
  <c r="H30" i="64"/>
  <c r="F30" i="64"/>
  <c r="C18" i="65" s="1"/>
  <c r="H29" i="64"/>
  <c r="F29" i="64"/>
  <c r="C17" i="65" s="1"/>
  <c r="H28" i="64"/>
  <c r="F28" i="64"/>
  <c r="C16" i="65" s="1"/>
  <c r="H27" i="64"/>
  <c r="F27" i="64"/>
  <c r="C15" i="65" s="1"/>
  <c r="H26" i="64"/>
  <c r="F26" i="64"/>
  <c r="C14" i="65" s="1"/>
  <c r="H25" i="64"/>
  <c r="F25" i="64"/>
  <c r="C13" i="65" s="1"/>
  <c r="H24" i="64"/>
  <c r="F24" i="64"/>
  <c r="C12" i="65" s="1"/>
  <c r="H23" i="64"/>
  <c r="F23" i="64"/>
  <c r="C11" i="65" s="1"/>
  <c r="H22" i="64"/>
  <c r="F22" i="64"/>
  <c r="C10" i="65" s="1"/>
  <c r="H21" i="64"/>
  <c r="F21" i="64"/>
  <c r="C9" i="65" s="1"/>
  <c r="H20" i="64"/>
  <c r="F20" i="64"/>
  <c r="E18" i="64"/>
  <c r="F18" i="64" s="1"/>
  <c r="C6" i="65" s="1"/>
  <c r="H17" i="64"/>
  <c r="F17" i="64"/>
  <c r="C5" i="65" s="1"/>
  <c r="H16" i="64"/>
  <c r="F16" i="64"/>
  <c r="C4" i="65" s="1"/>
  <c r="K11" i="64"/>
  <c r="CJ5" i="64"/>
  <c r="C3" i="63"/>
  <c r="C4" i="63" s="1"/>
  <c r="C5" i="63" s="1"/>
  <c r="C6" i="63" s="1"/>
  <c r="C7" i="63" s="1"/>
  <c r="C8" i="63" s="1"/>
  <c r="C9" i="63" s="1"/>
  <c r="C10" i="63" s="1"/>
  <c r="C11" i="63" s="1"/>
  <c r="C12" i="63" s="1"/>
  <c r="C13" i="63" s="1"/>
  <c r="C14" i="63" s="1"/>
  <c r="C15" i="63" s="1"/>
  <c r="C16" i="63" s="1"/>
  <c r="C17" i="63" s="1"/>
  <c r="C18" i="63" s="1"/>
  <c r="C19" i="63" s="1"/>
  <c r="C20" i="63" s="1"/>
  <c r="C21" i="63" s="1"/>
  <c r="C22" i="63" s="1"/>
  <c r="C23" i="63" s="1"/>
  <c r="C24" i="63" s="1"/>
  <c r="C25" i="63" s="1"/>
  <c r="C26" i="63" s="1"/>
  <c r="C27" i="63" s="1"/>
  <c r="C28" i="63" s="1"/>
  <c r="C29" i="63" s="1"/>
  <c r="C30" i="63" s="1"/>
  <c r="C31" i="63" s="1"/>
  <c r="C32" i="63" s="1"/>
  <c r="C33" i="63" s="1"/>
  <c r="C34" i="63" s="1"/>
  <c r="C35" i="63" s="1"/>
  <c r="C36" i="63" s="1"/>
  <c r="C37" i="63" s="1"/>
  <c r="C38" i="63" s="1"/>
  <c r="C39" i="63" s="1"/>
  <c r="C40" i="63" s="1"/>
  <c r="C41" i="63" s="1"/>
  <c r="C42" i="63" s="1"/>
  <c r="C43" i="63" s="1"/>
  <c r="C44" i="63" s="1"/>
  <c r="C45" i="63" s="1"/>
  <c r="C46" i="63" s="1"/>
  <c r="C47" i="63" s="1"/>
  <c r="C48" i="63" s="1"/>
  <c r="C49" i="63" s="1"/>
  <c r="C50" i="63" s="1"/>
  <c r="C51" i="63" s="1"/>
  <c r="C52" i="63" s="1"/>
  <c r="C53" i="63" s="1"/>
  <c r="C54" i="63" s="1"/>
  <c r="C55" i="63" s="1"/>
  <c r="C56" i="63" s="1"/>
  <c r="C57" i="63" s="1"/>
  <c r="C58" i="63" s="1"/>
  <c r="C59" i="63" s="1"/>
  <c r="C60" i="63" s="1"/>
  <c r="C61" i="63" s="1"/>
  <c r="C62" i="63" s="1"/>
  <c r="C63" i="63" s="1"/>
  <c r="C64" i="63" s="1"/>
  <c r="C65" i="63" s="1"/>
  <c r="C66" i="63" s="1"/>
  <c r="C67" i="63" s="1"/>
  <c r="C68" i="63" s="1"/>
  <c r="C69" i="63" s="1"/>
  <c r="C70" i="63" s="1"/>
  <c r="C71" i="63" s="1"/>
  <c r="C72" i="63" s="1"/>
  <c r="C73" i="63" s="1"/>
  <c r="C74" i="63" s="1"/>
  <c r="C75" i="63" s="1"/>
  <c r="C76" i="63" s="1"/>
  <c r="C77" i="63" s="1"/>
  <c r="C78" i="63" s="1"/>
  <c r="C79" i="63" s="1"/>
  <c r="C80" i="63" s="1"/>
  <c r="K7" i="65" l="1"/>
  <c r="M7" i="65"/>
  <c r="H7" i="65"/>
  <c r="CX19" i="64"/>
  <c r="CT19" i="64"/>
  <c r="CP19" i="64"/>
  <c r="CH7" i="65"/>
  <c r="CD7" i="65"/>
  <c r="BZ7" i="65"/>
  <c r="BV7" i="65"/>
  <c r="L7" i="65"/>
  <c r="G7" i="65"/>
  <c r="CW19" i="64"/>
  <c r="CS19" i="64"/>
  <c r="CO19" i="64"/>
  <c r="CG7" i="65"/>
  <c r="CC7" i="65"/>
  <c r="BY7" i="65"/>
  <c r="BU7" i="65"/>
  <c r="BQ7" i="65"/>
  <c r="BM7" i="65"/>
  <c r="BI7" i="65"/>
  <c r="BE7" i="65"/>
  <c r="BA7" i="65"/>
  <c r="AW7" i="65"/>
  <c r="AS7" i="65"/>
  <c r="AO7" i="65"/>
  <c r="AK7" i="65"/>
  <c r="AG7" i="65"/>
  <c r="AC7" i="65"/>
  <c r="Y7" i="65"/>
  <c r="U7" i="65"/>
  <c r="Q7" i="65"/>
  <c r="M6" i="65"/>
  <c r="I6" i="65"/>
  <c r="CI6" i="65"/>
  <c r="CE6" i="65"/>
  <c r="CA6" i="65"/>
  <c r="BW6" i="65"/>
  <c r="BS6" i="65"/>
  <c r="BO6" i="65"/>
  <c r="BK6" i="65"/>
  <c r="BG6" i="65"/>
  <c r="BC6" i="65"/>
  <c r="J7" i="65"/>
  <c r="F7" i="65"/>
  <c r="CV19" i="64"/>
  <c r="CR19" i="64"/>
  <c r="CN19" i="64"/>
  <c r="CF7" i="65"/>
  <c r="CB7" i="65"/>
  <c r="BX7" i="65"/>
  <c r="BT7" i="65"/>
  <c r="BP7" i="65"/>
  <c r="BL7" i="65"/>
  <c r="BH7" i="65"/>
  <c r="BD7" i="65"/>
  <c r="AZ7" i="65"/>
  <c r="AV7" i="65"/>
  <c r="AR7" i="65"/>
  <c r="AN7" i="65"/>
  <c r="AJ7" i="65"/>
  <c r="AF7" i="65"/>
  <c r="AB7" i="65"/>
  <c r="X7" i="65"/>
  <c r="T7" i="65"/>
  <c r="P7" i="65"/>
  <c r="L6" i="65"/>
  <c r="H6" i="65"/>
  <c r="CH6" i="65"/>
  <c r="CD6" i="65"/>
  <c r="BZ6" i="65"/>
  <c r="BV6" i="65"/>
  <c r="BR6" i="65"/>
  <c r="BN6" i="65"/>
  <c r="BJ6" i="65"/>
  <c r="BF6" i="65"/>
  <c r="BB6" i="65"/>
  <c r="AX6" i="65"/>
  <c r="AT6" i="65"/>
  <c r="AP6" i="65"/>
  <c r="AL6" i="65"/>
  <c r="AH6" i="65"/>
  <c r="AD6" i="65"/>
  <c r="Z6" i="65"/>
  <c r="V6" i="65"/>
  <c r="R6" i="65"/>
  <c r="N6" i="65"/>
  <c r="CY19" i="64"/>
  <c r="CQ19" i="64"/>
  <c r="CE7" i="65"/>
  <c r="BW7" i="65"/>
  <c r="BO7" i="65"/>
  <c r="BG7" i="65"/>
  <c r="I7" i="65"/>
  <c r="CU19" i="64"/>
  <c r="CI7" i="65"/>
  <c r="CA7" i="65"/>
  <c r="BS7" i="65"/>
  <c r="BK7" i="65"/>
  <c r="BC7" i="65"/>
  <c r="BF7" i="65"/>
  <c r="AU7" i="65"/>
  <c r="AM7" i="65"/>
  <c r="AE7" i="65"/>
  <c r="W7" i="65"/>
  <c r="O7" i="65"/>
  <c r="G6" i="65"/>
  <c r="CC6" i="65"/>
  <c r="BU6" i="65"/>
  <c r="BM6" i="65"/>
  <c r="BE6" i="65"/>
  <c r="AY6" i="65"/>
  <c r="AS6" i="65"/>
  <c r="AN6" i="65"/>
  <c r="AI6" i="65"/>
  <c r="AC6" i="65"/>
  <c r="X6" i="65"/>
  <c r="S6" i="65"/>
  <c r="W6" i="65"/>
  <c r="Q6" i="65"/>
  <c r="AX7" i="65"/>
  <c r="Z7" i="65"/>
  <c r="CF6" i="65"/>
  <c r="BH6" i="65"/>
  <c r="AO6" i="65"/>
  <c r="Y6" i="65"/>
  <c r="O6" i="65"/>
  <c r="BR7" i="65"/>
  <c r="BB7" i="65"/>
  <c r="AT7" i="65"/>
  <c r="AL7" i="65"/>
  <c r="AD7" i="65"/>
  <c r="V7" i="65"/>
  <c r="N7" i="65"/>
  <c r="F6" i="65"/>
  <c r="CB6" i="65"/>
  <c r="BT6" i="65"/>
  <c r="BL6" i="65"/>
  <c r="BD6" i="65"/>
  <c r="AW6" i="65"/>
  <c r="AR6" i="65"/>
  <c r="AM6" i="65"/>
  <c r="AG6" i="65"/>
  <c r="AB6" i="65"/>
  <c r="U6" i="65"/>
  <c r="BJ7" i="65"/>
  <c r="AH7" i="65"/>
  <c r="J6" i="65"/>
  <c r="BP6" i="65"/>
  <c r="AU6" i="65"/>
  <c r="AE6" i="65"/>
  <c r="BN7" i="65"/>
  <c r="AY7" i="65"/>
  <c r="AQ7" i="65"/>
  <c r="AI7" i="65"/>
  <c r="AA7" i="65"/>
  <c r="S7" i="65"/>
  <c r="K6" i="65"/>
  <c r="CG6" i="65"/>
  <c r="BY6" i="65"/>
  <c r="BQ6" i="65"/>
  <c r="BI6" i="65"/>
  <c r="BA6" i="65"/>
  <c r="AV6" i="65"/>
  <c r="AQ6" i="65"/>
  <c r="AK6" i="65"/>
  <c r="AF6" i="65"/>
  <c r="AA6" i="65"/>
  <c r="P6" i="65"/>
  <c r="AP7" i="65"/>
  <c r="R7" i="65"/>
  <c r="BX6" i="65"/>
  <c r="AZ6" i="65"/>
  <c r="AJ6" i="65"/>
  <c r="T6" i="65"/>
  <c r="C8" i="65"/>
  <c r="CW113" i="64"/>
  <c r="CS113" i="64"/>
  <c r="CO113" i="64"/>
  <c r="CG99" i="65"/>
  <c r="CC99" i="65"/>
  <c r="BY99" i="65"/>
  <c r="BU99" i="65"/>
  <c r="BQ99" i="65"/>
  <c r="BM99" i="65"/>
  <c r="BI99" i="65"/>
  <c r="BE99" i="65"/>
  <c r="BA99" i="65"/>
  <c r="AW99" i="65"/>
  <c r="AS99" i="65"/>
  <c r="AO99" i="65"/>
  <c r="AK99" i="65"/>
  <c r="AG99" i="65"/>
  <c r="AC99" i="65"/>
  <c r="Y99" i="65"/>
  <c r="U99" i="65"/>
  <c r="Q99" i="65"/>
  <c r="M99" i="65"/>
  <c r="I99" i="65"/>
  <c r="CX112" i="64"/>
  <c r="CT112" i="64"/>
  <c r="CP112" i="64"/>
  <c r="CH98" i="65"/>
  <c r="CD98" i="65"/>
  <c r="BZ98" i="65"/>
  <c r="BV98" i="65"/>
  <c r="BR98" i="65"/>
  <c r="BN98" i="65"/>
  <c r="BJ98" i="65"/>
  <c r="BF98" i="65"/>
  <c r="BB98" i="65"/>
  <c r="AX98" i="65"/>
  <c r="AT98" i="65"/>
  <c r="AP98" i="65"/>
  <c r="AL98" i="65"/>
  <c r="AH98" i="65"/>
  <c r="AD98" i="65"/>
  <c r="Z98" i="65"/>
  <c r="V98" i="65"/>
  <c r="R98" i="65"/>
  <c r="N98" i="65"/>
  <c r="J98" i="65"/>
  <c r="F99" i="65"/>
  <c r="CV113" i="64"/>
  <c r="CR113" i="64"/>
  <c r="CN113" i="64"/>
  <c r="CF99" i="65"/>
  <c r="CB99" i="65"/>
  <c r="BX99" i="65"/>
  <c r="BT99" i="65"/>
  <c r="BP99" i="65"/>
  <c r="BL99" i="65"/>
  <c r="BH99" i="65"/>
  <c r="BD99" i="65"/>
  <c r="AZ99" i="65"/>
  <c r="AV99" i="65"/>
  <c r="AR99" i="65"/>
  <c r="AN99" i="65"/>
  <c r="AJ99" i="65"/>
  <c r="AF99" i="65"/>
  <c r="AB99" i="65"/>
  <c r="X99" i="65"/>
  <c r="T99" i="65"/>
  <c r="P99" i="65"/>
  <c r="L99" i="65"/>
  <c r="H99" i="65"/>
  <c r="CW112" i="64"/>
  <c r="CS112" i="64"/>
  <c r="CO112" i="64"/>
  <c r="CG98" i="65"/>
  <c r="CC98" i="65"/>
  <c r="BY98" i="65"/>
  <c r="BU98" i="65"/>
  <c r="BQ98" i="65"/>
  <c r="BM98" i="65"/>
  <c r="BI98" i="65"/>
  <c r="BE98" i="65"/>
  <c r="BA98" i="65"/>
  <c r="AW98" i="65"/>
  <c r="AS98" i="65"/>
  <c r="AO98" i="65"/>
  <c r="AK98" i="65"/>
  <c r="AG98" i="65"/>
  <c r="AC98" i="65"/>
  <c r="Y98" i="65"/>
  <c r="U98" i="65"/>
  <c r="Q98" i="65"/>
  <c r="M98" i="65"/>
  <c r="I98" i="65"/>
  <c r="F98" i="65"/>
  <c r="CY113" i="64"/>
  <c r="CU113" i="64"/>
  <c r="CQ113" i="64"/>
  <c r="CI99" i="65"/>
  <c r="CE99" i="65"/>
  <c r="CA99" i="65"/>
  <c r="BW99" i="65"/>
  <c r="BS99" i="65"/>
  <c r="BO99" i="65"/>
  <c r="BK99" i="65"/>
  <c r="BG99" i="65"/>
  <c r="BC99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CV112" i="64"/>
  <c r="CR112" i="64"/>
  <c r="CN112" i="64"/>
  <c r="CF98" i="65"/>
  <c r="CB98" i="65"/>
  <c r="BX98" i="65"/>
  <c r="BT98" i="65"/>
  <c r="BP98" i="65"/>
  <c r="BL98" i="65"/>
  <c r="BH98" i="65"/>
  <c r="BD98" i="65"/>
  <c r="AZ98" i="65"/>
  <c r="AV98" i="65"/>
  <c r="AR98" i="65"/>
  <c r="AN98" i="65"/>
  <c r="AJ98" i="65"/>
  <c r="AF98" i="65"/>
  <c r="AB98" i="65"/>
  <c r="X98" i="65"/>
  <c r="T98" i="65"/>
  <c r="P98" i="65"/>
  <c r="L98" i="65"/>
  <c r="H98" i="65"/>
  <c r="CX113" i="64"/>
  <c r="CT113" i="64"/>
  <c r="CP113" i="64"/>
  <c r="CH99" i="65"/>
  <c r="CD99" i="65"/>
  <c r="BZ99" i="65"/>
  <c r="BV99" i="65"/>
  <c r="BR99" i="65"/>
  <c r="BN99" i="65"/>
  <c r="BJ99" i="65"/>
  <c r="BF99" i="65"/>
  <c r="BB99" i="65"/>
  <c r="AX99" i="65"/>
  <c r="AT99" i="65"/>
  <c r="AP99" i="65"/>
  <c r="AL99" i="65"/>
  <c r="AH99" i="65"/>
  <c r="AD99" i="65"/>
  <c r="Z99" i="65"/>
  <c r="V99" i="65"/>
  <c r="R99" i="65"/>
  <c r="N99" i="65"/>
  <c r="J99" i="65"/>
  <c r="CY112" i="64"/>
  <c r="CU112" i="64"/>
  <c r="CQ112" i="64"/>
  <c r="CI98" i="65"/>
  <c r="CE98" i="65"/>
  <c r="CA98" i="65"/>
  <c r="BW98" i="65"/>
  <c r="BS98" i="65"/>
  <c r="BO98" i="65"/>
  <c r="BK98" i="65"/>
  <c r="BG98" i="65"/>
  <c r="BC98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C100" i="65"/>
  <c r="CY61" i="64"/>
  <c r="CU61" i="64"/>
  <c r="CQ61" i="64"/>
  <c r="CI47" i="65"/>
  <c r="CE47" i="65"/>
  <c r="CA47" i="65"/>
  <c r="BW47" i="65"/>
  <c r="BS47" i="65"/>
  <c r="BO47" i="65"/>
  <c r="BK47" i="65"/>
  <c r="BG47" i="65"/>
  <c r="BC47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CV60" i="64"/>
  <c r="CR60" i="64"/>
  <c r="CN60" i="64"/>
  <c r="CF46" i="65"/>
  <c r="CB46" i="65"/>
  <c r="BX46" i="65"/>
  <c r="BT46" i="65"/>
  <c r="BP46" i="65"/>
  <c r="BL46" i="65"/>
  <c r="BH46" i="65"/>
  <c r="BD46" i="65"/>
  <c r="AZ46" i="65"/>
  <c r="AV46" i="65"/>
  <c r="AR46" i="65"/>
  <c r="AN46" i="65"/>
  <c r="AJ46" i="65"/>
  <c r="AF46" i="65"/>
  <c r="AB46" i="65"/>
  <c r="X46" i="65"/>
  <c r="T46" i="65"/>
  <c r="P46" i="65"/>
  <c r="L46" i="65"/>
  <c r="H46" i="65"/>
  <c r="CX61" i="64"/>
  <c r="CT61" i="64"/>
  <c r="CP61" i="64"/>
  <c r="CH47" i="65"/>
  <c r="CD47" i="65"/>
  <c r="BZ47" i="65"/>
  <c r="BV47" i="65"/>
  <c r="BR47" i="65"/>
  <c r="BN47" i="65"/>
  <c r="BJ47" i="65"/>
  <c r="BF47" i="65"/>
  <c r="BB47" i="65"/>
  <c r="AX47" i="65"/>
  <c r="AT47" i="65"/>
  <c r="AP47" i="65"/>
  <c r="AL47" i="65"/>
  <c r="AH47" i="65"/>
  <c r="AD47" i="65"/>
  <c r="Z47" i="65"/>
  <c r="V47" i="65"/>
  <c r="R47" i="65"/>
  <c r="N47" i="65"/>
  <c r="J47" i="65"/>
  <c r="CY60" i="64"/>
  <c r="CU60" i="64"/>
  <c r="CQ60" i="64"/>
  <c r="CI46" i="65"/>
  <c r="CE46" i="65"/>
  <c r="CA46" i="65"/>
  <c r="BW46" i="65"/>
  <c r="BS46" i="65"/>
  <c r="BO46" i="65"/>
  <c r="BK46" i="65"/>
  <c r="BG46" i="65"/>
  <c r="BC46" i="65"/>
  <c r="AY46" i="65"/>
  <c r="AU46" i="65"/>
  <c r="AQ46" i="65"/>
  <c r="AM46" i="65"/>
  <c r="AI46" i="65"/>
  <c r="AE46" i="65"/>
  <c r="AA46" i="65"/>
  <c r="W46" i="65"/>
  <c r="S46" i="65"/>
  <c r="O46" i="65"/>
  <c r="K46" i="65"/>
  <c r="G46" i="65"/>
  <c r="CW61" i="64"/>
  <c r="CS61" i="64"/>
  <c r="CO61" i="64"/>
  <c r="CG47" i="65"/>
  <c r="CC47" i="65"/>
  <c r="BY47" i="65"/>
  <c r="BU47" i="65"/>
  <c r="BQ47" i="65"/>
  <c r="BM47" i="65"/>
  <c r="BI47" i="65"/>
  <c r="BE47" i="65"/>
  <c r="BA47" i="65"/>
  <c r="AW47" i="65"/>
  <c r="AS47" i="65"/>
  <c r="AO47" i="65"/>
  <c r="AK47" i="65"/>
  <c r="AG47" i="65"/>
  <c r="AC47" i="65"/>
  <c r="Y47" i="65"/>
  <c r="U47" i="65"/>
  <c r="Q47" i="65"/>
  <c r="M47" i="65"/>
  <c r="I47" i="65"/>
  <c r="CX60" i="64"/>
  <c r="CT60" i="64"/>
  <c r="CP60" i="64"/>
  <c r="CH46" i="65"/>
  <c r="CD46" i="65"/>
  <c r="BZ46" i="65"/>
  <c r="BV46" i="65"/>
  <c r="BR46" i="65"/>
  <c r="BN46" i="65"/>
  <c r="BJ46" i="65"/>
  <c r="BF46" i="65"/>
  <c r="BB46" i="65"/>
  <c r="AX46" i="65"/>
  <c r="AT46" i="65"/>
  <c r="AP46" i="65"/>
  <c r="AL46" i="65"/>
  <c r="AH46" i="65"/>
  <c r="AD46" i="65"/>
  <c r="Z46" i="65"/>
  <c r="V46" i="65"/>
  <c r="R46" i="65"/>
  <c r="N46" i="65"/>
  <c r="J46" i="65"/>
  <c r="CV61" i="64"/>
  <c r="CR61" i="64"/>
  <c r="CN61" i="64"/>
  <c r="CF47" i="65"/>
  <c r="CB47" i="65"/>
  <c r="BX47" i="65"/>
  <c r="BT47" i="65"/>
  <c r="BP47" i="65"/>
  <c r="BL47" i="65"/>
  <c r="BH47" i="65"/>
  <c r="BD47" i="65"/>
  <c r="AZ47" i="65"/>
  <c r="AV47" i="65"/>
  <c r="AR47" i="65"/>
  <c r="AN47" i="65"/>
  <c r="AJ47" i="65"/>
  <c r="AF47" i="65"/>
  <c r="AB47" i="65"/>
  <c r="X47" i="65"/>
  <c r="T47" i="65"/>
  <c r="P47" i="65"/>
  <c r="L47" i="65"/>
  <c r="H47" i="65"/>
  <c r="CW60" i="64"/>
  <c r="CS60" i="64"/>
  <c r="CO60" i="64"/>
  <c r="CG46" i="65"/>
  <c r="CC46" i="65"/>
  <c r="BY46" i="65"/>
  <c r="BU46" i="65"/>
  <c r="BQ46" i="65"/>
  <c r="BM46" i="65"/>
  <c r="BI46" i="65"/>
  <c r="BE46" i="65"/>
  <c r="BA46" i="65"/>
  <c r="AW46" i="65"/>
  <c r="AS46" i="65"/>
  <c r="AO46" i="65"/>
  <c r="AK46" i="65"/>
  <c r="AG46" i="65"/>
  <c r="AC46" i="65"/>
  <c r="Y46" i="65"/>
  <c r="U46" i="65"/>
  <c r="Q46" i="65"/>
  <c r="M46" i="65"/>
  <c r="I46" i="65"/>
  <c r="C48" i="65"/>
  <c r="F19" i="64"/>
  <c r="C7" i="65" s="1"/>
  <c r="CW105" i="64"/>
  <c r="CS105" i="64"/>
  <c r="CO105" i="64"/>
  <c r="CG91" i="65"/>
  <c r="CC91" i="65"/>
  <c r="BY91" i="65"/>
  <c r="BU91" i="65"/>
  <c r="BQ91" i="65"/>
  <c r="BM91" i="65"/>
  <c r="BI91" i="65"/>
  <c r="BE91" i="65"/>
  <c r="BA91" i="65"/>
  <c r="AW91" i="65"/>
  <c r="AS91" i="65"/>
  <c r="AO91" i="65"/>
  <c r="AK91" i="65"/>
  <c r="AG91" i="65"/>
  <c r="AC91" i="65"/>
  <c r="Y91" i="65"/>
  <c r="U91" i="65"/>
  <c r="Q91" i="65"/>
  <c r="M91" i="65"/>
  <c r="I91" i="65"/>
  <c r="CX104" i="64"/>
  <c r="CT104" i="64"/>
  <c r="CP104" i="64"/>
  <c r="CH90" i="65"/>
  <c r="CD90" i="65"/>
  <c r="BZ90" i="65"/>
  <c r="BV90" i="65"/>
  <c r="BR90" i="65"/>
  <c r="BN90" i="65"/>
  <c r="BJ90" i="65"/>
  <c r="BF90" i="65"/>
  <c r="BB90" i="65"/>
  <c r="AX90" i="65"/>
  <c r="AT90" i="65"/>
  <c r="CV105" i="64"/>
  <c r="CR105" i="64"/>
  <c r="CN105" i="64"/>
  <c r="CF91" i="65"/>
  <c r="CB91" i="65"/>
  <c r="BX91" i="65"/>
  <c r="BT91" i="65"/>
  <c r="BP91" i="65"/>
  <c r="BL91" i="65"/>
  <c r="BH91" i="65"/>
  <c r="BD91" i="65"/>
  <c r="AZ91" i="65"/>
  <c r="AV91" i="65"/>
  <c r="AR91" i="65"/>
  <c r="AN91" i="65"/>
  <c r="AJ91" i="65"/>
  <c r="AF91" i="65"/>
  <c r="AB91" i="65"/>
  <c r="X91" i="65"/>
  <c r="T91" i="65"/>
  <c r="P91" i="65"/>
  <c r="L91" i="65"/>
  <c r="H91" i="65"/>
  <c r="CW104" i="64"/>
  <c r="CS104" i="64"/>
  <c r="CO104" i="64"/>
  <c r="CG90" i="65"/>
  <c r="CC90" i="65"/>
  <c r="BY90" i="65"/>
  <c r="BU90" i="65"/>
  <c r="BQ90" i="65"/>
  <c r="BM90" i="65"/>
  <c r="BI90" i="65"/>
  <c r="BE90" i="65"/>
  <c r="BA90" i="65"/>
  <c r="AW90" i="65"/>
  <c r="AS90" i="65"/>
  <c r="AO90" i="65"/>
  <c r="CY105" i="64"/>
  <c r="CU105" i="64"/>
  <c r="CQ105" i="64"/>
  <c r="CI91" i="65"/>
  <c r="CE91" i="65"/>
  <c r="CA91" i="65"/>
  <c r="BW91" i="65"/>
  <c r="BS91" i="65"/>
  <c r="BO91" i="65"/>
  <c r="BK91" i="65"/>
  <c r="BG91" i="65"/>
  <c r="BC91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CV104" i="64"/>
  <c r="CR104" i="64"/>
  <c r="CN104" i="64"/>
  <c r="CF90" i="65"/>
  <c r="CB90" i="65"/>
  <c r="BX90" i="65"/>
  <c r="BT90" i="65"/>
  <c r="BP90" i="65"/>
  <c r="BL90" i="65"/>
  <c r="BH90" i="65"/>
  <c r="BD90" i="65"/>
  <c r="AZ90" i="65"/>
  <c r="AV90" i="65"/>
  <c r="AR90" i="65"/>
  <c r="CX105" i="64"/>
  <c r="CT105" i="64"/>
  <c r="CP105" i="64"/>
  <c r="CH91" i="65"/>
  <c r="CD91" i="65"/>
  <c r="BZ91" i="65"/>
  <c r="BV91" i="65"/>
  <c r="BR91" i="65"/>
  <c r="BN91" i="65"/>
  <c r="BJ91" i="65"/>
  <c r="BF91" i="65"/>
  <c r="BB91" i="65"/>
  <c r="AX91" i="65"/>
  <c r="AT91" i="65"/>
  <c r="AP91" i="65"/>
  <c r="AL91" i="65"/>
  <c r="AH91" i="65"/>
  <c r="AD91" i="65"/>
  <c r="Z91" i="65"/>
  <c r="V91" i="65"/>
  <c r="R91" i="65"/>
  <c r="N91" i="65"/>
  <c r="J91" i="65"/>
  <c r="CY104" i="64"/>
  <c r="CU104" i="64"/>
  <c r="CQ104" i="64"/>
  <c r="CI90" i="65"/>
  <c r="CE90" i="65"/>
  <c r="CA90" i="65"/>
  <c r="BW90" i="65"/>
  <c r="BS90" i="65"/>
  <c r="BO90" i="65"/>
  <c r="BK90" i="65"/>
  <c r="BG90" i="65"/>
  <c r="BC90" i="65"/>
  <c r="AY90" i="65"/>
  <c r="AU90" i="65"/>
  <c r="AQ90" i="65"/>
  <c r="AL90" i="65"/>
  <c r="AH90" i="65"/>
  <c r="AD90" i="65"/>
  <c r="Z90" i="65"/>
  <c r="V90" i="65"/>
  <c r="R90" i="65"/>
  <c r="N90" i="65"/>
  <c r="J90" i="65"/>
  <c r="AP90" i="65"/>
  <c r="AK90" i="65"/>
  <c r="AG90" i="65"/>
  <c r="AC90" i="65"/>
  <c r="Y90" i="65"/>
  <c r="U90" i="65"/>
  <c r="Q90" i="65"/>
  <c r="M90" i="65"/>
  <c r="I90" i="65"/>
  <c r="AN90" i="65"/>
  <c r="AJ90" i="65"/>
  <c r="AF90" i="65"/>
  <c r="AB90" i="65"/>
  <c r="X90" i="65"/>
  <c r="T90" i="65"/>
  <c r="P90" i="65"/>
  <c r="L90" i="65"/>
  <c r="H90" i="65"/>
  <c r="AM90" i="65"/>
  <c r="AI90" i="65"/>
  <c r="AE90" i="65"/>
  <c r="AA90" i="65"/>
  <c r="W90" i="65"/>
  <c r="S90" i="65"/>
  <c r="O90" i="65"/>
  <c r="K90" i="65"/>
  <c r="G90" i="65"/>
  <c r="C92" i="65"/>
  <c r="F83" i="64"/>
  <c r="C69" i="65" s="1"/>
  <c r="I16" i="64"/>
  <c r="E4" i="65"/>
  <c r="I22" i="64"/>
  <c r="E10" i="65"/>
  <c r="I26" i="64"/>
  <c r="E14" i="65"/>
  <c r="I28" i="64"/>
  <c r="E16" i="65"/>
  <c r="I23" i="64"/>
  <c r="E11" i="65"/>
  <c r="I29" i="64"/>
  <c r="E17" i="65"/>
  <c r="I25" i="64"/>
  <c r="E13" i="65"/>
  <c r="I24" i="64"/>
  <c r="E12" i="65"/>
  <c r="I27" i="64"/>
  <c r="E15" i="65"/>
  <c r="I30" i="64"/>
  <c r="E18" i="65"/>
  <c r="C38" i="65"/>
  <c r="C39" i="65"/>
  <c r="I21" i="64"/>
  <c r="E9" i="65"/>
  <c r="I17" i="64"/>
  <c r="E5" i="65"/>
  <c r="I20" i="64"/>
  <c r="E8" i="65"/>
  <c r="H31" i="64"/>
  <c r="BA19" i="65"/>
  <c r="L11" i="64"/>
  <c r="G1" i="65"/>
  <c r="F82" i="64"/>
  <c r="F48" i="64"/>
  <c r="C36" i="65" s="1"/>
  <c r="H114" i="64"/>
  <c r="H124" i="64"/>
  <c r="H86" i="64"/>
  <c r="H69" i="64"/>
  <c r="H73" i="64"/>
  <c r="H84" i="64"/>
  <c r="H118" i="64"/>
  <c r="H57" i="64"/>
  <c r="H62" i="64"/>
  <c r="H63" i="64"/>
  <c r="H116" i="64"/>
  <c r="H122" i="64"/>
  <c r="H50" i="64"/>
  <c r="H51" i="64"/>
  <c r="E39" i="65" s="1"/>
  <c r="H127" i="64"/>
  <c r="I127" i="64" s="1"/>
  <c r="H37" i="64"/>
  <c r="H106" i="64"/>
  <c r="H110" i="64"/>
  <c r="H15" i="64"/>
  <c r="H55" i="64"/>
  <c r="H66" i="64"/>
  <c r="H90" i="64"/>
  <c r="H98" i="64"/>
  <c r="H33" i="64"/>
  <c r="H35" i="64"/>
  <c r="H39" i="64"/>
  <c r="H56" i="64"/>
  <c r="H80" i="64"/>
  <c r="H88" i="64"/>
  <c r="H95" i="64"/>
  <c r="H107" i="64"/>
  <c r="H120" i="64"/>
  <c r="H40" i="64"/>
  <c r="H46" i="64"/>
  <c r="H75" i="64"/>
  <c r="H115" i="64"/>
  <c r="H119" i="64"/>
  <c r="H121" i="64"/>
  <c r="H65" i="64"/>
  <c r="H78" i="64"/>
  <c r="H32" i="64"/>
  <c r="H36" i="64"/>
  <c r="H42" i="64"/>
  <c r="H97" i="64"/>
  <c r="H117" i="64"/>
  <c r="H123" i="64"/>
  <c r="H38" i="64"/>
  <c r="H41" i="64"/>
  <c r="H54" i="64"/>
  <c r="H64" i="64"/>
  <c r="H72" i="64"/>
  <c r="H76" i="64"/>
  <c r="H79" i="64"/>
  <c r="H92" i="64"/>
  <c r="H43" i="64"/>
  <c r="H47" i="64"/>
  <c r="H68" i="64"/>
  <c r="H34" i="64"/>
  <c r="H67" i="64"/>
  <c r="H70" i="64"/>
  <c r="H77" i="64"/>
  <c r="H81" i="64"/>
  <c r="H89" i="64"/>
  <c r="H99" i="64"/>
  <c r="F61" i="64"/>
  <c r="C47" i="65" s="1"/>
  <c r="H71" i="64"/>
  <c r="H91" i="64"/>
  <c r="F104" i="64"/>
  <c r="F105" i="64"/>
  <c r="H109" i="64"/>
  <c r="H125" i="64"/>
  <c r="H87" i="64"/>
  <c r="H96" i="64"/>
  <c r="H108" i="64"/>
  <c r="H93" i="64"/>
  <c r="H126" i="64"/>
  <c r="I126" i="64" s="1"/>
  <c r="H74" i="64"/>
  <c r="E58" i="64"/>
  <c r="H85" i="64"/>
  <c r="H94" i="64"/>
  <c r="H111" i="64"/>
  <c r="F113" i="64"/>
  <c r="C99" i="65" s="1"/>
  <c r="H37" i="65" l="1"/>
  <c r="L37" i="65"/>
  <c r="H105" i="64"/>
  <c r="F91" i="65"/>
  <c r="H60" i="64"/>
  <c r="E46" i="65" s="1"/>
  <c r="F46" i="65"/>
  <c r="R36" i="65"/>
  <c r="BB36" i="65"/>
  <c r="CH36" i="65"/>
  <c r="X37" i="65"/>
  <c r="AV37" i="65"/>
  <c r="BL37" i="65"/>
  <c r="CB37" i="65"/>
  <c r="CV49" i="64"/>
  <c r="AD36" i="65"/>
  <c r="BF36" i="65"/>
  <c r="CP48" i="64"/>
  <c r="AB37" i="65"/>
  <c r="O36" i="65"/>
  <c r="AE36" i="65"/>
  <c r="AU36" i="65"/>
  <c r="BK36" i="65"/>
  <c r="CA36" i="65"/>
  <c r="CU48" i="64"/>
  <c r="Q37" i="65"/>
  <c r="AG37" i="65"/>
  <c r="AW37" i="65"/>
  <c r="BM37" i="65"/>
  <c r="CC37" i="65"/>
  <c r="CW49" i="64"/>
  <c r="T36" i="65"/>
  <c r="AJ36" i="65"/>
  <c r="AZ36" i="65"/>
  <c r="BP36" i="65"/>
  <c r="CF36" i="65"/>
  <c r="V37" i="65"/>
  <c r="AL37" i="65"/>
  <c r="BB37" i="65"/>
  <c r="BR37" i="65"/>
  <c r="CH37" i="65"/>
  <c r="I36" i="65"/>
  <c r="Y36" i="65"/>
  <c r="AO36" i="65"/>
  <c r="BE36" i="65"/>
  <c r="BU36" i="65"/>
  <c r="CO48" i="64"/>
  <c r="K37" i="65"/>
  <c r="AA37" i="65"/>
  <c r="AQ37" i="65"/>
  <c r="BG37" i="65"/>
  <c r="BW37" i="65"/>
  <c r="CQ49" i="64"/>
  <c r="H19" i="64"/>
  <c r="E7" i="65" s="1"/>
  <c r="H18" i="64"/>
  <c r="E6" i="65" s="1"/>
  <c r="Z36" i="65"/>
  <c r="BJ36" i="65"/>
  <c r="CT48" i="64"/>
  <c r="AF37" i="65"/>
  <c r="AZ37" i="65"/>
  <c r="BP37" i="65"/>
  <c r="CF37" i="65"/>
  <c r="AH36" i="65"/>
  <c r="BN36" i="65"/>
  <c r="CX48" i="64"/>
  <c r="AR37" i="65"/>
  <c r="S36" i="65"/>
  <c r="AI36" i="65"/>
  <c r="AY36" i="65"/>
  <c r="BO36" i="65"/>
  <c r="CE36" i="65"/>
  <c r="CY48" i="64"/>
  <c r="U37" i="65"/>
  <c r="AK37" i="65"/>
  <c r="BA37" i="65"/>
  <c r="BQ37" i="65"/>
  <c r="CG37" i="65"/>
  <c r="H36" i="65"/>
  <c r="X36" i="65"/>
  <c r="AN36" i="65"/>
  <c r="BD36" i="65"/>
  <c r="BT36" i="65"/>
  <c r="CN48" i="64"/>
  <c r="J37" i="65"/>
  <c r="Z37" i="65"/>
  <c r="AP37" i="65"/>
  <c r="BF37" i="65"/>
  <c r="BV37" i="65"/>
  <c r="CP49" i="64"/>
  <c r="M36" i="65"/>
  <c r="AC36" i="65"/>
  <c r="AS36" i="65"/>
  <c r="BI36" i="65"/>
  <c r="BY36" i="65"/>
  <c r="CS48" i="64"/>
  <c r="O37" i="65"/>
  <c r="AE37" i="65"/>
  <c r="AU37" i="65"/>
  <c r="BK37" i="65"/>
  <c r="CA37" i="65"/>
  <c r="CU49" i="64"/>
  <c r="H104" i="64"/>
  <c r="E90" i="65" s="1"/>
  <c r="F90" i="65"/>
  <c r="AL36" i="65"/>
  <c r="AJ37" i="65"/>
  <c r="CN49" i="64"/>
  <c r="AP36" i="65"/>
  <c r="W36" i="65"/>
  <c r="BC36" i="65"/>
  <c r="I37" i="65"/>
  <c r="AO37" i="65"/>
  <c r="BU37" i="65"/>
  <c r="L36" i="65"/>
  <c r="AR36" i="65"/>
  <c r="BX36" i="65"/>
  <c r="AD37" i="65"/>
  <c r="BJ37" i="65"/>
  <c r="CT49" i="64"/>
  <c r="Q36" i="65"/>
  <c r="AG36" i="65"/>
  <c r="AW36" i="65"/>
  <c r="BM36" i="65"/>
  <c r="CC36" i="65"/>
  <c r="CW48" i="64"/>
  <c r="S37" i="65"/>
  <c r="AI37" i="65"/>
  <c r="AY37" i="65"/>
  <c r="BO37" i="65"/>
  <c r="CE37" i="65"/>
  <c r="BR36" i="65"/>
  <c r="BD37" i="65"/>
  <c r="BT37" i="65"/>
  <c r="N36" i="65"/>
  <c r="BV36" i="65"/>
  <c r="G36" i="65"/>
  <c r="AM36" i="65"/>
  <c r="BS36" i="65"/>
  <c r="CI36" i="65"/>
  <c r="Y37" i="65"/>
  <c r="BE37" i="65"/>
  <c r="CO49" i="64"/>
  <c r="AB36" i="65"/>
  <c r="BH36" i="65"/>
  <c r="CR48" i="64"/>
  <c r="N37" i="65"/>
  <c r="AT37" i="65"/>
  <c r="BZ37" i="65"/>
  <c r="CY49" i="64"/>
  <c r="H61" i="64"/>
  <c r="F47" i="65"/>
  <c r="J36" i="65"/>
  <c r="AT36" i="65"/>
  <c r="BZ36" i="65"/>
  <c r="P37" i="65"/>
  <c r="AN37" i="65"/>
  <c r="BH37" i="65"/>
  <c r="BX37" i="65"/>
  <c r="CR49" i="64"/>
  <c r="V36" i="65"/>
  <c r="AX36" i="65"/>
  <c r="CD36" i="65"/>
  <c r="T37" i="65"/>
  <c r="K36" i="65"/>
  <c r="AA36" i="65"/>
  <c r="AQ36" i="65"/>
  <c r="BG36" i="65"/>
  <c r="BW36" i="65"/>
  <c r="CQ48" i="64"/>
  <c r="M37" i="65"/>
  <c r="AC37" i="65"/>
  <c r="AS37" i="65"/>
  <c r="BI37" i="65"/>
  <c r="BY37" i="65"/>
  <c r="CS49" i="64"/>
  <c r="P36" i="65"/>
  <c r="AF36" i="65"/>
  <c r="AV36" i="65"/>
  <c r="BL36" i="65"/>
  <c r="CB36" i="65"/>
  <c r="CV48" i="64"/>
  <c r="R37" i="65"/>
  <c r="AH37" i="65"/>
  <c r="AX37" i="65"/>
  <c r="BN37" i="65"/>
  <c r="CD37" i="65"/>
  <c r="CX49" i="64"/>
  <c r="U36" i="65"/>
  <c r="AK36" i="65"/>
  <c r="BA36" i="65"/>
  <c r="BQ36" i="65"/>
  <c r="CG36" i="65"/>
  <c r="G37" i="65"/>
  <c r="W37" i="65"/>
  <c r="AM37" i="65"/>
  <c r="BC37" i="65"/>
  <c r="BS37" i="65"/>
  <c r="CI37" i="65"/>
  <c r="CV83" i="64"/>
  <c r="CP83" i="64"/>
  <c r="CF69" i="65"/>
  <c r="BZ69" i="65"/>
  <c r="BT69" i="65"/>
  <c r="BN69" i="65"/>
  <c r="BH69" i="65"/>
  <c r="BB69" i="65"/>
  <c r="AV69" i="65"/>
  <c r="AP69" i="65"/>
  <c r="AJ69" i="65"/>
  <c r="AD69" i="65"/>
  <c r="X69" i="65"/>
  <c r="R69" i="65"/>
  <c r="L69" i="65"/>
  <c r="CY82" i="64"/>
  <c r="CS82" i="64"/>
  <c r="CI68" i="65"/>
  <c r="CC68" i="65"/>
  <c r="BW68" i="65"/>
  <c r="BQ68" i="65"/>
  <c r="BK68" i="65"/>
  <c r="BE68" i="65"/>
  <c r="AY68" i="65"/>
  <c r="AS68" i="65"/>
  <c r="AM68" i="65"/>
  <c r="AG68" i="65"/>
  <c r="AA68" i="65"/>
  <c r="U68" i="65"/>
  <c r="O68" i="65"/>
  <c r="I68" i="65"/>
  <c r="BJ69" i="65"/>
  <c r="AL69" i="65"/>
  <c r="N69" i="65"/>
  <c r="CE68" i="65"/>
  <c r="BG68" i="65"/>
  <c r="AI68" i="65"/>
  <c r="K68" i="65"/>
  <c r="CQ83" i="64"/>
  <c r="BO69" i="65"/>
  <c r="AK69" i="65"/>
  <c r="S69" i="65"/>
  <c r="CD68" i="65"/>
  <c r="BL68" i="65"/>
  <c r="AN68" i="65"/>
  <c r="P68" i="65"/>
  <c r="CU83" i="64"/>
  <c r="CO83" i="64"/>
  <c r="CE69" i="65"/>
  <c r="BY69" i="65"/>
  <c r="BS69" i="65"/>
  <c r="BM69" i="65"/>
  <c r="BG69" i="65"/>
  <c r="BA69" i="65"/>
  <c r="AU69" i="65"/>
  <c r="AO69" i="65"/>
  <c r="AI69" i="65"/>
  <c r="AC69" i="65"/>
  <c r="W69" i="65"/>
  <c r="Q69" i="65"/>
  <c r="K69" i="65"/>
  <c r="CX82" i="64"/>
  <c r="CR82" i="64"/>
  <c r="CH68" i="65"/>
  <c r="CB68" i="65"/>
  <c r="BV68" i="65"/>
  <c r="BP68" i="65"/>
  <c r="BJ68" i="65"/>
  <c r="BD68" i="65"/>
  <c r="AX68" i="65"/>
  <c r="AR68" i="65"/>
  <c r="AL68" i="65"/>
  <c r="AF68" i="65"/>
  <c r="Z68" i="65"/>
  <c r="T68" i="65"/>
  <c r="N68" i="65"/>
  <c r="H68" i="65"/>
  <c r="BN68" i="65"/>
  <c r="AJ68" i="65"/>
  <c r="R68" i="65"/>
  <c r="CX83" i="64"/>
  <c r="CB69" i="65"/>
  <c r="BD69" i="65"/>
  <c r="T69" i="65"/>
  <c r="CO82" i="64"/>
  <c r="BM68" i="65"/>
  <c r="AU68" i="65"/>
  <c r="W68" i="65"/>
  <c r="CG69" i="65"/>
  <c r="BI69" i="65"/>
  <c r="AQ69" i="65"/>
  <c r="G69" i="65"/>
  <c r="BX68" i="65"/>
  <c r="AZ68" i="65"/>
  <c r="AB68" i="65"/>
  <c r="CT83" i="64"/>
  <c r="CN83" i="64"/>
  <c r="CD69" i="65"/>
  <c r="BX69" i="65"/>
  <c r="BR69" i="65"/>
  <c r="BL69" i="65"/>
  <c r="BF69" i="65"/>
  <c r="AZ69" i="65"/>
  <c r="AT69" i="65"/>
  <c r="AN69" i="65"/>
  <c r="AH69" i="65"/>
  <c r="AB69" i="65"/>
  <c r="V69" i="65"/>
  <c r="P69" i="65"/>
  <c r="J69" i="65"/>
  <c r="CW82" i="64"/>
  <c r="CQ82" i="64"/>
  <c r="CG68" i="65"/>
  <c r="CA68" i="65"/>
  <c r="BU68" i="65"/>
  <c r="BO68" i="65"/>
  <c r="BI68" i="65"/>
  <c r="BC68" i="65"/>
  <c r="AW68" i="65"/>
  <c r="AQ68" i="65"/>
  <c r="AK68" i="65"/>
  <c r="AE68" i="65"/>
  <c r="Y68" i="65"/>
  <c r="S68" i="65"/>
  <c r="M68" i="65"/>
  <c r="G68" i="65"/>
  <c r="BH68" i="65"/>
  <c r="AD68" i="65"/>
  <c r="L68" i="65"/>
  <c r="CH69" i="65"/>
  <c r="BP69" i="65"/>
  <c r="AR69" i="65"/>
  <c r="Z69" i="65"/>
  <c r="CU82" i="64"/>
  <c r="BS68" i="65"/>
  <c r="AO68" i="65"/>
  <c r="Q68" i="65"/>
  <c r="CW83" i="64"/>
  <c r="BU69" i="65"/>
  <c r="AW69" i="65"/>
  <c r="Y69" i="65"/>
  <c r="CT82" i="64"/>
  <c r="BF68" i="65"/>
  <c r="AH68" i="65"/>
  <c r="J68" i="65"/>
  <c r="CY83" i="64"/>
  <c r="CS83" i="64"/>
  <c r="CI69" i="65"/>
  <c r="CC69" i="65"/>
  <c r="BW69" i="65"/>
  <c r="BQ69" i="65"/>
  <c r="BK69" i="65"/>
  <c r="BE69" i="65"/>
  <c r="AY69" i="65"/>
  <c r="AS69" i="65"/>
  <c r="AM69" i="65"/>
  <c r="AG69" i="65"/>
  <c r="AA69" i="65"/>
  <c r="U69" i="65"/>
  <c r="O69" i="65"/>
  <c r="I69" i="65"/>
  <c r="CV82" i="64"/>
  <c r="CP82" i="64"/>
  <c r="CF68" i="65"/>
  <c r="BZ68" i="65"/>
  <c r="BT68" i="65"/>
  <c r="BB68" i="65"/>
  <c r="AV68" i="65"/>
  <c r="AP68" i="65"/>
  <c r="X68" i="65"/>
  <c r="CR83" i="64"/>
  <c r="BV69" i="65"/>
  <c r="AX69" i="65"/>
  <c r="AF69" i="65"/>
  <c r="H69" i="65"/>
  <c r="BY68" i="65"/>
  <c r="BA68" i="65"/>
  <c r="AC68" i="65"/>
  <c r="CA69" i="65"/>
  <c r="BC69" i="65"/>
  <c r="AE69" i="65"/>
  <c r="M69" i="65"/>
  <c r="CN82" i="64"/>
  <c r="BR68" i="65"/>
  <c r="AT68" i="65"/>
  <c r="V68" i="65"/>
  <c r="E111" i="65"/>
  <c r="I125" i="64"/>
  <c r="E104" i="65"/>
  <c r="I118" i="64"/>
  <c r="E100" i="65"/>
  <c r="I114" i="64"/>
  <c r="E109" i="65"/>
  <c r="I123" i="64"/>
  <c r="I122" i="64"/>
  <c r="E108" i="65"/>
  <c r="E103" i="65"/>
  <c r="I117" i="64"/>
  <c r="I116" i="64"/>
  <c r="E102" i="65"/>
  <c r="E107" i="65"/>
  <c r="I121" i="64"/>
  <c r="E105" i="65"/>
  <c r="I119" i="64"/>
  <c r="E106" i="65"/>
  <c r="I120" i="64"/>
  <c r="E101" i="65"/>
  <c r="I115" i="64"/>
  <c r="E110" i="65"/>
  <c r="I124" i="64"/>
  <c r="E95" i="65"/>
  <c r="I109" i="64"/>
  <c r="E96" i="65"/>
  <c r="I110" i="64"/>
  <c r="E97" i="65"/>
  <c r="I111" i="64"/>
  <c r="E94" i="65"/>
  <c r="I108" i="64"/>
  <c r="I98" i="64"/>
  <c r="E84" i="65"/>
  <c r="I94" i="64"/>
  <c r="E80" i="65"/>
  <c r="I97" i="64"/>
  <c r="E83" i="65"/>
  <c r="I90" i="64"/>
  <c r="E76" i="65"/>
  <c r="I89" i="64"/>
  <c r="E75" i="65"/>
  <c r="I96" i="64"/>
  <c r="E82" i="65"/>
  <c r="I91" i="64"/>
  <c r="E77" i="65"/>
  <c r="E72" i="65"/>
  <c r="I86" i="64"/>
  <c r="E73" i="65"/>
  <c r="I87" i="64"/>
  <c r="I92" i="64"/>
  <c r="E78" i="65"/>
  <c r="I88" i="64"/>
  <c r="E74" i="65"/>
  <c r="I93" i="64"/>
  <c r="E79" i="65"/>
  <c r="I95" i="64"/>
  <c r="E81" i="65"/>
  <c r="I70" i="64"/>
  <c r="E56" i="65"/>
  <c r="E65" i="65"/>
  <c r="I79" i="64"/>
  <c r="E62" i="65"/>
  <c r="I76" i="64"/>
  <c r="I68" i="64"/>
  <c r="E54" i="65"/>
  <c r="I65" i="64"/>
  <c r="E51" i="65"/>
  <c r="E66" i="65"/>
  <c r="I80" i="64"/>
  <c r="E67" i="65"/>
  <c r="I81" i="64"/>
  <c r="I64" i="64"/>
  <c r="E50" i="65"/>
  <c r="I69" i="64"/>
  <c r="E55" i="65"/>
  <c r="I67" i="64"/>
  <c r="E53" i="65"/>
  <c r="I78" i="64"/>
  <c r="E64" i="65"/>
  <c r="E63" i="65"/>
  <c r="I77" i="64"/>
  <c r="I66" i="64"/>
  <c r="E52" i="65"/>
  <c r="E48" i="65"/>
  <c r="I62" i="64"/>
  <c r="E49" i="65"/>
  <c r="I63" i="64"/>
  <c r="I51" i="64"/>
  <c r="E40" i="65"/>
  <c r="I54" i="64"/>
  <c r="E42" i="65"/>
  <c r="I56" i="64"/>
  <c r="E41" i="65"/>
  <c r="I55" i="64"/>
  <c r="E43" i="65"/>
  <c r="I57" i="64"/>
  <c r="E31" i="65"/>
  <c r="I43" i="64"/>
  <c r="E33" i="65"/>
  <c r="E26" i="65"/>
  <c r="I38" i="64"/>
  <c r="E20" i="65"/>
  <c r="I32" i="64"/>
  <c r="E23" i="65"/>
  <c r="I35" i="64"/>
  <c r="E19" i="65"/>
  <c r="I31" i="64"/>
  <c r="E25" i="65"/>
  <c r="I37" i="64"/>
  <c r="E22" i="65"/>
  <c r="I34" i="64"/>
  <c r="E34" i="65"/>
  <c r="I46" i="64"/>
  <c r="E21" i="65"/>
  <c r="I33" i="64"/>
  <c r="E35" i="65"/>
  <c r="I47" i="64"/>
  <c r="E30" i="65"/>
  <c r="I42" i="64"/>
  <c r="E32" i="65"/>
  <c r="E28" i="65"/>
  <c r="I40" i="64"/>
  <c r="E29" i="65"/>
  <c r="I41" i="64"/>
  <c r="E24" i="65"/>
  <c r="I36" i="64"/>
  <c r="E27" i="65"/>
  <c r="I39" i="64"/>
  <c r="I106" i="64"/>
  <c r="E92" i="65"/>
  <c r="E93" i="65"/>
  <c r="I107" i="64"/>
  <c r="F68" i="65"/>
  <c r="C68" i="65"/>
  <c r="C91" i="65"/>
  <c r="I99" i="64"/>
  <c r="E85" i="65"/>
  <c r="C90" i="65"/>
  <c r="E86" i="65"/>
  <c r="E89" i="65"/>
  <c r="E88" i="65"/>
  <c r="E87" i="65"/>
  <c r="E71" i="65"/>
  <c r="I85" i="64"/>
  <c r="E70" i="65"/>
  <c r="I84" i="64"/>
  <c r="E38" i="65"/>
  <c r="I50" i="64"/>
  <c r="I72" i="64"/>
  <c r="E58" i="65"/>
  <c r="E61" i="65"/>
  <c r="I75" i="64"/>
  <c r="E60" i="65"/>
  <c r="I74" i="64"/>
  <c r="I71" i="64"/>
  <c r="E57" i="65"/>
  <c r="E59" i="65"/>
  <c r="I73" i="64"/>
  <c r="M11" i="64"/>
  <c r="H1" i="65"/>
  <c r="E14" i="64"/>
  <c r="F58" i="64"/>
  <c r="C44" i="65" s="1"/>
  <c r="F59" i="64"/>
  <c r="C45" i="65" s="1"/>
  <c r="H48" i="64" l="1"/>
  <c r="F37" i="65"/>
  <c r="H49" i="64"/>
  <c r="F36" i="65"/>
  <c r="F69" i="65"/>
  <c r="H83" i="64"/>
  <c r="H82" i="64"/>
  <c r="I104" i="64"/>
  <c r="I48" i="64"/>
  <c r="I61" i="64"/>
  <c r="I59" i="64" s="1"/>
  <c r="I112" i="64"/>
  <c r="H112" i="64" s="1"/>
  <c r="E98" i="65" s="1"/>
  <c r="I113" i="64"/>
  <c r="H113" i="64" s="1"/>
  <c r="E99" i="65" s="1"/>
  <c r="I105" i="64"/>
  <c r="E91" i="65" s="1"/>
  <c r="I83" i="64"/>
  <c r="I82" i="64"/>
  <c r="I60" i="64"/>
  <c r="I58" i="64" s="1"/>
  <c r="E47" i="65"/>
  <c r="I49" i="64"/>
  <c r="I18" i="64"/>
  <c r="I19" i="64"/>
  <c r="N11" i="64"/>
  <c r="I1" i="65"/>
  <c r="F14" i="64"/>
  <c r="C2" i="65" s="1"/>
  <c r="F15" i="64"/>
  <c r="E37" i="65" l="1"/>
  <c r="E68" i="65"/>
  <c r="E36" i="65"/>
  <c r="E69" i="65"/>
  <c r="I14" i="64"/>
  <c r="I15" i="64"/>
  <c r="C3" i="65"/>
  <c r="E3" i="65"/>
  <c r="E2" i="65"/>
  <c r="O11" i="64"/>
  <c r="J1" i="65"/>
  <c r="F12" i="64"/>
  <c r="F13" i="64"/>
  <c r="P11" i="64" l="1"/>
  <c r="K1" i="65"/>
  <c r="CY128" i="64"/>
  <c r="CS128" i="64"/>
  <c r="J138" i="64"/>
  <c r="E2" i="63" s="1"/>
  <c r="CX128" i="64"/>
  <c r="CR128" i="64"/>
  <c r="CW128" i="64"/>
  <c r="CQ128" i="64"/>
  <c r="CV128" i="64"/>
  <c r="CP128" i="64"/>
  <c r="CU128" i="64"/>
  <c r="CO128" i="64"/>
  <c r="CT128" i="64"/>
  <c r="CN128" i="64"/>
  <c r="CV132" i="64" l="1"/>
  <c r="Q11" i="64"/>
  <c r="L1" i="65"/>
  <c r="CE134" i="64"/>
  <c r="CA132" i="64"/>
  <c r="CA134" i="64"/>
  <c r="CN132" i="64"/>
  <c r="CJ132" i="64"/>
  <c r="CJ134" i="64"/>
  <c r="AR132" i="64"/>
  <c r="AE132" i="64"/>
  <c r="V132" i="64"/>
  <c r="BA132" i="64"/>
  <c r="BA134" i="64"/>
  <c r="CE132" i="64"/>
  <c r="AE134" i="64"/>
  <c r="BW134" i="64"/>
  <c r="BW132" i="64"/>
  <c r="AJ134" i="64"/>
  <c r="AJ132" i="64"/>
  <c r="BE132" i="64"/>
  <c r="BE134" i="64"/>
  <c r="CR132" i="64"/>
  <c r="N134" i="64"/>
  <c r="N132" i="64"/>
  <c r="K138" i="64"/>
  <c r="E3" i="63" s="1"/>
  <c r="J134" i="64"/>
  <c r="J135" i="64" s="1"/>
  <c r="J132" i="64"/>
  <c r="J133" i="64" s="1"/>
  <c r="J129" i="64"/>
  <c r="D2" i="63" s="1"/>
  <c r="AA132" i="64"/>
  <c r="AA134" i="64"/>
  <c r="BN134" i="64"/>
  <c r="BN132" i="64"/>
  <c r="AW134" i="64"/>
  <c r="AW132" i="64"/>
  <c r="BR132" i="64"/>
  <c r="BR134" i="64"/>
  <c r="AN134" i="64"/>
  <c r="AN132" i="64"/>
  <c r="R132" i="64"/>
  <c r="R134" i="64"/>
  <c r="BJ134" i="64"/>
  <c r="BJ132" i="64"/>
  <c r="R11" i="64" l="1"/>
  <c r="M1" i="65"/>
  <c r="L138" i="64"/>
  <c r="AR134" i="64"/>
  <c r="V134" i="64"/>
  <c r="N133" i="64"/>
  <c r="R133" i="64" s="1"/>
  <c r="J131" i="64"/>
  <c r="K129" i="64"/>
  <c r="N135" i="64"/>
  <c r="R135" i="64" s="1"/>
  <c r="S11" i="64" l="1"/>
  <c r="N1" i="65"/>
  <c r="E4" i="63"/>
  <c r="M138" i="64"/>
  <c r="K131" i="64"/>
  <c r="D3" i="63"/>
  <c r="L129" i="64"/>
  <c r="V135" i="64"/>
  <c r="AA135" i="64" s="1"/>
  <c r="AE135" i="64" s="1"/>
  <c r="AJ135" i="64" s="1"/>
  <c r="AN135" i="64" s="1"/>
  <c r="AR135" i="64" s="1"/>
  <c r="AW135" i="64" s="1"/>
  <c r="BA135" i="64" s="1"/>
  <c r="BE135" i="64" s="1"/>
  <c r="BJ135" i="64" s="1"/>
  <c r="BN135" i="64" s="1"/>
  <c r="BR135" i="64" s="1"/>
  <c r="BW135" i="64" s="1"/>
  <c r="CA135" i="64" s="1"/>
  <c r="CE135" i="64" s="1"/>
  <c r="CJ135" i="64" s="1"/>
  <c r="CN135" i="64" s="1"/>
  <c r="CR135" i="64" s="1"/>
  <c r="CV135" i="64" s="1"/>
  <c r="V133" i="64"/>
  <c r="AA133" i="64" s="1"/>
  <c r="AE133" i="64" s="1"/>
  <c r="AJ133" i="64" s="1"/>
  <c r="AN133" i="64" s="1"/>
  <c r="AR133" i="64" s="1"/>
  <c r="AW133" i="64" s="1"/>
  <c r="BA133" i="64" s="1"/>
  <c r="BE133" i="64" s="1"/>
  <c r="T11" i="64" l="1"/>
  <c r="O1" i="65"/>
  <c r="E5" i="63"/>
  <c r="N138" i="64"/>
  <c r="M129" i="64"/>
  <c r="D4" i="63"/>
  <c r="BJ133" i="64"/>
  <c r="BN133" i="64" s="1"/>
  <c r="BR133" i="64" s="1"/>
  <c r="BW133" i="64" s="1"/>
  <c r="CA133" i="64" s="1"/>
  <c r="CE133" i="64" s="1"/>
  <c r="CJ133" i="64" s="1"/>
  <c r="CN133" i="64" s="1"/>
  <c r="CR133" i="64" s="1"/>
  <c r="CV133" i="64" s="1"/>
  <c r="L131" i="64"/>
  <c r="U11" i="64" l="1"/>
  <c r="P1" i="65"/>
  <c r="E6" i="63"/>
  <c r="O138" i="64"/>
  <c r="N129" i="64"/>
  <c r="D5" i="63"/>
  <c r="M131" i="64"/>
  <c r="V11" i="64" l="1"/>
  <c r="Q1" i="65"/>
  <c r="O129" i="64"/>
  <c r="D6" i="63"/>
  <c r="E7" i="63"/>
  <c r="P138" i="64"/>
  <c r="N131" i="64"/>
  <c r="W11" i="64" l="1"/>
  <c r="R1" i="65"/>
  <c r="E8" i="63"/>
  <c r="Q138" i="64"/>
  <c r="D7" i="63"/>
  <c r="P129" i="64"/>
  <c r="O131" i="64"/>
  <c r="X11" i="64" l="1"/>
  <c r="S1" i="65"/>
  <c r="D8" i="63"/>
  <c r="Q129" i="64"/>
  <c r="E9" i="63"/>
  <c r="R138" i="64"/>
  <c r="P131" i="64"/>
  <c r="Y11" i="64" l="1"/>
  <c r="T1" i="65"/>
  <c r="E10" i="63"/>
  <c r="S138" i="64"/>
  <c r="R129" i="64"/>
  <c r="D9" i="63"/>
  <c r="Q131" i="64"/>
  <c r="Z11" i="64" l="1"/>
  <c r="U1" i="65"/>
  <c r="S129" i="64"/>
  <c r="D10" i="63"/>
  <c r="T138" i="64"/>
  <c r="E11" i="63"/>
  <c r="R131" i="64"/>
  <c r="AA11" i="64" l="1"/>
  <c r="V1" i="65"/>
  <c r="U138" i="64"/>
  <c r="E12" i="63"/>
  <c r="T129" i="64"/>
  <c r="D11" i="63"/>
  <c r="S131" i="64"/>
  <c r="AB11" i="64" l="1"/>
  <c r="W1" i="65"/>
  <c r="D12" i="63"/>
  <c r="U129" i="64"/>
  <c r="V129" i="64" s="1"/>
  <c r="W129" i="64" s="1"/>
  <c r="X129" i="64" s="1"/>
  <c r="Y129" i="64" s="1"/>
  <c r="Z129" i="64" s="1"/>
  <c r="AA129" i="64" s="1"/>
  <c r="AB129" i="64" s="1"/>
  <c r="AC129" i="64" s="1"/>
  <c r="AD129" i="64" s="1"/>
  <c r="AE129" i="64" s="1"/>
  <c r="AF129" i="64" s="1"/>
  <c r="AG129" i="64" s="1"/>
  <c r="AH129" i="64" s="1"/>
  <c r="AI129" i="64" s="1"/>
  <c r="AJ129" i="64" s="1"/>
  <c r="AK129" i="64" s="1"/>
  <c r="AL129" i="64" s="1"/>
  <c r="AM129" i="64" s="1"/>
  <c r="AN129" i="64" s="1"/>
  <c r="AO129" i="64" s="1"/>
  <c r="AP129" i="64" s="1"/>
  <c r="AQ129" i="64" s="1"/>
  <c r="AR129" i="64" s="1"/>
  <c r="AS129" i="64" s="1"/>
  <c r="AT129" i="64" s="1"/>
  <c r="AU129" i="64" s="1"/>
  <c r="AV129" i="64" s="1"/>
  <c r="AW129" i="64" s="1"/>
  <c r="AX129" i="64" s="1"/>
  <c r="AY129" i="64" s="1"/>
  <c r="AZ129" i="64" s="1"/>
  <c r="BA129" i="64" s="1"/>
  <c r="BB129" i="64" s="1"/>
  <c r="BC129" i="64" s="1"/>
  <c r="BD129" i="64" s="1"/>
  <c r="BE129" i="64" s="1"/>
  <c r="BF129" i="64" s="1"/>
  <c r="BG129" i="64" s="1"/>
  <c r="BH129" i="64" s="1"/>
  <c r="BI129" i="64" s="1"/>
  <c r="BJ129" i="64" s="1"/>
  <c r="BK129" i="64" s="1"/>
  <c r="BL129" i="64" s="1"/>
  <c r="BM129" i="64" s="1"/>
  <c r="BN129" i="64" s="1"/>
  <c r="BO129" i="64" s="1"/>
  <c r="BP129" i="64" s="1"/>
  <c r="BQ129" i="64" s="1"/>
  <c r="BR129" i="64" s="1"/>
  <c r="BS129" i="64" s="1"/>
  <c r="BT129" i="64" s="1"/>
  <c r="BU129" i="64" s="1"/>
  <c r="BV129" i="64" s="1"/>
  <c r="BW129" i="64" s="1"/>
  <c r="BX129" i="64" s="1"/>
  <c r="BY129" i="64" s="1"/>
  <c r="BZ129" i="64" s="1"/>
  <c r="CA129" i="64" s="1"/>
  <c r="V138" i="64"/>
  <c r="E13" i="63"/>
  <c r="T131" i="64"/>
  <c r="D13" i="63" l="1"/>
  <c r="AC11" i="64"/>
  <c r="X1" i="65"/>
  <c r="W138" i="64"/>
  <c r="E14" i="63"/>
  <c r="CB129" i="64"/>
  <c r="CA131" i="64"/>
  <c r="U131" i="64"/>
  <c r="D14" i="63"/>
  <c r="AD11" i="64" l="1"/>
  <c r="Y1" i="65"/>
  <c r="CC129" i="64"/>
  <c r="CB131" i="64"/>
  <c r="X138" i="64"/>
  <c r="E15" i="63"/>
  <c r="V131" i="64"/>
  <c r="D15" i="63"/>
  <c r="AE11" i="64" l="1"/>
  <c r="Z1" i="65"/>
  <c r="Y138" i="64"/>
  <c r="E16" i="63"/>
  <c r="CD129" i="64"/>
  <c r="CC131" i="64"/>
  <c r="W131" i="64"/>
  <c r="D16" i="63"/>
  <c r="AF11" i="64" l="1"/>
  <c r="AA1" i="65"/>
  <c r="CE129" i="64"/>
  <c r="CD131" i="64"/>
  <c r="Z138" i="64"/>
  <c r="E17" i="63"/>
  <c r="X131" i="64"/>
  <c r="AG11" i="64" l="1"/>
  <c r="AB1" i="65"/>
  <c r="AA138" i="64"/>
  <c r="E18" i="63"/>
  <c r="CF129" i="64"/>
  <c r="CE131" i="64"/>
  <c r="D17" i="63"/>
  <c r="Y131" i="64"/>
  <c r="D19" i="63"/>
  <c r="AH11" i="64" l="1"/>
  <c r="AC1" i="65"/>
  <c r="CG129" i="64"/>
  <c r="CF131" i="64"/>
  <c r="AB138" i="64"/>
  <c r="E19" i="63"/>
  <c r="Z131" i="64"/>
  <c r="D18" i="63"/>
  <c r="D20" i="63"/>
  <c r="AA131" i="64"/>
  <c r="E20" i="63" l="1"/>
  <c r="AC138" i="64"/>
  <c r="AI11" i="64"/>
  <c r="AD1" i="65"/>
  <c r="CH129" i="64"/>
  <c r="CG131" i="64"/>
  <c r="AB131" i="64"/>
  <c r="D21" i="63"/>
  <c r="AB140" i="64"/>
  <c r="AB141" i="64" s="1"/>
  <c r="AD138" i="64" l="1"/>
  <c r="E22" i="63" s="1"/>
  <c r="E21" i="63"/>
  <c r="AJ11" i="64"/>
  <c r="AE1" i="65"/>
  <c r="CI129" i="64"/>
  <c r="CH131" i="64"/>
  <c r="AC131" i="64"/>
  <c r="D22" i="63"/>
  <c r="AK11" i="64" l="1"/>
  <c r="AF1" i="65"/>
  <c r="CJ129" i="64"/>
  <c r="CI131" i="64"/>
  <c r="AD131" i="64"/>
  <c r="D23" i="63"/>
  <c r="AL11" i="64" l="1"/>
  <c r="AG1" i="65"/>
  <c r="CK129" i="64"/>
  <c r="CJ131" i="64"/>
  <c r="AE131" i="64"/>
  <c r="D24" i="63"/>
  <c r="AM11" i="64" l="1"/>
  <c r="AH1" i="65"/>
  <c r="CL129" i="64"/>
  <c r="CK131" i="64"/>
  <c r="AF131" i="64"/>
  <c r="D25" i="63"/>
  <c r="AN11" i="64" l="1"/>
  <c r="AI1" i="65"/>
  <c r="CM129" i="64"/>
  <c r="CM131" i="64" s="1"/>
  <c r="CL131" i="64"/>
  <c r="AG131" i="64"/>
  <c r="AO11" i="64" l="1"/>
  <c r="AJ1" i="65"/>
  <c r="D26" i="63"/>
  <c r="AH131" i="64"/>
  <c r="D28" i="63"/>
  <c r="AP11" i="64" l="1"/>
  <c r="AK1" i="65"/>
  <c r="AI131" i="64"/>
  <c r="D27" i="63"/>
  <c r="AJ131" i="64"/>
  <c r="D29" i="63"/>
  <c r="AQ11" i="64" l="1"/>
  <c r="AL1" i="65"/>
  <c r="AK131" i="64"/>
  <c r="D30" i="63"/>
  <c r="AR11" i="64" l="1"/>
  <c r="AM1" i="65"/>
  <c r="AL131" i="64"/>
  <c r="D31" i="63"/>
  <c r="AS11" i="64" l="1"/>
  <c r="AN1" i="65"/>
  <c r="AM131" i="64"/>
  <c r="D32" i="63"/>
  <c r="AT11" i="64" l="1"/>
  <c r="AO1" i="65"/>
  <c r="D33" i="63"/>
  <c r="AN131" i="64"/>
  <c r="AU11" i="64" l="1"/>
  <c r="AP1" i="65"/>
  <c r="AO131" i="64"/>
  <c r="D34" i="63"/>
  <c r="AV11" i="64" l="1"/>
  <c r="AQ1" i="65"/>
  <c r="AP131" i="64"/>
  <c r="D35" i="63"/>
  <c r="AW11" i="64" l="1"/>
  <c r="AR1" i="65"/>
  <c r="AQ131" i="64"/>
  <c r="D36" i="63"/>
  <c r="AX11" i="64" l="1"/>
  <c r="AS1" i="65"/>
  <c r="AR131" i="64"/>
  <c r="D37" i="63"/>
  <c r="AY11" i="64" l="1"/>
  <c r="AT1" i="65"/>
  <c r="AS131" i="64"/>
  <c r="D38" i="63"/>
  <c r="AZ11" i="64" l="1"/>
  <c r="AU1" i="65"/>
  <c r="AT131" i="64"/>
  <c r="BA11" i="64" l="1"/>
  <c r="AV1" i="65"/>
  <c r="D39" i="63"/>
  <c r="AU131" i="64"/>
  <c r="D41" i="63"/>
  <c r="BB11" i="64" l="1"/>
  <c r="AW1" i="65"/>
  <c r="AV131" i="64"/>
  <c r="D40" i="63"/>
  <c r="AW131" i="64"/>
  <c r="D42" i="63"/>
  <c r="BC11" i="64" l="1"/>
  <c r="AX1" i="65"/>
  <c r="AX131" i="64"/>
  <c r="D43" i="63"/>
  <c r="BD11" i="64" l="1"/>
  <c r="AY1" i="65"/>
  <c r="AY131" i="64"/>
  <c r="D44" i="63"/>
  <c r="BE11" i="64" l="1"/>
  <c r="AZ1" i="65"/>
  <c r="AZ131" i="64"/>
  <c r="D45" i="63"/>
  <c r="BF11" i="64" l="1"/>
  <c r="BA1" i="65"/>
  <c r="D46" i="63"/>
  <c r="BA131" i="64"/>
  <c r="BG11" i="64" l="1"/>
  <c r="BB1" i="65"/>
  <c r="BB131" i="64"/>
  <c r="D47" i="63"/>
  <c r="BH11" i="64" l="1"/>
  <c r="BC1" i="65"/>
  <c r="BC131" i="64"/>
  <c r="D48" i="63"/>
  <c r="BI11" i="64" l="1"/>
  <c r="BD1" i="65"/>
  <c r="BD131" i="64"/>
  <c r="D49" i="63"/>
  <c r="BJ11" i="64" l="1"/>
  <c r="BE1" i="65"/>
  <c r="BE131" i="64"/>
  <c r="D50" i="63"/>
  <c r="BK11" i="64" l="1"/>
  <c r="BF1" i="65"/>
  <c r="BF131" i="64"/>
  <c r="D51" i="63"/>
  <c r="BL11" i="64" l="1"/>
  <c r="BG1" i="65"/>
  <c r="BG131" i="64"/>
  <c r="BM11" i="64" l="1"/>
  <c r="BH1" i="65"/>
  <c r="D52" i="63"/>
  <c r="BH131" i="64"/>
  <c r="D54" i="63"/>
  <c r="BN11" i="64" l="1"/>
  <c r="BI1" i="65"/>
  <c r="BI131" i="64"/>
  <c r="D53" i="63"/>
  <c r="BJ131" i="64"/>
  <c r="D55" i="63"/>
  <c r="BO11" i="64" l="1"/>
  <c r="BJ1" i="65"/>
  <c r="BK131" i="64"/>
  <c r="D56" i="63"/>
  <c r="BP11" i="64" l="1"/>
  <c r="BK1" i="65"/>
  <c r="BL131" i="64"/>
  <c r="D57" i="63"/>
  <c r="BQ11" i="64" l="1"/>
  <c r="BL1" i="65"/>
  <c r="BM131" i="64"/>
  <c r="D58" i="63"/>
  <c r="BR11" i="64" l="1"/>
  <c r="BM1" i="65"/>
  <c r="D59" i="63"/>
  <c r="BN131" i="64"/>
  <c r="BS11" i="64" l="1"/>
  <c r="BN1" i="65"/>
  <c r="BO131" i="64"/>
  <c r="D60" i="63"/>
  <c r="BT11" i="64" l="1"/>
  <c r="BO1" i="65"/>
  <c r="BP131" i="64"/>
  <c r="D61" i="63"/>
  <c r="BU11" i="64" l="1"/>
  <c r="BP1" i="65"/>
  <c r="BQ131" i="64"/>
  <c r="D62" i="63"/>
  <c r="BV11" i="64" l="1"/>
  <c r="BQ1" i="65"/>
  <c r="BR131" i="64"/>
  <c r="D63" i="63"/>
  <c r="BW11" i="64" l="1"/>
  <c r="BR1" i="65"/>
  <c r="BS131" i="64"/>
  <c r="D64" i="63"/>
  <c r="BX11" i="64" l="1"/>
  <c r="BS1" i="65"/>
  <c r="BT131" i="64"/>
  <c r="BY11" i="64" l="1"/>
  <c r="BT1" i="65"/>
  <c r="D65" i="63"/>
  <c r="BU131" i="64"/>
  <c r="D67" i="63"/>
  <c r="BZ11" i="64" l="1"/>
  <c r="BU1" i="65"/>
  <c r="BV131" i="64"/>
  <c r="D66" i="63"/>
  <c r="BW131" i="64"/>
  <c r="D68" i="63"/>
  <c r="CA11" i="64" l="1"/>
  <c r="BV1" i="65"/>
  <c r="BX131" i="64"/>
  <c r="D69" i="63"/>
  <c r="CB11" i="64" l="1"/>
  <c r="BW1" i="65"/>
  <c r="BY131" i="64"/>
  <c r="D70" i="63"/>
  <c r="CC11" i="64" l="1"/>
  <c r="BX1" i="65"/>
  <c r="BZ131" i="64"/>
  <c r="CD11" i="64" l="1"/>
  <c r="BY1" i="65"/>
  <c r="D71" i="63"/>
  <c r="CE11" i="64" l="1"/>
  <c r="BZ1" i="65"/>
  <c r="D72" i="63"/>
  <c r="CF11" i="64" l="1"/>
  <c r="CA1" i="65"/>
  <c r="D73" i="63"/>
  <c r="CG11" i="64" l="1"/>
  <c r="CB1" i="65"/>
  <c r="D74" i="63"/>
  <c r="CH11" i="64" l="1"/>
  <c r="CC1" i="65"/>
  <c r="D75" i="63"/>
  <c r="CI11" i="64" l="1"/>
  <c r="CD1" i="65"/>
  <c r="D76" i="63"/>
  <c r="CJ11" i="64" l="1"/>
  <c r="CE1" i="65"/>
  <c r="D79" i="63"/>
  <c r="D77" i="63"/>
  <c r="CK11" i="64" l="1"/>
  <c r="CF1" i="65"/>
  <c r="D78" i="63"/>
  <c r="CL11" i="64" l="1"/>
  <c r="CG1" i="65"/>
  <c r="CN129" i="64"/>
  <c r="CO129" i="64" s="1"/>
  <c r="CP129" i="64" s="1"/>
  <c r="CQ129" i="64" s="1"/>
  <c r="CR129" i="64" s="1"/>
  <c r="CS129" i="64" s="1"/>
  <c r="CT129" i="64" s="1"/>
  <c r="CU129" i="64" s="1"/>
  <c r="CV129" i="64" s="1"/>
  <c r="CW129" i="64" s="1"/>
  <c r="CX129" i="64" s="1"/>
  <c r="CY129" i="64" s="1"/>
  <c r="D80" i="63"/>
  <c r="CN11" i="64" l="1"/>
  <c r="CO11" i="64" s="1"/>
  <c r="CP11" i="64" s="1"/>
  <c r="CQ11" i="64" s="1"/>
  <c r="CR11" i="64" s="1"/>
  <c r="CS11" i="64" s="1"/>
  <c r="CT11" i="64" s="1"/>
  <c r="CU11" i="64" s="1"/>
  <c r="CV11" i="64" s="1"/>
  <c r="CW11" i="64" s="1"/>
  <c r="CX11" i="64" s="1"/>
  <c r="CY11" i="64" s="1"/>
  <c r="CZ11" i="64" s="1"/>
  <c r="CH1" i="65"/>
  <c r="CM11" i="64"/>
  <c r="CI1" i="6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<sst xmlns="http://schemas.openxmlformats.org/spreadsheetml/2006/main" count="281" uniqueCount="161">
  <si>
    <t>%</t>
  </si>
  <si>
    <t xml:space="preserve">      งานโครงสร้าง</t>
  </si>
  <si>
    <t xml:space="preserve">            1st Floor</t>
  </si>
  <si>
    <t xml:space="preserve">            2nd Floor</t>
  </si>
  <si>
    <t xml:space="preserve">            3rd Floor</t>
  </si>
  <si>
    <t xml:space="preserve">            Roof</t>
  </si>
  <si>
    <t xml:space="preserve">      งาน Riser</t>
  </si>
  <si>
    <t xml:space="preserve">         Electrical and Communication Riser</t>
  </si>
  <si>
    <t xml:space="preserve">         Sanitary and Fire Protection Riser</t>
  </si>
  <si>
    <t xml:space="preserve">         Air Conditioning Riser</t>
  </si>
  <si>
    <t xml:space="preserve">      งานสถาปัตยกรรมและงานระบบประกอบอาคาร</t>
  </si>
  <si>
    <t xml:space="preserve">         งานสถาปัตยกรรมและ MEP ภายในอาคาร </t>
  </si>
  <si>
    <t xml:space="preserve">      งานถนนและผังบริเวณ</t>
  </si>
  <si>
    <t xml:space="preserve">      งานภูมิสภาปัตยกรรม</t>
  </si>
  <si>
    <t xml:space="preserve">            งาน Hardscape</t>
  </si>
  <si>
    <t xml:space="preserve">            งาน Softscape</t>
  </si>
  <si>
    <t xml:space="preserve">            งานครุภัณฑ์ลอยตัว</t>
  </si>
  <si>
    <t xml:space="preserve">            งานป้ายสัญลักษณ์</t>
  </si>
  <si>
    <t xml:space="preserve">            งานผ้าม่าน</t>
  </si>
  <si>
    <t xml:space="preserve">   งานก่อสร้างอาคาร Ratchadamnoen Center 2</t>
  </si>
  <si>
    <t xml:space="preserve">      งานรื้อถอนโครงสร้างและสถาปัตยกรรมอาคารเดิม</t>
  </si>
  <si>
    <t xml:space="preserve">         งานโครงสร้างลิฟต์</t>
  </si>
  <si>
    <t xml:space="preserve">         งานโครงชั้นหลังคา (FL. +18.95 m. )</t>
  </si>
  <si>
    <t xml:space="preserve">         งานซ่อมแซมโครงสร้างอาคารเดิม</t>
  </si>
  <si>
    <t xml:space="preserve">         ห้องน้ำและห้องเตรียมอาหาร </t>
  </si>
  <si>
    <t xml:space="preserve">         งานโครงสร้างชั้นลอย</t>
  </si>
  <si>
    <t xml:space="preserve">         งานโครงสร้างต่อเติมพื้นชั้น 2 Area = 59.06 sq.m. ( GL.1-5/B-C &amp; GL.33-37/B-C )</t>
  </si>
  <si>
    <t xml:space="preserve">         งานโครงสร้าง Platform สำหรับงานระบบ ( GL.23-37 / A )</t>
  </si>
  <si>
    <t xml:space="preserve">         งานโครงสร้างถังบำบัดน้ำเสีย ( GL.23-28 / A )</t>
  </si>
  <si>
    <t xml:space="preserve">         งานโครงสร้างถังดักไขมัน ( GL.19-21 / A )</t>
  </si>
  <si>
    <t xml:space="preserve">         งานโครงสร้างฐานรากถังเก็บน้ำประปา ( GL.30-32 / A - B )</t>
  </si>
  <si>
    <t xml:space="preserve">         งานโครงสร้างบันได ST6 ชั้น1 to 1M ( GL.5-6 / C-B )</t>
  </si>
  <si>
    <t xml:space="preserve">         งานโครงสร้างทางเข้าอาคาร</t>
  </si>
  <si>
    <t xml:space="preserve">            1M Floor</t>
  </si>
  <si>
    <t xml:space="preserve">         งานลิฟท์</t>
  </si>
  <si>
    <t xml:space="preserve">         งานเก็บ Finishing บันได คสล. เดิม</t>
  </si>
  <si>
    <t xml:space="preserve">         งานสถาปัตยกรรมภายในและงาน BUILT-IN</t>
  </si>
  <si>
    <t xml:space="preserve">         งานตกแต่งโถงลิฟต์</t>
  </si>
  <si>
    <t xml:space="preserve">   งานติดตั้ง Lightning Protection System ชั้น Roof</t>
  </si>
  <si>
    <t xml:space="preserve">             ติดตั้งถังบำบัดน้ำเสีย ( WWTP )</t>
  </si>
  <si>
    <t xml:space="preserve">             ติดตั้งถังดักไขมัน</t>
  </si>
  <si>
    <t xml:space="preserve">             ติดตั้งถังเก็บน้ำประปา ( Water Tank ) และ Cold Water Booster Pump</t>
  </si>
  <si>
    <t xml:space="preserve">              Drainage Work</t>
  </si>
  <si>
    <t xml:space="preserve">             Electrical and Communication Main Incomming</t>
  </si>
  <si>
    <t xml:space="preserve">             ติดตั้ง Unit Substation และ Generator Set</t>
  </si>
  <si>
    <t xml:space="preserve">             Grounding System</t>
  </si>
  <si>
    <t xml:space="preserve">            Lighting Landscape</t>
  </si>
  <si>
    <t xml:space="preserve">      งานติดตั้งครุภัณฑ์</t>
  </si>
  <si>
    <t xml:space="preserve">            งานครุภัณฑ์ประจำอาคาร</t>
  </si>
  <si>
    <t xml:space="preserve">             งานครุภัณฑ์ Soft Scape</t>
  </si>
  <si>
    <t>Project : ก่อสร้างอาคารศูนย์การเรียนรู้แห่งชาติ OKMD : OKMD National Knowledge Center</t>
  </si>
  <si>
    <t xml:space="preserve">Owner  : สำนักงานบริหารและพัฒนาองค์ความรู้ (องค์การมหาชน)   </t>
  </si>
  <si>
    <t>MB</t>
  </si>
  <si>
    <t xml:space="preserve">Contract Duration : 840 Days </t>
  </si>
  <si>
    <t xml:space="preserve">Consult  : บริษัท พี.พี.เอส.เอ็น จำกัด    </t>
  </si>
  <si>
    <t>Start Date   :</t>
  </si>
  <si>
    <t>Contractor  : บริษัท เพาเวอร์ไลน์ เอ็นจิเนียริ่ง จำกัด (มหาชน)</t>
  </si>
  <si>
    <t xml:space="preserve">Finish Date  : </t>
  </si>
  <si>
    <t>Item</t>
  </si>
  <si>
    <t>Description</t>
  </si>
  <si>
    <t xml:space="preserve">Contract Include Vat </t>
  </si>
  <si>
    <t>Plan/
Actual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</si>
  <si>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</si>
  <si>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</si>
  <si>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</si>
  <si>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</si>
  <si>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</si>
  <si>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</si>
  <si>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</si>
  <si>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</si>
  <si>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</si>
  <si>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</si>
  <si>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</si>
  <si>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</si>
  <si>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</si>
  <si>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</si>
  <si>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</si>
  <si>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</si>
  <si>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</si>
  <si>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</si>
  <si>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</si>
  <si>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</si>
  <si>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</si>
  <si>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</si>
  <si>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</si>
  <si>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โครงการจัดตั้งศูนย์การเรียนรู้แห่งชาติ OKMD : OKMD National Knowledge Center</t>
  </si>
  <si>
    <t>P</t>
  </si>
  <si>
    <t>A</t>
  </si>
  <si>
    <t xml:space="preserve">   งานทดสอบและส่งมอบอาคาร Ratchadamnoen Center 2</t>
  </si>
  <si>
    <t>งานครุภัณฑ์ระบบภาพและเสียง</t>
  </si>
  <si>
    <t>1.8.3</t>
  </si>
  <si>
    <t>1.8.4</t>
  </si>
  <si>
    <t>Master Schedule อาคาร Ratchadamnoen Center 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</si>
  <si>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</si>
  <si>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</si>
  <si>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</si>
  <si>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</si>
  <si>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</si>
  <si>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</si>
  <si>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</si>
  <si>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</si>
  <si>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</si>
  <si>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</si>
  <si>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</si>
  <si>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</si>
  <si>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</si>
  <si>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</si>
  <si>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1.4.1</t>
  </si>
  <si>
    <t>1.4.1.1</t>
  </si>
  <si>
    <t>1.4.1.2</t>
  </si>
  <si>
    <t>1.4.1.3</t>
  </si>
  <si>
    <t>1.4.1.4</t>
  </si>
  <si>
    <t>1.4.1.5</t>
  </si>
  <si>
    <t>1.4.2</t>
  </si>
  <si>
    <t>1.4.3</t>
  </si>
  <si>
    <t>1.4.4</t>
  </si>
  <si>
    <t>1.4.5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</si>
  <si>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</si>
  <si>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</si>
  <si>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</si>
  <si>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</si>
  <si>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</si>
  <si>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</si>
  <si>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</si>
  <si>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</si>
  <si>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1.7.1</t>
  </si>
  <si>
    <t>1.7.2</t>
  </si>
  <si>
    <t>1.7.3</t>
  </si>
  <si>
    <t>1.8.1</t>
  </si>
  <si>
    <t>1.8.2</t>
  </si>
  <si>
    <t>1.8.5</t>
  </si>
  <si>
    <t>1.8.6</t>
  </si>
  <si>
    <t>PLAN</t>
  </si>
  <si>
    <t>ACTUAL</t>
  </si>
  <si>
    <t>Weekly</t>
  </si>
  <si>
    <t>Monthly</t>
  </si>
  <si>
    <t>$</t>
  </si>
  <si>
    <t>∫</t>
  </si>
  <si>
    <t>∑</t>
  </si>
  <si>
    <t>∑ $</t>
  </si>
  <si>
    <t>Weelky</t>
  </si>
  <si>
    <t>week_start</t>
  </si>
  <si>
    <t>plan</t>
  </si>
  <si>
    <t>actual</t>
  </si>
  <si>
    <t>project_finish</t>
  </si>
  <si>
    <t xml:space="preserve"> ∫</t>
  </si>
  <si>
    <t xml:space="preserve">∑ </t>
  </si>
  <si>
    <t>project_start</t>
  </si>
  <si>
    <t>∑$</t>
  </si>
  <si>
    <t>WBS</t>
  </si>
  <si>
    <t>Activities</t>
  </si>
  <si>
    <t>Amount</t>
  </si>
  <si>
    <t>P/A</t>
  </si>
  <si>
    <t>%Progress</t>
  </si>
  <si>
    <t>Amount from progress</t>
  </si>
  <si>
    <t xml:space="preserve">        งานก่อช่อง ชาฟ</t>
  </si>
  <si>
    <t>1.3.1</t>
  </si>
  <si>
    <t>1.3.2</t>
  </si>
  <si>
    <t>1.3.3</t>
  </si>
  <si>
    <t>1.3.4</t>
  </si>
  <si>
    <t xml:space="preserve">          งานโครงหลังคาห้องสนามหลวง ห้องศาสนา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</si>
</sst>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B1mmm\-yy"/>
    <numFmt numFmtId="166" formatCode="_-* #,##0_-;\-* #,##0_-;_-* &quot;-&quot;??_-;_-@_-"/>
    <numFmt numFmtId="167" formatCode="#0.00,,"/>
    <numFmt numFmtId="168" formatCode="#0.0,,"/>
    <numFmt numFmtId="169" formatCode="0.0"/>
    <numFmt numFmtId="170" formatCode="0.0%"/>
    <numFmt numFmtId="171" formatCode="0.0000%"/>
    <numFmt numFmtId="172" formatCode="yyyy/m/dd"/>
    <numFmt numFmtId="173" formatCode="0.00%;\-0.00%;;@"/>
  </numFmts>
  <fonts count="38" x14ac:knownFonts="1">
    <font>
      <sz val="14"/>
      <color theme="1"/>
      <name val="AngsanaUPC"/>
      <charset val="222"/>
    </font>
    <font>
      <sz val="18"/>
      <color theme="1"/>
      <name val="AngsanaUPC"/>
      <family val="1"/>
    </font>
    <font>
      <b/>
      <sz val="16"/>
      <color theme="1"/>
      <name val="AngsanaUPC"/>
      <family val="1"/>
    </font>
    <font>
      <sz val="16"/>
      <color rgb="FFFF0000"/>
      <name val="AngsanaUPC"/>
      <family val="1"/>
    </font>
    <font>
      <sz val="16"/>
      <color theme="1"/>
      <name val="AngsanaUPC"/>
      <family val="1"/>
    </font>
    <font>
      <b/>
      <sz val="36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rgb="FFFF0000"/>
      <name val="AngsanaUPC"/>
      <family val="1"/>
    </font>
    <font>
      <b/>
      <sz val="18"/>
      <name val="AngsanaUPC"/>
      <family val="1"/>
    </font>
    <font>
      <sz val="16"/>
      <name val="AngsanaUPC"/>
      <family val="1"/>
    </font>
    <font>
      <sz val="18"/>
      <color theme="2"/>
      <name val="AngsanaUPC"/>
      <family val="1"/>
    </font>
    <font>
      <sz val="16"/>
      <color theme="2"/>
      <name val="AngsanaUPC"/>
      <family val="1"/>
    </font>
    <font>
      <sz val="14"/>
      <color theme="2"/>
      <name val="AngsanaUPC"/>
      <family val="1"/>
    </font>
    <font>
      <b/>
      <sz val="18"/>
      <color theme="0"/>
      <name val="AngsanaUPC"/>
      <family val="1"/>
    </font>
    <font>
      <sz val="18"/>
      <color theme="0"/>
      <name val="AngsanaUPC"/>
      <family val="1"/>
    </font>
    <font>
      <sz val="14"/>
      <color theme="1"/>
      <name val="AngsanaUPC"/>
      <family val="1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6"/>
      <name val="DilleniaUPC"/>
      <family val="1"/>
    </font>
    <font>
      <sz val="14"/>
      <name val="Cordia New"/>
      <family val="2"/>
    </font>
    <font>
      <b/>
      <sz val="16"/>
      <color rgb="FF000000"/>
      <name val="Cordia New"/>
      <family val="2"/>
    </font>
    <font>
      <sz val="16"/>
      <color theme="1"/>
      <name val="Cordia New"/>
      <family val="2"/>
    </font>
    <font>
      <sz val="14"/>
      <name val="AngsanaUPC"/>
      <family val="1"/>
    </font>
    <font>
      <sz val="16"/>
      <color theme="1"/>
      <name val="AngsanaUPC"/>
      <family val="1"/>
    </font>
    <font>
      <sz val="16"/>
      <name val="Cordia New"/>
      <family val="2"/>
    </font>
    <font>
      <sz val="16"/>
      <color rgb="FF1D41D5"/>
      <name val="Cordia New"/>
      <family val="2"/>
    </font>
    <font>
      <b/>
      <sz val="16"/>
      <name val="Cordia New"/>
      <family val="2"/>
    </font>
    <font>
      <sz val="14"/>
      <color theme="1"/>
      <name val="Cordia New"/>
      <family val="2"/>
    </font>
    <font>
      <b/>
      <sz val="16"/>
      <color rgb="FF1D41D5"/>
      <name val="Cordia New"/>
      <family val="2"/>
    </font>
    <font>
      <b/>
      <sz val="16"/>
      <color theme="1"/>
      <name val="Cordia New"/>
      <family val="2"/>
    </font>
    <font>
      <sz val="16"/>
      <color rgb="FF000000"/>
      <name val="Cordia New"/>
      <family val="2"/>
    </font>
    <font>
      <sz val="16"/>
      <color rgb="FF0070C0"/>
      <name val="Cordia New"/>
      <family val="2"/>
    </font>
    <font>
      <sz val="14"/>
      <color rgb="FF000000"/>
      <name val="Cordia New"/>
      <family val="2"/>
    </font>
    <font>
      <b/>
      <sz val="22"/>
      <name val="Cordia New"/>
      <family val="2"/>
    </font>
    <font>
      <b/>
      <sz val="28"/>
      <color theme="1"/>
      <name val="Cordia New"/>
      <family val="2"/>
    </font>
    <font>
      <b/>
      <sz val="30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name val="Cordia New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44914090395825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B1BB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1BBCC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thin">
        <color auto="1"/>
      </bottom>
      <diagonal/>
    </border>
    <border>
      <left/>
      <right style="hair">
        <color indexed="64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9" fillId="0" borderId="0"/>
    <xf numFmtId="0" fontId="16" fillId="0" borderId="0"/>
    <xf numFmtId="0" fontId="9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9" fontId="16" fillId="0" borderId="0" applyFont="0" applyFill="0" applyBorder="0" applyAlignment="0" applyProtection="0"/>
  </cellStyleXfs>
  <cellXfs count="4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17" applyFont="1" applyAlignment="1">
      <alignment vertical="center"/>
    </xf>
    <xf numFmtId="0" fontId="6" fillId="0" borderId="0" xfId="15" applyFont="1" applyAlignment="1">
      <alignment vertical="center"/>
    </xf>
    <xf numFmtId="0" fontId="8" fillId="0" borderId="0" xfId="17" applyFont="1" applyAlignment="1">
      <alignment vertical="center"/>
    </xf>
    <xf numFmtId="14" fontId="8" fillId="0" borderId="0" xfId="17" applyNumberFormat="1" applyFont="1" applyAlignment="1">
      <alignment vertical="center"/>
    </xf>
    <xf numFmtId="0" fontId="4" fillId="0" borderId="0" xfId="17" applyFont="1"/>
    <xf numFmtId="0" fontId="4" fillId="0" borderId="0" xfId="17" applyFont="1" applyAlignment="1">
      <alignment vertical="center"/>
    </xf>
    <xf numFmtId="0" fontId="4" fillId="0" borderId="0" xfId="15" applyFont="1"/>
    <xf numFmtId="14" fontId="3" fillId="0" borderId="0" xfId="17" applyNumberFormat="1" applyFont="1" applyAlignment="1">
      <alignment horizontal="center" vertical="center"/>
    </xf>
    <xf numFmtId="14" fontId="3" fillId="0" borderId="0" xfId="17" applyNumberFormat="1" applyFont="1" applyAlignment="1">
      <alignment vertical="center"/>
    </xf>
    <xf numFmtId="0" fontId="2" fillId="0" borderId="0" xfId="17" applyFont="1"/>
    <xf numFmtId="0" fontId="2" fillId="0" borderId="0" xfId="17" applyFont="1" applyAlignment="1">
      <alignment vertical="center"/>
    </xf>
    <xf numFmtId="14" fontId="2" fillId="0" borderId="0" xfId="17" applyNumberFormat="1" applyFont="1" applyAlignment="1">
      <alignment horizontal="center" vertical="center"/>
    </xf>
    <xf numFmtId="43" fontId="10" fillId="0" borderId="0" xfId="1" applyFont="1" applyBorder="1"/>
    <xf numFmtId="0" fontId="11" fillId="0" borderId="0" xfId="0" applyFont="1"/>
    <xf numFmtId="169" fontId="12" fillId="0" borderId="0" xfId="0" applyNumberFormat="1" applyFont="1" applyAlignment="1">
      <alignment horizontal="center" vertical="center"/>
    </xf>
    <xf numFmtId="167" fontId="4" fillId="0" borderId="0" xfId="0" applyNumberFormat="1" applyFont="1"/>
    <xf numFmtId="0" fontId="13" fillId="0" borderId="0" xfId="17" applyFont="1" applyAlignment="1">
      <alignment vertical="center"/>
    </xf>
    <xf numFmtId="0" fontId="8" fillId="0" borderId="0" xfId="0" applyFont="1"/>
    <xf numFmtId="0" fontId="14" fillId="0" borderId="0" xfId="0" applyFont="1"/>
    <xf numFmtId="0" fontId="13" fillId="0" borderId="13" xfId="17" applyFont="1" applyBorder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/>
    <xf numFmtId="2" fontId="4" fillId="0" borderId="0" xfId="0" applyNumberFormat="1" applyFont="1"/>
    <xf numFmtId="0" fontId="7" fillId="0" borderId="0" xfId="0" applyFont="1"/>
    <xf numFmtId="0" fontId="13" fillId="0" borderId="0" xfId="17" applyFont="1" applyBorder="1" applyAlignment="1">
      <alignment vertical="center"/>
    </xf>
    <xf numFmtId="43" fontId="20" fillId="13" borderId="30" xfId="1" applyFont="1" applyFill="1" applyBorder="1" applyAlignment="1">
      <alignment horizontal="center" vertical="center"/>
    </xf>
    <xf numFmtId="43" fontId="20" fillId="13" borderId="31" xfId="1" applyFont="1" applyFill="1" applyBorder="1" applyAlignment="1">
      <alignment horizontal="center" vertical="center"/>
    </xf>
    <xf numFmtId="43" fontId="20" fillId="2" borderId="30" xfId="1" applyFont="1" applyFill="1" applyBorder="1" applyAlignment="1">
      <alignment horizontal="center" vertical="center"/>
    </xf>
    <xf numFmtId="43" fontId="20" fillId="2" borderId="31" xfId="1" applyFont="1" applyFill="1" applyBorder="1" applyAlignment="1">
      <alignment horizontal="center" vertical="center"/>
    </xf>
    <xf numFmtId="43" fontId="20" fillId="0" borderId="30" xfId="1" applyFont="1" applyFill="1" applyBorder="1" applyAlignment="1">
      <alignment horizontal="center" vertical="center"/>
    </xf>
    <xf numFmtId="43" fontId="20" fillId="0" borderId="31" xfId="1" applyFont="1" applyFill="1" applyBorder="1" applyAlignment="1">
      <alignment horizontal="center" vertical="center"/>
    </xf>
    <xf numFmtId="167" fontId="20" fillId="2" borderId="31" xfId="1" applyNumberFormat="1" applyFont="1" applyFill="1" applyBorder="1" applyAlignment="1">
      <alignment horizontal="center" vertical="center"/>
    </xf>
    <xf numFmtId="167" fontId="20" fillId="2" borderId="55" xfId="1" applyNumberFormat="1" applyFont="1" applyFill="1" applyBorder="1" applyAlignment="1">
      <alignment horizontal="center" vertical="center"/>
    </xf>
    <xf numFmtId="0" fontId="4" fillId="0" borderId="0" xfId="0" applyFont="1" applyFill="1"/>
    <xf numFmtId="2" fontId="23" fillId="0" borderId="0" xfId="0" applyNumberFormat="1" applyFont="1"/>
    <xf numFmtId="43" fontId="21" fillId="14" borderId="58" xfId="1" applyFont="1" applyFill="1" applyBorder="1" applyAlignment="1">
      <alignment vertical="center"/>
    </xf>
    <xf numFmtId="43" fontId="21" fillId="14" borderId="83" xfId="1" applyFont="1" applyFill="1" applyBorder="1" applyAlignment="1">
      <alignment vertical="center"/>
    </xf>
    <xf numFmtId="43" fontId="21" fillId="14" borderId="30" xfId="1" applyFont="1" applyFill="1" applyBorder="1" applyAlignment="1">
      <alignment vertical="center"/>
    </xf>
    <xf numFmtId="43" fontId="21" fillId="14" borderId="31" xfId="1" applyFont="1" applyFill="1" applyBorder="1" applyAlignment="1">
      <alignment vertical="center"/>
    </xf>
    <xf numFmtId="43" fontId="21" fillId="11" borderId="30" xfId="1" applyFont="1" applyFill="1" applyBorder="1" applyAlignment="1">
      <alignment vertical="center"/>
    </xf>
    <xf numFmtId="43" fontId="21" fillId="11" borderId="31" xfId="1" applyFont="1" applyFill="1" applyBorder="1" applyAlignment="1">
      <alignment vertical="center"/>
    </xf>
    <xf numFmtId="43" fontId="21" fillId="2" borderId="30" xfId="1" applyFont="1" applyFill="1" applyBorder="1" applyAlignment="1">
      <alignment vertical="center"/>
    </xf>
    <xf numFmtId="43" fontId="21" fillId="2" borderId="31" xfId="1" applyFont="1" applyFill="1" applyBorder="1" applyAlignment="1">
      <alignment vertical="center"/>
    </xf>
    <xf numFmtId="43" fontId="21" fillId="0" borderId="30" xfId="1" applyFont="1" applyBorder="1" applyAlignment="1">
      <alignment vertical="center"/>
    </xf>
    <xf numFmtId="43" fontId="21" fillId="0" borderId="31" xfId="1" applyFont="1" applyBorder="1" applyAlignment="1">
      <alignment vertical="center"/>
    </xf>
    <xf numFmtId="43" fontId="21" fillId="13" borderId="30" xfId="1" applyFont="1" applyFill="1" applyBorder="1" applyAlignment="1">
      <alignment vertical="center"/>
    </xf>
    <xf numFmtId="43" fontId="21" fillId="13" borderId="31" xfId="1" applyFont="1" applyFill="1" applyBorder="1" applyAlignment="1">
      <alignment vertical="center"/>
    </xf>
    <xf numFmtId="14" fontId="13" fillId="0" borderId="0" xfId="17" applyNumberFormat="1" applyFont="1" applyAlignment="1">
      <alignment horizontal="left" vertical="center"/>
    </xf>
    <xf numFmtId="14" fontId="8" fillId="0" borderId="0" xfId="17" applyNumberFormat="1" applyFont="1" applyAlignment="1">
      <alignment horizontal="left" vertical="center"/>
    </xf>
    <xf numFmtId="43" fontId="20" fillId="2" borderId="54" xfId="1" applyFont="1" applyFill="1" applyBorder="1" applyAlignment="1">
      <alignment horizontal="center" vertical="center"/>
    </xf>
    <xf numFmtId="171" fontId="24" fillId="8" borderId="63" xfId="2" applyNumberFormat="1" applyFont="1" applyFill="1" applyBorder="1" applyAlignment="1">
      <alignment horizontal="center" vertical="center" textRotation="180"/>
    </xf>
    <xf numFmtId="171" fontId="24" fillId="8" borderId="64" xfId="2" applyNumberFormat="1" applyFont="1" applyFill="1" applyBorder="1" applyAlignment="1">
      <alignment horizontal="center" vertical="center" textRotation="180"/>
    </xf>
    <xf numFmtId="171" fontId="24" fillId="8" borderId="65" xfId="2" applyNumberFormat="1" applyFont="1" applyFill="1" applyBorder="1" applyAlignment="1">
      <alignment horizontal="center" vertical="center" textRotation="180"/>
    </xf>
    <xf numFmtId="168" fontId="26" fillId="8" borderId="39" xfId="8" applyNumberFormat="1" applyFont="1" applyFill="1" applyBorder="1" applyAlignment="1">
      <alignment horizontal="center" vertical="center"/>
    </xf>
    <xf numFmtId="43" fontId="24" fillId="8" borderId="66" xfId="1" applyFont="1" applyFill="1" applyBorder="1" applyAlignment="1">
      <alignment horizontal="center" vertical="center" textRotation="180"/>
    </xf>
    <xf numFmtId="43" fontId="24" fillId="8" borderId="67" xfId="1" applyFont="1" applyFill="1" applyBorder="1" applyAlignment="1">
      <alignment horizontal="center" vertical="center" textRotation="180"/>
    </xf>
    <xf numFmtId="43" fontId="24" fillId="8" borderId="68" xfId="1" applyFont="1" applyFill="1" applyBorder="1" applyAlignment="1">
      <alignment horizontal="center" vertical="center" textRotation="180"/>
    </xf>
    <xf numFmtId="168" fontId="26" fillId="8" borderId="40" xfId="8" applyNumberFormat="1" applyFont="1" applyFill="1" applyBorder="1" applyAlignment="1">
      <alignment horizontal="center" vertical="center"/>
    </xf>
    <xf numFmtId="10" fontId="26" fillId="8" borderId="53" xfId="2" applyNumberFormat="1" applyFont="1" applyFill="1" applyBorder="1" applyAlignment="1">
      <alignment horizontal="center" vertical="center"/>
    </xf>
    <xf numFmtId="167" fontId="26" fillId="0" borderId="79" xfId="8" applyNumberFormat="1" applyFont="1" applyFill="1" applyBorder="1" applyAlignment="1">
      <alignment horizontal="center" vertical="center"/>
    </xf>
    <xf numFmtId="167" fontId="26" fillId="0" borderId="64" xfId="8" applyNumberFormat="1" applyFont="1" applyFill="1" applyBorder="1" applyAlignment="1">
      <alignment horizontal="center" vertical="center"/>
    </xf>
    <xf numFmtId="167" fontId="26" fillId="0" borderId="65" xfId="8" applyNumberFormat="1" applyFont="1" applyFill="1" applyBorder="1" applyAlignment="1">
      <alignment horizontal="center" vertical="center"/>
    </xf>
    <xf numFmtId="167" fontId="26" fillId="0" borderId="63" xfId="8" applyNumberFormat="1" applyFont="1" applyFill="1" applyBorder="1" applyAlignment="1">
      <alignment horizontal="center" vertical="center"/>
    </xf>
    <xf numFmtId="167" fontId="26" fillId="0" borderId="73" xfId="8" applyNumberFormat="1" applyFont="1" applyFill="1" applyBorder="1" applyAlignment="1">
      <alignment horizontal="center" vertical="center"/>
    </xf>
    <xf numFmtId="167" fontId="26" fillId="0" borderId="72" xfId="8" applyNumberFormat="1" applyFont="1" applyFill="1" applyBorder="1" applyAlignment="1">
      <alignment horizontal="center" vertical="center"/>
    </xf>
    <xf numFmtId="168" fontId="26" fillId="0" borderId="63" xfId="8" applyNumberFormat="1" applyFont="1" applyFill="1" applyBorder="1" applyAlignment="1">
      <alignment horizontal="center" vertical="center"/>
    </xf>
    <xf numFmtId="168" fontId="26" fillId="0" borderId="64" xfId="8" applyNumberFormat="1" applyFont="1" applyFill="1" applyBorder="1" applyAlignment="1">
      <alignment horizontal="center" vertical="center"/>
    </xf>
    <xf numFmtId="168" fontId="26" fillId="0" borderId="65" xfId="8" applyNumberFormat="1" applyFont="1" applyFill="1" applyBorder="1" applyAlignment="1">
      <alignment horizontal="center" vertical="center"/>
    </xf>
    <xf numFmtId="168" fontId="26" fillId="0" borderId="56" xfId="8" applyNumberFormat="1" applyFont="1" applyFill="1" applyBorder="1" applyAlignment="1">
      <alignment horizontal="center" vertical="center"/>
    </xf>
    <xf numFmtId="168" fontId="26" fillId="0" borderId="38" xfId="8" applyNumberFormat="1" applyFont="1" applyFill="1" applyBorder="1" applyAlignment="1">
      <alignment horizontal="center" vertical="center"/>
    </xf>
    <xf numFmtId="168" fontId="26" fillId="0" borderId="39" xfId="8" applyNumberFormat="1" applyFont="1" applyFill="1" applyBorder="1" applyAlignment="1">
      <alignment horizontal="center" vertical="center"/>
    </xf>
    <xf numFmtId="171" fontId="24" fillId="10" borderId="63" xfId="2" applyNumberFormat="1" applyFont="1" applyFill="1" applyBorder="1" applyAlignment="1">
      <alignment horizontal="center" vertical="center" textRotation="180"/>
    </xf>
    <xf numFmtId="171" fontId="24" fillId="10" borderId="64" xfId="2" applyNumberFormat="1" applyFont="1" applyFill="1" applyBorder="1" applyAlignment="1">
      <alignment horizontal="center" vertical="center" textRotation="180"/>
    </xf>
    <xf numFmtId="171" fontId="24" fillId="10" borderId="65" xfId="2" applyNumberFormat="1" applyFont="1" applyFill="1" applyBorder="1" applyAlignment="1">
      <alignment horizontal="center" vertical="center" textRotation="180"/>
    </xf>
    <xf numFmtId="171" fontId="24" fillId="0" borderId="63" xfId="2" applyNumberFormat="1" applyFont="1" applyFill="1" applyBorder="1" applyAlignment="1">
      <alignment horizontal="center" vertical="center" textRotation="180"/>
    </xf>
    <xf numFmtId="171" fontId="24" fillId="0" borderId="64" xfId="2" applyNumberFormat="1" applyFont="1" applyFill="1" applyBorder="1" applyAlignment="1">
      <alignment horizontal="center" vertical="center" textRotation="180"/>
    </xf>
    <xf numFmtId="171" fontId="24" fillId="0" borderId="65" xfId="2" applyNumberFormat="1" applyFont="1" applyFill="1" applyBorder="1" applyAlignment="1">
      <alignment horizontal="center" vertical="center" textRotation="180"/>
    </xf>
    <xf numFmtId="2" fontId="22" fillId="0" borderId="0" xfId="2" applyNumberFormat="1" applyFont="1" applyAlignment="1">
      <alignment horizontal="center" vertical="center"/>
    </xf>
    <xf numFmtId="170" fontId="15" fillId="0" borderId="0" xfId="2" applyNumberFormat="1" applyFont="1"/>
    <xf numFmtId="43" fontId="25" fillId="2" borderId="30" xfId="1" applyFont="1" applyFill="1" applyBorder="1" applyAlignment="1">
      <alignment vertical="center"/>
    </xf>
    <xf numFmtId="43" fontId="28" fillId="2" borderId="30" xfId="1" applyFont="1" applyFill="1" applyBorder="1" applyAlignment="1">
      <alignment horizontal="center" vertical="center"/>
    </xf>
    <xf numFmtId="0" fontId="29" fillId="5" borderId="2" xfId="15" applyFont="1" applyFill="1" applyBorder="1" applyAlignment="1">
      <alignment horizontal="center" vertical="center" wrapText="1"/>
    </xf>
    <xf numFmtId="0" fontId="29" fillId="5" borderId="1" xfId="15" applyFont="1" applyFill="1" applyBorder="1" applyAlignment="1">
      <alignment horizontal="center" vertical="center" wrapText="1"/>
    </xf>
    <xf numFmtId="0" fontId="29" fillId="4" borderId="16" xfId="15" applyFont="1" applyFill="1" applyBorder="1" applyAlignment="1">
      <alignment horizontal="center" vertical="center"/>
    </xf>
    <xf numFmtId="0" fontId="29" fillId="4" borderId="16" xfId="15" applyFont="1" applyFill="1" applyBorder="1" applyAlignment="1">
      <alignment vertical="center"/>
    </xf>
    <xf numFmtId="0" fontId="29" fillId="4" borderId="12" xfId="15" applyFont="1" applyFill="1" applyBorder="1" applyAlignment="1">
      <alignment vertical="center"/>
    </xf>
    <xf numFmtId="0" fontId="29" fillId="0" borderId="0" xfId="0" applyFont="1"/>
    <xf numFmtId="0" fontId="29" fillId="5" borderId="5" xfId="15" applyFont="1" applyFill="1" applyBorder="1" applyAlignment="1">
      <alignment horizontal="center" vertical="center"/>
    </xf>
    <xf numFmtId="0" fontId="29" fillId="5" borderId="17" xfId="15" applyFont="1" applyFill="1" applyBorder="1" applyAlignment="1">
      <alignment horizontal="center" vertical="center" wrapText="1"/>
    </xf>
    <xf numFmtId="0" fontId="29" fillId="5" borderId="0" xfId="15" applyFont="1" applyFill="1" applyAlignment="1">
      <alignment horizontal="center" vertical="center" wrapText="1"/>
    </xf>
    <xf numFmtId="0" fontId="29" fillId="5" borderId="5" xfId="15" applyFont="1" applyFill="1" applyBorder="1" applyAlignment="1">
      <alignment horizontal="center" vertical="center" wrapText="1"/>
    </xf>
    <xf numFmtId="1" fontId="29" fillId="7" borderId="16" xfId="15" applyNumberFormat="1" applyFont="1" applyFill="1" applyBorder="1" applyAlignment="1">
      <alignment horizontal="center" vertical="center"/>
    </xf>
    <xf numFmtId="1" fontId="29" fillId="7" borderId="18" xfId="15" applyNumberFormat="1" applyFont="1" applyFill="1" applyBorder="1" applyAlignment="1">
      <alignment horizontal="center" vertical="center"/>
    </xf>
    <xf numFmtId="0" fontId="29" fillId="5" borderId="9" xfId="15" applyFont="1" applyFill="1" applyBorder="1" applyAlignment="1">
      <alignment horizontal="center" vertical="center" wrapText="1"/>
    </xf>
    <xf numFmtId="0" fontId="29" fillId="5" borderId="8" xfId="15" applyFont="1" applyFill="1" applyBorder="1" applyAlignment="1">
      <alignment horizontal="center" vertical="center"/>
    </xf>
    <xf numFmtId="165" fontId="26" fillId="9" borderId="16" xfId="15" applyNumberFormat="1" applyFont="1" applyFill="1" applyBorder="1" applyAlignment="1">
      <alignment horizontal="center" vertical="center"/>
    </xf>
    <xf numFmtId="165" fontId="26" fillId="9" borderId="12" xfId="15" applyNumberFormat="1" applyFont="1" applyFill="1" applyBorder="1" applyAlignment="1">
      <alignment horizontal="center" vertical="center"/>
    </xf>
    <xf numFmtId="9" fontId="24" fillId="12" borderId="3" xfId="8" applyNumberFormat="1" applyFont="1" applyFill="1" applyBorder="1" applyAlignment="1">
      <alignment horizontal="center" vertical="center"/>
    </xf>
    <xf numFmtId="0" fontId="21" fillId="0" borderId="0" xfId="0" applyFont="1"/>
    <xf numFmtId="9" fontId="24" fillId="0" borderId="32" xfId="8" applyNumberFormat="1" applyFont="1" applyFill="1" applyBorder="1" applyAlignment="1">
      <alignment horizontal="center" vertical="center"/>
    </xf>
    <xf numFmtId="166" fontId="24" fillId="12" borderId="46" xfId="8" applyNumberFormat="1" applyFont="1" applyFill="1" applyBorder="1" applyAlignment="1">
      <alignment horizontal="center" vertical="center"/>
    </xf>
    <xf numFmtId="9" fontId="24" fillId="12" borderId="32" xfId="8" applyNumberFormat="1" applyFont="1" applyFill="1" applyBorder="1" applyAlignment="1">
      <alignment horizontal="center" vertical="center"/>
    </xf>
    <xf numFmtId="166" fontId="24" fillId="0" borderId="47" xfId="8" applyNumberFormat="1" applyFont="1" applyFill="1" applyBorder="1" applyAlignment="1">
      <alignment horizontal="center" vertical="center"/>
    </xf>
    <xf numFmtId="0" fontId="33" fillId="8" borderId="1" xfId="15" applyFont="1" applyFill="1" applyBorder="1" applyAlignment="1">
      <alignment vertical="center"/>
    </xf>
    <xf numFmtId="0" fontId="33" fillId="8" borderId="2" xfId="15" applyFont="1" applyFill="1" applyBorder="1" applyAlignment="1">
      <alignment vertical="center"/>
    </xf>
    <xf numFmtId="0" fontId="29" fillId="8" borderId="3" xfId="15" applyFont="1" applyFill="1" applyBorder="1" applyAlignment="1">
      <alignment horizontal="center" vertical="center"/>
    </xf>
    <xf numFmtId="0" fontId="34" fillId="8" borderId="84" xfId="15" applyFont="1" applyFill="1" applyBorder="1" applyAlignment="1">
      <alignment horizontal="center" vertical="center"/>
    </xf>
    <xf numFmtId="0" fontId="33" fillId="8" borderId="5" xfId="15" applyFont="1" applyFill="1" applyBorder="1" applyAlignment="1">
      <alignment vertical="center"/>
    </xf>
    <xf numFmtId="0" fontId="33" fillId="8" borderId="0" xfId="15" applyFont="1" applyFill="1" applyBorder="1" applyAlignment="1">
      <alignment vertical="center"/>
    </xf>
    <xf numFmtId="0" fontId="29" fillId="8" borderId="7" xfId="15" applyFont="1" applyFill="1" applyBorder="1" applyAlignment="1">
      <alignment vertical="center"/>
    </xf>
    <xf numFmtId="0" fontId="29" fillId="8" borderId="6" xfId="15" applyFont="1" applyFill="1" applyBorder="1" applyAlignment="1">
      <alignment vertical="center"/>
    </xf>
    <xf numFmtId="0" fontId="34" fillId="8" borderId="45" xfId="15" applyFont="1" applyFill="1" applyBorder="1" applyAlignment="1">
      <alignment horizontal="center" vertical="center"/>
    </xf>
    <xf numFmtId="0" fontId="33" fillId="8" borderId="0" xfId="15" applyFont="1" applyFill="1" applyAlignment="1">
      <alignment vertical="center"/>
    </xf>
    <xf numFmtId="0" fontId="35" fillId="8" borderId="45" xfId="15" applyFont="1" applyFill="1" applyBorder="1" applyAlignment="1">
      <alignment horizontal="center" vertical="center"/>
    </xf>
    <xf numFmtId="0" fontId="34" fillId="8" borderId="48" xfId="15" applyFont="1" applyFill="1" applyBorder="1" applyAlignment="1">
      <alignment horizontal="center" vertical="center"/>
    </xf>
    <xf numFmtId="0" fontId="29" fillId="8" borderId="4" xfId="15" applyFont="1" applyFill="1" applyBorder="1" applyAlignment="1">
      <alignment horizontal="center" vertical="center"/>
    </xf>
    <xf numFmtId="0" fontId="29" fillId="8" borderId="45" xfId="15" applyFont="1" applyFill="1" applyBorder="1" applyAlignment="1">
      <alignment horizontal="center" vertical="center"/>
    </xf>
    <xf numFmtId="0" fontId="29" fillId="8" borderId="11" xfId="15" applyFont="1" applyFill="1" applyBorder="1" applyAlignment="1">
      <alignment vertical="center"/>
    </xf>
    <xf numFmtId="0" fontId="29" fillId="8" borderId="10" xfId="15" applyFont="1" applyFill="1" applyBorder="1" applyAlignment="1">
      <alignment vertical="center"/>
    </xf>
    <xf numFmtId="0" fontId="36" fillId="8" borderId="48" xfId="15" applyFont="1" applyFill="1" applyBorder="1" applyAlignment="1">
      <alignment horizontal="center" vertical="center"/>
    </xf>
    <xf numFmtId="0" fontId="33" fillId="0" borderId="1" xfId="15" applyFont="1" applyFill="1" applyBorder="1" applyAlignment="1">
      <alignment vertical="center"/>
    </xf>
    <xf numFmtId="0" fontId="33" fillId="0" borderId="2" xfId="15" applyFont="1" applyFill="1" applyBorder="1" applyAlignment="1">
      <alignment vertical="center"/>
    </xf>
    <xf numFmtId="0" fontId="29" fillId="0" borderId="38" xfId="15" applyFont="1" applyFill="1" applyBorder="1" applyAlignment="1">
      <alignment vertical="center"/>
    </xf>
    <xf numFmtId="0" fontId="29" fillId="0" borderId="2" xfId="15" applyFont="1" applyFill="1" applyBorder="1" applyAlignment="1">
      <alignment vertical="center"/>
    </xf>
    <xf numFmtId="0" fontId="29" fillId="0" borderId="38" xfId="15" applyFont="1" applyFill="1" applyBorder="1" applyAlignment="1">
      <alignment horizontal="left" vertical="center"/>
    </xf>
    <xf numFmtId="0" fontId="21" fillId="0" borderId="0" xfId="0" applyFont="1" applyFill="1"/>
    <xf numFmtId="0" fontId="33" fillId="10" borderId="1" xfId="15" applyFont="1" applyFill="1" applyBorder="1" applyAlignment="1">
      <alignment vertical="center"/>
    </xf>
    <xf numFmtId="0" fontId="33" fillId="10" borderId="3" xfId="15" applyFont="1" applyFill="1" applyBorder="1" applyAlignment="1">
      <alignment vertical="center"/>
    </xf>
    <xf numFmtId="0" fontId="29" fillId="10" borderId="3" xfId="15" applyFont="1" applyFill="1" applyBorder="1" applyAlignment="1">
      <alignment horizontal="center" vertical="center"/>
    </xf>
    <xf numFmtId="0" fontId="29" fillId="10" borderId="4" xfId="15" applyFont="1" applyFill="1" applyBorder="1" applyAlignment="1">
      <alignment horizontal="center" vertical="center"/>
    </xf>
    <xf numFmtId="0" fontId="34" fillId="10" borderId="84" xfId="15" applyFont="1" applyFill="1" applyBorder="1" applyAlignment="1">
      <alignment horizontal="center" vertical="center"/>
    </xf>
    <xf numFmtId="0" fontId="33" fillId="10" borderId="8" xfId="15" applyFont="1" applyFill="1" applyBorder="1" applyAlignment="1">
      <alignment vertical="center"/>
    </xf>
    <xf numFmtId="0" fontId="33" fillId="10" borderId="10" xfId="15" applyFont="1" applyFill="1" applyBorder="1" applyAlignment="1">
      <alignment vertical="center"/>
    </xf>
    <xf numFmtId="0" fontId="29" fillId="10" borderId="11" xfId="15" applyFont="1" applyFill="1" applyBorder="1" applyAlignment="1">
      <alignment vertical="center"/>
    </xf>
    <xf numFmtId="0" fontId="29" fillId="10" borderId="3" xfId="15" applyFont="1" applyFill="1" applyBorder="1" applyAlignment="1">
      <alignment vertical="center"/>
    </xf>
    <xf numFmtId="10" fontId="0" fillId="0" borderId="0" xfId="2" applyNumberFormat="1" applyFont="1"/>
    <xf numFmtId="0" fontId="0" fillId="0" borderId="0" xfId="0" applyAlignment="1">
      <alignment horizontal="center"/>
    </xf>
    <xf numFmtId="0" fontId="29" fillId="5" borderId="0" xfId="15" applyFont="1" applyFill="1" applyBorder="1" applyAlignment="1">
      <alignment horizontal="center" vertical="center" wrapText="1"/>
    </xf>
    <xf numFmtId="14" fontId="37" fillId="8" borderId="69" xfId="15" applyNumberFormat="1" applyFont="1" applyFill="1" applyBorder="1" applyAlignment="1">
      <alignment horizontal="center" vertical="center" textRotation="180"/>
    </xf>
    <xf numFmtId="14" fontId="37" fillId="8" borderId="70" xfId="15" applyNumberFormat="1" applyFont="1" applyFill="1" applyBorder="1" applyAlignment="1">
      <alignment horizontal="center" vertical="center" textRotation="180"/>
    </xf>
    <xf numFmtId="14" fontId="37" fillId="8" borderId="71" xfId="15" applyNumberFormat="1" applyFont="1" applyFill="1" applyBorder="1" applyAlignment="1">
      <alignment horizontal="center" vertical="center" textRotation="180"/>
    </xf>
    <xf numFmtId="14" fontId="37" fillId="9" borderId="69" xfId="15" applyNumberFormat="1" applyFont="1" applyFill="1" applyBorder="1" applyAlignment="1">
      <alignment horizontal="center" vertical="center" textRotation="180"/>
    </xf>
    <xf numFmtId="14" fontId="37" fillId="9" borderId="70" xfId="15" applyNumberFormat="1" applyFont="1" applyFill="1" applyBorder="1" applyAlignment="1">
      <alignment horizontal="center" vertical="center" textRotation="180"/>
    </xf>
    <xf numFmtId="14" fontId="37" fillId="9" borderId="71" xfId="15" applyNumberFormat="1" applyFont="1" applyFill="1" applyBorder="1" applyAlignment="1">
      <alignment horizontal="center" vertical="center" textRotation="180"/>
    </xf>
    <xf numFmtId="171" fontId="24" fillId="8" borderId="38" xfId="2" applyNumberFormat="1" applyFont="1" applyFill="1" applyBorder="1" applyAlignment="1">
      <alignment horizontal="center" vertical="center" textRotation="180"/>
    </xf>
    <xf numFmtId="43" fontId="24" fillId="8" borderId="33" xfId="1" applyFont="1" applyFill="1" applyBorder="1" applyAlignment="1">
      <alignment horizontal="center" vertical="center" textRotation="180"/>
    </xf>
    <xf numFmtId="14" fontId="37" fillId="15" borderId="70" xfId="15" applyNumberFormat="1" applyFont="1" applyFill="1" applyBorder="1" applyAlignment="1">
      <alignment horizontal="center" vertical="center" textRotation="180"/>
    </xf>
    <xf numFmtId="14" fontId="37" fillId="15" borderId="71" xfId="15" applyNumberFormat="1" applyFont="1" applyFill="1" applyBorder="1" applyAlignment="1">
      <alignment horizontal="center" vertical="center" textRotation="180"/>
    </xf>
    <xf numFmtId="171" fontId="24" fillId="8" borderId="72" xfId="2" applyNumberFormat="1" applyFont="1" applyFill="1" applyBorder="1" applyAlignment="1">
      <alignment horizontal="center" vertical="center" textRotation="180"/>
    </xf>
    <xf numFmtId="43" fontId="24" fillId="8" borderId="94" xfId="1" applyFont="1" applyFill="1" applyBorder="1" applyAlignment="1">
      <alignment horizontal="center" vertical="center" textRotation="180"/>
    </xf>
    <xf numFmtId="171" fontId="24" fillId="10" borderId="72" xfId="2" applyNumberFormat="1" applyFont="1" applyFill="1" applyBorder="1" applyAlignment="1">
      <alignment horizontal="center" vertical="center" textRotation="180"/>
    </xf>
    <xf numFmtId="10" fontId="24" fillId="8" borderId="68" xfId="2" applyNumberFormat="1" applyFont="1" applyFill="1" applyBorder="1" applyAlignment="1">
      <alignment horizontal="right" vertical="center"/>
    </xf>
    <xf numFmtId="168" fontId="26" fillId="0" borderId="72" xfId="8" applyNumberFormat="1" applyFont="1" applyFill="1" applyBorder="1" applyAlignment="1">
      <alignment horizontal="center" vertical="center"/>
    </xf>
    <xf numFmtId="172" fontId="0" fillId="0" borderId="0" xfId="0" applyNumberFormat="1"/>
    <xf numFmtId="2" fontId="0" fillId="0" borderId="0" xfId="2" applyNumberFormat="1" applyFont="1"/>
    <xf numFmtId="0" fontId="29" fillId="5" borderId="17" xfId="15" applyFont="1" applyFill="1" applyBorder="1" applyAlignment="1">
      <alignment horizontal="center" vertical="center" wrapText="1"/>
    </xf>
    <xf numFmtId="0" fontId="20" fillId="11" borderId="17" xfId="0" applyFont="1" applyFill="1" applyBorder="1" applyAlignment="1">
      <alignment vertical="center"/>
    </xf>
    <xf numFmtId="0" fontId="20" fillId="14" borderId="17" xfId="0" applyFont="1" applyFill="1" applyBorder="1" applyAlignment="1">
      <alignment vertical="center"/>
    </xf>
    <xf numFmtId="0" fontId="29" fillId="5" borderId="2" xfId="15" applyFont="1" applyFill="1" applyBorder="1" applyAlignment="1">
      <alignment horizontal="center" vertical="center" wrapText="1"/>
    </xf>
    <xf numFmtId="0" fontId="29" fillId="5" borderId="9" xfId="15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vertical="center"/>
    </xf>
    <xf numFmtId="0" fontId="20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0" fontId="31" fillId="0" borderId="17" xfId="0" applyFont="1" applyBorder="1" applyAlignment="1">
      <alignment vertical="center"/>
    </xf>
    <xf numFmtId="0" fontId="20" fillId="13" borderId="17" xfId="0" applyFont="1" applyFill="1" applyBorder="1" applyAlignment="1">
      <alignment vertical="center"/>
    </xf>
    <xf numFmtId="0" fontId="32" fillId="0" borderId="13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29" fillId="5" borderId="2" xfId="15" applyFont="1" applyFill="1" applyBorder="1" applyAlignment="1">
      <alignment horizontal="center" vertical="center"/>
    </xf>
    <xf numFmtId="0" fontId="29" fillId="5" borderId="0" xfId="15" applyFont="1" applyFill="1" applyBorder="1" applyAlignment="1">
      <alignment horizontal="center" vertical="center"/>
    </xf>
    <xf numFmtId="0" fontId="29" fillId="5" borderId="9" xfId="15" applyFont="1" applyFill="1" applyBorder="1" applyAlignment="1">
      <alignment horizontal="center" vertical="center"/>
    </xf>
    <xf numFmtId="0" fontId="26" fillId="14" borderId="0" xfId="8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0" fontId="20" fillId="11" borderId="24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left" vertical="center" indent="2"/>
    </xf>
    <xf numFmtId="0" fontId="30" fillId="0" borderId="24" xfId="0" applyFont="1" applyBorder="1" applyAlignment="1">
      <alignment horizontal="left" vertical="center" indent="2"/>
    </xf>
    <xf numFmtId="0" fontId="20" fillId="13" borderId="28" xfId="0" applyFont="1" applyFill="1" applyBorder="1" applyAlignment="1">
      <alignment horizontal="center" vertical="center"/>
    </xf>
    <xf numFmtId="0" fontId="20" fillId="13" borderId="24" xfId="0" applyFont="1" applyFill="1" applyBorder="1" applyAlignment="1">
      <alignment horizontal="center" vertical="center"/>
    </xf>
    <xf numFmtId="0" fontId="26" fillId="2" borderId="28" xfId="15" applyFont="1" applyFill="1" applyBorder="1" applyAlignment="1">
      <alignment horizontal="center" vertical="center"/>
    </xf>
    <xf numFmtId="0" fontId="26" fillId="2" borderId="9" xfId="15" applyFont="1" applyFill="1" applyBorder="1" applyAlignment="1">
      <alignment horizontal="center" vertical="center"/>
    </xf>
    <xf numFmtId="0" fontId="33" fillId="10" borderId="2" xfId="15" applyFont="1" applyFill="1" applyBorder="1" applyAlignment="1">
      <alignment vertical="center"/>
    </xf>
    <xf numFmtId="0" fontId="33" fillId="10" borderId="9" xfId="15" applyFont="1" applyFill="1" applyBorder="1" applyAlignment="1">
      <alignment vertical="center"/>
    </xf>
    <xf numFmtId="43" fontId="0" fillId="0" borderId="0" xfId="0" applyNumberFormat="1"/>
    <xf numFmtId="0" fontId="29" fillId="5" borderId="1" xfId="15" applyFont="1" applyFill="1" applyBorder="1" applyAlignment="1">
      <alignment horizontal="center" vertical="center" wrapText="1"/>
    </xf>
    <xf numFmtId="0" fontId="29" fillId="5" borderId="5" xfId="15" applyFont="1" applyFill="1" applyBorder="1" applyAlignment="1">
      <alignment horizontal="center" vertical="center" wrapText="1"/>
    </xf>
    <xf numFmtId="0" fontId="29" fillId="5" borderId="8" xfId="15" applyFont="1" applyFill="1" applyBorder="1" applyAlignment="1">
      <alignment horizontal="center" vertical="center"/>
    </xf>
    <xf numFmtId="0" fontId="29" fillId="5" borderId="5" xfId="15" applyFont="1" applyFill="1" applyBorder="1" applyAlignment="1">
      <alignment horizontal="center" vertical="center"/>
    </xf>
    <xf numFmtId="2" fontId="0" fillId="0" borderId="0" xfId="0" applyNumberFormat="1"/>
    <xf numFmtId="0" fontId="34" fillId="8" borderId="37" xfId="15" applyFont="1" applyFill="1" applyBorder="1" applyAlignment="1">
      <alignment horizontal="center" vertical="center"/>
    </xf>
    <xf numFmtId="0" fontId="35" fillId="8" borderId="25" xfId="15" applyFont="1" applyFill="1" applyBorder="1" applyAlignment="1">
      <alignment horizontal="center" vertical="center"/>
    </xf>
    <xf numFmtId="0" fontId="34" fillId="8" borderId="34" xfId="15" applyFont="1" applyFill="1" applyBorder="1" applyAlignment="1">
      <alignment horizontal="center" vertical="center"/>
    </xf>
    <xf numFmtId="0" fontId="34" fillId="8" borderId="5" xfId="15" applyFont="1" applyFill="1" applyBorder="1" applyAlignment="1">
      <alignment horizontal="center" vertical="center"/>
    </xf>
    <xf numFmtId="0" fontId="29" fillId="8" borderId="34" xfId="15" applyFont="1" applyFill="1" applyBorder="1" applyAlignment="1">
      <alignment horizontal="center" vertical="center"/>
    </xf>
    <xf numFmtId="0" fontId="36" fillId="8" borderId="34" xfId="15" applyFont="1" applyFill="1" applyBorder="1" applyAlignment="1">
      <alignment horizontal="center" vertical="center"/>
    </xf>
    <xf numFmtId="0" fontId="34" fillId="10" borderId="37" xfId="15" applyFont="1" applyFill="1" applyBorder="1" applyAlignment="1">
      <alignment horizontal="center" vertical="center"/>
    </xf>
    <xf numFmtId="43" fontId="24" fillId="12" borderId="81" xfId="1" applyFont="1" applyFill="1" applyBorder="1" applyAlignment="1">
      <alignment horizontal="center" vertical="center"/>
    </xf>
    <xf numFmtId="43" fontId="24" fillId="0" borderId="82" xfId="1" applyFont="1" applyFill="1" applyBorder="1" applyAlignment="1">
      <alignment horizontal="center" vertical="center"/>
    </xf>
    <xf numFmtId="166" fontId="24" fillId="2" borderId="46" xfId="8" applyNumberFormat="1" applyFont="1" applyFill="1" applyBorder="1" applyAlignment="1">
      <alignment horizontal="center" vertical="center"/>
    </xf>
    <xf numFmtId="43" fontId="24" fillId="2" borderId="81" xfId="1" applyFont="1" applyFill="1" applyBorder="1" applyAlignment="1">
      <alignment horizontal="center" vertical="center"/>
    </xf>
    <xf numFmtId="166" fontId="24" fillId="2" borderId="47" xfId="8" applyNumberFormat="1" applyFont="1" applyFill="1" applyBorder="1" applyAlignment="1">
      <alignment horizontal="center" vertical="center"/>
    </xf>
    <xf numFmtId="43" fontId="24" fillId="2" borderId="82" xfId="1" applyFont="1" applyFill="1" applyBorder="1" applyAlignment="1">
      <alignment horizontal="center" vertical="center"/>
    </xf>
    <xf numFmtId="166" fontId="24" fillId="13" borderId="46" xfId="8" applyNumberFormat="1" applyFont="1" applyFill="1" applyBorder="1" applyAlignment="1">
      <alignment horizontal="center" vertical="center"/>
    </xf>
    <xf numFmtId="43" fontId="24" fillId="13" borderId="81" xfId="1" applyFont="1" applyFill="1" applyBorder="1" applyAlignment="1">
      <alignment horizontal="center" vertical="center"/>
    </xf>
    <xf numFmtId="166" fontId="24" fillId="13" borderId="47" xfId="8" applyNumberFormat="1" applyFont="1" applyFill="1" applyBorder="1" applyAlignment="1">
      <alignment horizontal="center" vertical="center"/>
    </xf>
    <xf numFmtId="43" fontId="24" fillId="13" borderId="82" xfId="1" applyFont="1" applyFill="1" applyBorder="1" applyAlignment="1">
      <alignment horizontal="center" vertical="center"/>
    </xf>
    <xf numFmtId="10" fontId="24" fillId="12" borderId="81" xfId="2" applyNumberFormat="1" applyFont="1" applyFill="1" applyBorder="1" applyAlignment="1">
      <alignment horizontal="right" vertical="center"/>
    </xf>
    <xf numFmtId="10" fontId="24" fillId="0" borderId="82" xfId="2" applyNumberFormat="1" applyFont="1" applyFill="1" applyBorder="1" applyAlignment="1">
      <alignment horizontal="right" vertical="center"/>
    </xf>
    <xf numFmtId="10" fontId="24" fillId="2" borderId="81" xfId="2" applyNumberFormat="1" applyFont="1" applyFill="1" applyBorder="1" applyAlignment="1">
      <alignment horizontal="right" vertical="center"/>
    </xf>
    <xf numFmtId="10" fontId="24" fillId="2" borderId="82" xfId="2" applyNumberFormat="1" applyFont="1" applyFill="1" applyBorder="1" applyAlignment="1">
      <alignment horizontal="right" vertical="center"/>
    </xf>
    <xf numFmtId="10" fontId="24" fillId="13" borderId="81" xfId="2" applyNumberFormat="1" applyFont="1" applyFill="1" applyBorder="1" applyAlignment="1">
      <alignment horizontal="right" vertical="center"/>
    </xf>
    <xf numFmtId="10" fontId="24" fillId="13" borderId="82" xfId="2" applyNumberFormat="1" applyFont="1" applyFill="1" applyBorder="1" applyAlignment="1">
      <alignment horizontal="right" vertical="center"/>
    </xf>
    <xf numFmtId="0" fontId="29" fillId="5" borderId="84" xfId="15" applyFont="1" applyFill="1" applyBorder="1" applyAlignment="1">
      <alignment horizontal="center" vertical="center"/>
    </xf>
    <xf numFmtId="166" fontId="24" fillId="11" borderId="46" xfId="8" applyNumberFormat="1" applyFont="1" applyFill="1" applyBorder="1" applyAlignment="1">
      <alignment horizontal="center" vertical="center"/>
    </xf>
    <xf numFmtId="166" fontId="24" fillId="11" borderId="47" xfId="8" applyNumberFormat="1" applyFont="1" applyFill="1" applyBorder="1" applyAlignment="1">
      <alignment horizontal="center" vertical="center"/>
    </xf>
    <xf numFmtId="166" fontId="24" fillId="14" borderId="44" xfId="8" applyNumberFormat="1" applyFont="1" applyFill="1" applyBorder="1" applyAlignment="1">
      <alignment horizontal="center" vertical="center"/>
    </xf>
    <xf numFmtId="10" fontId="24" fillId="14" borderId="80" xfId="2" applyNumberFormat="1" applyFont="1" applyFill="1" applyBorder="1" applyAlignment="1">
      <alignment horizontal="right" vertical="center"/>
    </xf>
    <xf numFmtId="166" fontId="24" fillId="14" borderId="46" xfId="8" applyNumberFormat="1" applyFont="1" applyFill="1" applyBorder="1" applyAlignment="1">
      <alignment horizontal="center" vertical="center"/>
    </xf>
    <xf numFmtId="10" fontId="24" fillId="14" borderId="81" xfId="2" applyNumberFormat="1" applyFont="1" applyFill="1" applyBorder="1" applyAlignment="1">
      <alignment horizontal="right" vertical="center"/>
    </xf>
    <xf numFmtId="10" fontId="24" fillId="11" borderId="81" xfId="2" applyNumberFormat="1" applyFont="1" applyFill="1" applyBorder="1" applyAlignment="1">
      <alignment horizontal="right" vertical="center"/>
    </xf>
    <xf numFmtId="10" fontId="24" fillId="11" borderId="82" xfId="2" applyNumberFormat="1" applyFont="1" applyFill="1" applyBorder="1" applyAlignment="1">
      <alignment horizontal="right" vertical="center"/>
    </xf>
    <xf numFmtId="173" fontId="24" fillId="12" borderId="86" xfId="8" applyNumberFormat="1" applyFont="1" applyFill="1" applyBorder="1" applyAlignment="1">
      <alignment horizontal="center" vertical="center"/>
    </xf>
    <xf numFmtId="173" fontId="24" fillId="12" borderId="87" xfId="8" applyNumberFormat="1" applyFont="1" applyFill="1" applyBorder="1" applyAlignment="1">
      <alignment horizontal="center" vertical="center"/>
    </xf>
    <xf numFmtId="173" fontId="24" fillId="12" borderId="88" xfId="8" applyNumberFormat="1" applyFont="1" applyFill="1" applyBorder="1" applyAlignment="1">
      <alignment horizontal="center" vertical="center"/>
    </xf>
    <xf numFmtId="173" fontId="24" fillId="12" borderId="89" xfId="8" applyNumberFormat="1" applyFont="1" applyFill="1" applyBorder="1" applyAlignment="1">
      <alignment horizontal="center" vertical="center"/>
    </xf>
    <xf numFmtId="173" fontId="24" fillId="12" borderId="90" xfId="8" applyNumberFormat="1" applyFont="1" applyFill="1" applyBorder="1" applyAlignment="1">
      <alignment horizontal="center" vertical="center"/>
    </xf>
    <xf numFmtId="173" fontId="24" fillId="12" borderId="91" xfId="8" applyNumberFormat="1" applyFont="1" applyFill="1" applyBorder="1" applyAlignment="1">
      <alignment horizontal="center" vertical="center"/>
    </xf>
    <xf numFmtId="173" fontId="24" fillId="12" borderId="60" xfId="8" applyNumberFormat="1" applyFont="1" applyFill="1" applyBorder="1" applyAlignment="1">
      <alignment horizontal="center" vertical="center"/>
    </xf>
    <xf numFmtId="173" fontId="24" fillId="12" borderId="59" xfId="8" applyNumberFormat="1" applyFont="1" applyFill="1" applyBorder="1" applyAlignment="1">
      <alignment horizontal="center" vertical="center"/>
    </xf>
    <xf numFmtId="173" fontId="24" fillId="12" borderId="43" xfId="8" applyNumberFormat="1" applyFont="1" applyFill="1" applyBorder="1" applyAlignment="1">
      <alignment horizontal="center" vertical="center"/>
    </xf>
    <xf numFmtId="173" fontId="24" fillId="12" borderId="49" xfId="8" applyNumberFormat="1" applyFont="1" applyFill="1" applyBorder="1" applyAlignment="1">
      <alignment horizontal="center" vertical="center"/>
    </xf>
    <xf numFmtId="173" fontId="24" fillId="12" borderId="74" xfId="8" applyNumberFormat="1" applyFont="1" applyFill="1" applyBorder="1" applyAlignment="1">
      <alignment horizontal="center" vertical="center"/>
    </xf>
    <xf numFmtId="173" fontId="24" fillId="12" borderId="85" xfId="8" applyNumberFormat="1" applyFont="1" applyFill="1" applyBorder="1" applyAlignment="1">
      <alignment horizontal="center" vertical="center"/>
    </xf>
    <xf numFmtId="173" fontId="24" fillId="12" borderId="92" xfId="8" applyNumberFormat="1" applyFont="1" applyFill="1" applyBorder="1" applyAlignment="1">
      <alignment horizontal="center" vertical="center"/>
    </xf>
    <xf numFmtId="173" fontId="24" fillId="12" borderId="0" xfId="8" applyNumberFormat="1" applyFont="1" applyFill="1" applyBorder="1" applyAlignment="1">
      <alignment horizontal="center" vertical="center"/>
    </xf>
    <xf numFmtId="173" fontId="24" fillId="12" borderId="76" xfId="8" applyNumberFormat="1" applyFont="1" applyFill="1" applyBorder="1" applyAlignment="1">
      <alignment horizontal="center" vertical="center"/>
    </xf>
    <xf numFmtId="173" fontId="24" fillId="12" borderId="75" xfId="8" applyNumberFormat="1" applyFont="1" applyFill="1" applyBorder="1" applyAlignment="1">
      <alignment horizontal="center" vertical="center"/>
    </xf>
    <xf numFmtId="173" fontId="24" fillId="12" borderId="77" xfId="8" applyNumberFormat="1" applyFont="1" applyFill="1" applyBorder="1" applyAlignment="1">
      <alignment horizontal="center" vertical="center"/>
    </xf>
    <xf numFmtId="173" fontId="24" fillId="0" borderId="78" xfId="8" applyNumberFormat="1" applyFont="1" applyFill="1" applyBorder="1" applyAlignment="1">
      <alignment horizontal="center" vertical="center"/>
    </xf>
    <xf numFmtId="173" fontId="24" fillId="0" borderId="50" xfId="8" applyNumberFormat="1" applyFont="1" applyFill="1" applyBorder="1" applyAlignment="1">
      <alignment horizontal="center" vertical="center"/>
    </xf>
    <xf numFmtId="173" fontId="24" fillId="0" borderId="62" xfId="8" applyNumberFormat="1" applyFont="1" applyFill="1" applyBorder="1" applyAlignment="1">
      <alignment horizontal="center" vertical="center"/>
    </xf>
    <xf numFmtId="173" fontId="24" fillId="0" borderId="61" xfId="8" applyNumberFormat="1" applyFont="1" applyFill="1" applyBorder="1" applyAlignment="1">
      <alignment horizontal="center" vertical="center"/>
    </xf>
    <xf numFmtId="173" fontId="24" fillId="0" borderId="51" xfId="8" applyNumberFormat="1" applyFont="1" applyFill="1" applyBorder="1" applyAlignment="1">
      <alignment horizontal="center" vertical="center"/>
    </xf>
    <xf numFmtId="173" fontId="24" fillId="0" borderId="52" xfId="8" applyNumberFormat="1" applyFont="1" applyFill="1" applyBorder="1" applyAlignment="1">
      <alignment horizontal="center" vertical="center"/>
    </xf>
    <xf numFmtId="173" fontId="24" fillId="0" borderId="93" xfId="8" applyNumberFormat="1" applyFont="1" applyFill="1" applyBorder="1" applyAlignment="1">
      <alignment horizontal="center" vertical="center"/>
    </xf>
    <xf numFmtId="173" fontId="24" fillId="12" borderId="50" xfId="8" applyNumberFormat="1" applyFont="1" applyFill="1" applyBorder="1" applyAlignment="1">
      <alignment horizontal="center" vertical="center"/>
    </xf>
    <xf numFmtId="173" fontId="24" fillId="12" borderId="62" xfId="8" applyNumberFormat="1" applyFont="1" applyFill="1" applyBorder="1" applyAlignment="1">
      <alignment horizontal="center" vertical="center"/>
    </xf>
    <xf numFmtId="173" fontId="24" fillId="12" borderId="61" xfId="8" applyNumberFormat="1" applyFont="1" applyFill="1" applyBorder="1" applyAlignment="1">
      <alignment horizontal="center" vertical="center"/>
    </xf>
    <xf numFmtId="173" fontId="19" fillId="12" borderId="78" xfId="8" applyNumberFormat="1" applyFont="1" applyFill="1" applyBorder="1" applyAlignment="1">
      <alignment horizontal="center" vertical="center"/>
    </xf>
    <xf numFmtId="173" fontId="19" fillId="12" borderId="50" xfId="8" applyNumberFormat="1" applyFont="1" applyFill="1" applyBorder="1" applyAlignment="1">
      <alignment horizontal="center" vertical="center"/>
    </xf>
    <xf numFmtId="173" fontId="19" fillId="12" borderId="62" xfId="8" applyNumberFormat="1" applyFont="1" applyFill="1" applyBorder="1" applyAlignment="1">
      <alignment horizontal="center" vertical="center"/>
    </xf>
    <xf numFmtId="173" fontId="19" fillId="12" borderId="61" xfId="8" applyNumberFormat="1" applyFont="1" applyFill="1" applyBorder="1" applyAlignment="1">
      <alignment horizontal="center" vertical="center"/>
    </xf>
    <xf numFmtId="173" fontId="19" fillId="12" borderId="51" xfId="8" applyNumberFormat="1" applyFont="1" applyFill="1" applyBorder="1" applyAlignment="1">
      <alignment horizontal="center" vertical="center"/>
    </xf>
    <xf numFmtId="173" fontId="19" fillId="12" borderId="52" xfId="8" applyNumberFormat="1" applyFont="1" applyFill="1" applyBorder="1" applyAlignment="1">
      <alignment horizontal="center" vertical="center"/>
    </xf>
    <xf numFmtId="173" fontId="19" fillId="12" borderId="93" xfId="8" applyNumberFormat="1" applyFont="1" applyFill="1" applyBorder="1" applyAlignment="1">
      <alignment horizontal="center" vertical="center"/>
    </xf>
    <xf numFmtId="173" fontId="19" fillId="0" borderId="78" xfId="8" applyNumberFormat="1" applyFont="1" applyFill="1" applyBorder="1" applyAlignment="1">
      <alignment horizontal="center" vertical="center"/>
    </xf>
    <xf numFmtId="173" fontId="19" fillId="0" borderId="50" xfId="8" applyNumberFormat="1" applyFont="1" applyFill="1" applyBorder="1" applyAlignment="1">
      <alignment horizontal="center" vertical="center"/>
    </xf>
    <xf numFmtId="173" fontId="19" fillId="0" borderId="62" xfId="8" applyNumberFormat="1" applyFont="1" applyFill="1" applyBorder="1" applyAlignment="1">
      <alignment horizontal="center" vertical="center"/>
    </xf>
    <xf numFmtId="173" fontId="19" fillId="0" borderId="61" xfId="8" applyNumberFormat="1" applyFont="1" applyFill="1" applyBorder="1" applyAlignment="1">
      <alignment horizontal="center" vertical="center"/>
    </xf>
    <xf numFmtId="173" fontId="19" fillId="0" borderId="51" xfId="8" applyNumberFormat="1" applyFont="1" applyFill="1" applyBorder="1" applyAlignment="1">
      <alignment horizontal="center" vertical="center"/>
    </xf>
    <xf numFmtId="173" fontId="19" fillId="0" borderId="52" xfId="8" applyNumberFormat="1" applyFont="1" applyFill="1" applyBorder="1" applyAlignment="1">
      <alignment horizontal="center" vertical="center"/>
    </xf>
    <xf numFmtId="173" fontId="19" fillId="0" borderId="93" xfId="8" applyNumberFormat="1" applyFont="1" applyFill="1" applyBorder="1" applyAlignment="1">
      <alignment horizontal="center" vertical="center"/>
    </xf>
    <xf numFmtId="173" fontId="19" fillId="3" borderId="51" xfId="2" applyNumberFormat="1" applyFont="1" applyFill="1" applyBorder="1" applyAlignment="1">
      <alignment horizontal="center" vertical="center"/>
    </xf>
    <xf numFmtId="173" fontId="19" fillId="3" borderId="50" xfId="2" applyNumberFormat="1" applyFont="1" applyFill="1" applyBorder="1" applyAlignment="1">
      <alignment horizontal="center" vertical="center"/>
    </xf>
    <xf numFmtId="173" fontId="19" fillId="3" borderId="62" xfId="2" applyNumberFormat="1" applyFont="1" applyFill="1" applyBorder="1" applyAlignment="1">
      <alignment horizontal="center" vertical="center"/>
    </xf>
    <xf numFmtId="173" fontId="19" fillId="3" borderId="61" xfId="2" applyNumberFormat="1" applyFont="1" applyFill="1" applyBorder="1" applyAlignment="1">
      <alignment horizontal="center" vertical="center"/>
    </xf>
    <xf numFmtId="173" fontId="19" fillId="3" borderId="52" xfId="2" applyNumberFormat="1" applyFont="1" applyFill="1" applyBorder="1" applyAlignment="1">
      <alignment horizontal="center" vertical="center"/>
    </xf>
    <xf numFmtId="173" fontId="19" fillId="12" borderId="50" xfId="2" applyNumberFormat="1" applyFont="1" applyFill="1" applyBorder="1" applyAlignment="1">
      <alignment horizontal="center" vertical="center"/>
    </xf>
    <xf numFmtId="173" fontId="19" fillId="12" borderId="93" xfId="2" applyNumberFormat="1" applyFont="1" applyFill="1" applyBorder="1" applyAlignment="1">
      <alignment horizontal="center" vertical="center"/>
    </xf>
    <xf numFmtId="173" fontId="19" fillId="11" borderId="61" xfId="8" applyNumberFormat="1" applyFont="1" applyFill="1" applyBorder="1" applyAlignment="1">
      <alignment horizontal="center" vertical="center"/>
    </xf>
    <xf numFmtId="173" fontId="19" fillId="11" borderId="50" xfId="8" applyNumberFormat="1" applyFont="1" applyFill="1" applyBorder="1" applyAlignment="1">
      <alignment horizontal="center" vertical="center"/>
    </xf>
    <xf numFmtId="173" fontId="19" fillId="11" borderId="62" xfId="8" applyNumberFormat="1" applyFont="1" applyFill="1" applyBorder="1" applyAlignment="1">
      <alignment horizontal="center" vertical="center"/>
    </xf>
    <xf numFmtId="173" fontId="27" fillId="0" borderId="0" xfId="0" applyNumberFormat="1" applyFont="1"/>
    <xf numFmtId="173" fontId="19" fillId="12" borderId="51" xfId="2" applyNumberFormat="1" applyFont="1" applyFill="1" applyBorder="1" applyAlignment="1">
      <alignment horizontal="center" vertical="center"/>
    </xf>
    <xf numFmtId="173" fontId="19" fillId="12" borderId="62" xfId="2" applyNumberFormat="1" applyFont="1" applyFill="1" applyBorder="1" applyAlignment="1">
      <alignment horizontal="center" vertical="center"/>
    </xf>
    <xf numFmtId="173" fontId="19" fillId="12" borderId="61" xfId="2" applyNumberFormat="1" applyFont="1" applyFill="1" applyBorder="1" applyAlignment="1">
      <alignment horizontal="center" vertical="center"/>
    </xf>
    <xf numFmtId="173" fontId="19" fillId="12" borderId="52" xfId="2" applyNumberFormat="1" applyFont="1" applyFill="1" applyBorder="1" applyAlignment="1">
      <alignment horizontal="center" vertical="center"/>
    </xf>
    <xf numFmtId="173" fontId="19" fillId="11" borderId="93" xfId="8" applyNumberFormat="1" applyFont="1" applyFill="1" applyBorder="1" applyAlignment="1">
      <alignment horizontal="center" vertical="center"/>
    </xf>
    <xf numFmtId="173" fontId="19" fillId="11" borderId="93" xfId="2" applyNumberFormat="1" applyFont="1" applyFill="1" applyBorder="1" applyAlignment="1">
      <alignment horizontal="center" vertical="center"/>
    </xf>
    <xf numFmtId="173" fontId="19" fillId="11" borderId="61" xfId="2" applyNumberFormat="1" applyFont="1" applyFill="1" applyBorder="1" applyAlignment="1">
      <alignment horizontal="center" vertical="center"/>
    </xf>
    <xf numFmtId="173" fontId="19" fillId="11" borderId="50" xfId="2" applyNumberFormat="1" applyFont="1" applyFill="1" applyBorder="1" applyAlignment="1">
      <alignment horizontal="center" vertical="center"/>
    </xf>
    <xf numFmtId="173" fontId="19" fillId="0" borderId="50" xfId="2" applyNumberFormat="1" applyFont="1" applyFill="1" applyBorder="1" applyAlignment="1">
      <alignment horizontal="center" vertical="center"/>
    </xf>
    <xf numFmtId="173" fontId="19" fillId="0" borderId="62" xfId="2" applyNumberFormat="1" applyFont="1" applyFill="1" applyBorder="1" applyAlignment="1">
      <alignment horizontal="center" vertical="center"/>
    </xf>
    <xf numFmtId="173" fontId="19" fillId="0" borderId="61" xfId="2" applyNumberFormat="1" applyFont="1" applyFill="1" applyBorder="1" applyAlignment="1">
      <alignment horizontal="center" vertical="center"/>
    </xf>
    <xf numFmtId="173" fontId="19" fillId="0" borderId="51" xfId="2" applyNumberFormat="1" applyFont="1" applyFill="1" applyBorder="1" applyAlignment="1">
      <alignment horizontal="center" vertical="center"/>
    </xf>
    <xf numFmtId="173" fontId="19" fillId="0" borderId="52" xfId="2" applyNumberFormat="1" applyFont="1" applyFill="1" applyBorder="1" applyAlignment="1">
      <alignment horizontal="center" vertical="center"/>
    </xf>
    <xf numFmtId="173" fontId="19" fillId="0" borderId="93" xfId="2" applyNumberFormat="1" applyFont="1" applyFill="1" applyBorder="1" applyAlignment="1">
      <alignment horizontal="center" vertical="center"/>
    </xf>
    <xf numFmtId="173" fontId="19" fillId="11" borderId="52" xfId="8" applyNumberFormat="1" applyFont="1" applyFill="1" applyBorder="1" applyAlignment="1">
      <alignment horizontal="center" vertical="center"/>
    </xf>
    <xf numFmtId="173" fontId="19" fillId="3" borderId="93" xfId="2" applyNumberFormat="1" applyFont="1" applyFill="1" applyBorder="1" applyAlignment="1">
      <alignment horizontal="center" vertical="center"/>
    </xf>
    <xf numFmtId="173" fontId="19" fillId="11" borderId="52" xfId="2" applyNumberFormat="1" applyFont="1" applyFill="1" applyBorder="1" applyAlignment="1">
      <alignment horizontal="center" vertical="center"/>
    </xf>
    <xf numFmtId="173" fontId="19" fillId="11" borderId="62" xfId="2" applyNumberFormat="1" applyFont="1" applyFill="1" applyBorder="1" applyAlignment="1">
      <alignment horizontal="center" vertical="center"/>
    </xf>
    <xf numFmtId="10" fontId="24" fillId="8" borderId="25" xfId="2" applyNumberFormat="1" applyFont="1" applyFill="1" applyBorder="1" applyAlignment="1">
      <alignment horizontal="center" vertical="center"/>
    </xf>
    <xf numFmtId="10" fontId="24" fillId="8" borderId="33" xfId="2" applyNumberFormat="1" applyFont="1" applyFill="1" applyBorder="1" applyAlignment="1">
      <alignment horizontal="center" vertical="center"/>
    </xf>
    <xf numFmtId="10" fontId="24" fillId="8" borderId="40" xfId="2" applyNumberFormat="1" applyFont="1" applyFill="1" applyBorder="1" applyAlignment="1">
      <alignment horizontal="center" vertical="center"/>
    </xf>
    <xf numFmtId="43" fontId="24" fillId="8" borderId="25" xfId="2" applyNumberFormat="1" applyFont="1" applyFill="1" applyBorder="1" applyAlignment="1">
      <alignment horizontal="center" vertical="center"/>
    </xf>
    <xf numFmtId="43" fontId="24" fillId="8" borderId="33" xfId="2" applyNumberFormat="1" applyFont="1" applyFill="1" applyBorder="1" applyAlignment="1">
      <alignment horizontal="center" vertical="center"/>
    </xf>
    <xf numFmtId="43" fontId="24" fillId="8" borderId="40" xfId="2" applyNumberFormat="1" applyFont="1" applyFill="1" applyBorder="1" applyAlignment="1">
      <alignment horizontal="center" vertical="center"/>
    </xf>
    <xf numFmtId="43" fontId="24" fillId="8" borderId="36" xfId="2" applyNumberFormat="1" applyFont="1" applyFill="1" applyBorder="1" applyAlignment="1">
      <alignment horizontal="center" vertical="center"/>
    </xf>
    <xf numFmtId="43" fontId="24" fillId="8" borderId="41" xfId="2" applyNumberFormat="1" applyFont="1" applyFill="1" applyBorder="1" applyAlignment="1">
      <alignment horizontal="center" vertical="center"/>
    </xf>
    <xf numFmtId="43" fontId="24" fillId="8" borderId="42" xfId="2" applyNumberFormat="1" applyFont="1" applyFill="1" applyBorder="1" applyAlignment="1">
      <alignment horizontal="center" vertical="center"/>
    </xf>
    <xf numFmtId="43" fontId="24" fillId="8" borderId="25" xfId="2" applyNumberFormat="1" applyFont="1" applyFill="1" applyBorder="1" applyAlignment="1">
      <alignment horizontal="right" vertical="center"/>
    </xf>
    <xf numFmtId="10" fontId="24" fillId="8" borderId="33" xfId="2" applyNumberFormat="1" applyFont="1" applyFill="1" applyBorder="1" applyAlignment="1">
      <alignment horizontal="right" vertical="center"/>
    </xf>
    <xf numFmtId="10" fontId="24" fillId="8" borderId="40" xfId="2" applyNumberFormat="1" applyFont="1" applyFill="1" applyBorder="1" applyAlignment="1">
      <alignment horizontal="right" vertical="center"/>
    </xf>
    <xf numFmtId="10" fontId="24" fillId="8" borderId="25" xfId="2" applyNumberFormat="1" applyFont="1" applyFill="1" applyBorder="1" applyAlignment="1">
      <alignment horizontal="right" vertical="center"/>
    </xf>
    <xf numFmtId="0" fontId="29" fillId="10" borderId="4" xfId="15" applyFont="1" applyFill="1" applyBorder="1" applyAlignment="1">
      <alignment horizontal="center" vertical="center"/>
    </xf>
    <xf numFmtId="0" fontId="29" fillId="10" borderId="11" xfId="15" applyFont="1" applyFill="1" applyBorder="1" applyAlignment="1">
      <alignment horizontal="center" vertical="center"/>
    </xf>
    <xf numFmtId="1" fontId="29" fillId="6" borderId="21" xfId="15" applyNumberFormat="1" applyFont="1" applyFill="1" applyBorder="1" applyAlignment="1">
      <alignment horizontal="center" vertical="center"/>
    </xf>
    <xf numFmtId="1" fontId="29" fillId="6" borderId="16" xfId="15" applyNumberFormat="1" applyFont="1" applyFill="1" applyBorder="1" applyAlignment="1">
      <alignment horizontal="center" vertical="center"/>
    </xf>
    <xf numFmtId="1" fontId="29" fillId="6" borderId="19" xfId="15" applyNumberFormat="1" applyFont="1" applyFill="1" applyBorder="1" applyAlignment="1">
      <alignment horizontal="center" vertical="center"/>
    </xf>
    <xf numFmtId="165" fontId="26" fillId="8" borderId="21" xfId="15" applyNumberFormat="1" applyFont="1" applyFill="1" applyBorder="1" applyAlignment="1">
      <alignment horizontal="center" vertical="center"/>
    </xf>
    <xf numFmtId="165" fontId="26" fillId="8" borderId="16" xfId="15" applyNumberFormat="1" applyFont="1" applyFill="1" applyBorder="1" applyAlignment="1">
      <alignment horizontal="center" vertical="center"/>
    </xf>
    <xf numFmtId="165" fontId="26" fillId="8" borderId="19" xfId="15" applyNumberFormat="1" applyFont="1" applyFill="1" applyBorder="1" applyAlignment="1">
      <alignment horizontal="center" vertical="center"/>
    </xf>
    <xf numFmtId="1" fontId="29" fillId="6" borderId="15" xfId="15" applyNumberFormat="1" applyFont="1" applyFill="1" applyBorder="1" applyAlignment="1">
      <alignment horizontal="center" vertical="center"/>
    </xf>
    <xf numFmtId="1" fontId="29" fillId="6" borderId="12" xfId="15" applyNumberFormat="1" applyFont="1" applyFill="1" applyBorder="1" applyAlignment="1">
      <alignment horizontal="center" vertical="center"/>
    </xf>
    <xf numFmtId="165" fontId="26" fillId="8" borderId="15" xfId="15" applyNumberFormat="1" applyFont="1" applyFill="1" applyBorder="1" applyAlignment="1">
      <alignment horizontal="center" vertical="center"/>
    </xf>
    <xf numFmtId="165" fontId="26" fillId="8" borderId="12" xfId="15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26" fillId="2" borderId="34" xfId="15" applyFont="1" applyFill="1" applyBorder="1" applyAlignment="1">
      <alignment horizontal="center" vertical="center"/>
    </xf>
    <xf numFmtId="0" fontId="26" fillId="2" borderId="8" xfId="15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vertical="center"/>
    </xf>
    <xf numFmtId="0" fontId="20" fillId="2" borderId="20" xfId="0" applyFont="1" applyFill="1" applyBorder="1" applyAlignment="1">
      <alignment vertical="center"/>
    </xf>
    <xf numFmtId="0" fontId="29" fillId="8" borderId="4" xfId="15" applyFont="1" applyFill="1" applyBorder="1" applyAlignment="1">
      <alignment horizontal="center" vertical="center" wrapText="1"/>
    </xf>
    <xf numFmtId="0" fontId="29" fillId="8" borderId="7" xfId="15" applyFont="1" applyFill="1" applyBorder="1" applyAlignment="1">
      <alignment horizontal="center" vertical="center" wrapText="1"/>
    </xf>
    <xf numFmtId="0" fontId="29" fillId="8" borderId="11" xfId="15" applyFont="1" applyFill="1" applyBorder="1" applyAlignment="1">
      <alignment horizontal="center" vertical="center" wrapText="1"/>
    </xf>
    <xf numFmtId="0" fontId="29" fillId="8" borderId="4" xfId="15" applyFont="1" applyFill="1" applyBorder="1" applyAlignment="1">
      <alignment horizontal="center" vertical="center"/>
    </xf>
    <xf numFmtId="0" fontId="29" fillId="8" borderId="7" xfId="15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2" fillId="0" borderId="35" xfId="0" applyFont="1" applyBorder="1" applyAlignment="1">
      <alignment vertical="center"/>
    </xf>
    <xf numFmtId="0" fontId="20" fillId="13" borderId="34" xfId="0" applyFont="1" applyFill="1" applyBorder="1" applyAlignment="1">
      <alignment horizontal="center" vertical="center"/>
    </xf>
    <xf numFmtId="0" fontId="20" fillId="13" borderId="22" xfId="0" applyFont="1" applyFill="1" applyBorder="1" applyAlignment="1">
      <alignment horizontal="center" vertical="center"/>
    </xf>
    <xf numFmtId="0" fontId="20" fillId="13" borderId="57" xfId="0" applyFont="1" applyFill="1" applyBorder="1" applyAlignment="1">
      <alignment vertical="center"/>
    </xf>
    <xf numFmtId="0" fontId="20" fillId="13" borderId="26" xfId="0" applyFont="1" applyFill="1" applyBorder="1" applyAlignment="1">
      <alignment vertical="center"/>
    </xf>
    <xf numFmtId="0" fontId="20" fillId="13" borderId="27" xfId="0" applyFont="1" applyFill="1" applyBorder="1" applyAlignment="1">
      <alignment vertical="center"/>
    </xf>
    <xf numFmtId="0" fontId="30" fillId="0" borderId="34" xfId="0" applyFont="1" applyBorder="1" applyAlignment="1">
      <alignment horizontal="left" vertical="center" indent="2"/>
    </xf>
    <xf numFmtId="0" fontId="30" fillId="0" borderId="22" xfId="0" applyFont="1" applyBorder="1" applyAlignment="1">
      <alignment horizontal="left" vertical="center" indent="2"/>
    </xf>
    <xf numFmtId="0" fontId="31" fillId="0" borderId="29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165" fontId="26" fillId="9" borderId="69" xfId="15" applyNumberFormat="1" applyFont="1" applyFill="1" applyBorder="1" applyAlignment="1">
      <alignment horizontal="center" vertical="center"/>
    </xf>
    <xf numFmtId="165" fontId="26" fillId="9" borderId="70" xfId="15" applyNumberFormat="1" applyFont="1" applyFill="1" applyBorder="1" applyAlignment="1">
      <alignment horizontal="center" vertical="center"/>
    </xf>
    <xf numFmtId="165" fontId="26" fillId="9" borderId="71" xfId="15" applyNumberFormat="1" applyFont="1" applyFill="1" applyBorder="1" applyAlignment="1">
      <alignment horizontal="center" vertical="center"/>
    </xf>
    <xf numFmtId="0" fontId="26" fillId="14" borderId="22" xfId="8" applyNumberFormat="1" applyFont="1" applyFill="1" applyBorder="1" applyAlignment="1">
      <alignment horizontal="center" vertical="center"/>
    </xf>
    <xf numFmtId="0" fontId="26" fillId="14" borderId="25" xfId="8" applyNumberFormat="1" applyFont="1" applyFill="1" applyBorder="1" applyAlignment="1">
      <alignment horizontal="center" vertical="center"/>
    </xf>
    <xf numFmtId="0" fontId="20" fillId="14" borderId="17" xfId="0" applyFont="1" applyFill="1" applyBorder="1" applyAlignment="1">
      <alignment vertical="center"/>
    </xf>
    <xf numFmtId="0" fontId="20" fillId="14" borderId="26" xfId="0" applyFont="1" applyFill="1" applyBorder="1" applyAlignment="1">
      <alignment vertical="center"/>
    </xf>
    <xf numFmtId="0" fontId="20" fillId="11" borderId="22" xfId="0" applyFont="1" applyFill="1" applyBorder="1" applyAlignment="1">
      <alignment horizontal="center" vertical="center"/>
    </xf>
    <xf numFmtId="0" fontId="20" fillId="11" borderId="25" xfId="0" applyFont="1" applyFill="1" applyBorder="1" applyAlignment="1">
      <alignment horizontal="center" vertical="center"/>
    </xf>
    <xf numFmtId="0" fontId="20" fillId="11" borderId="17" xfId="0" applyFont="1" applyFill="1" applyBorder="1" applyAlignment="1">
      <alignment vertical="center"/>
    </xf>
    <xf numFmtId="0" fontId="20" fillId="11" borderId="23" xfId="0" applyFont="1" applyFill="1" applyBorder="1" applyAlignment="1">
      <alignment vertical="center"/>
    </xf>
    <xf numFmtId="165" fontId="26" fillId="9" borderId="15" xfId="15" applyNumberFormat="1" applyFont="1" applyFill="1" applyBorder="1" applyAlignment="1">
      <alignment horizontal="center" vertical="center"/>
    </xf>
    <xf numFmtId="165" fontId="26" fillId="9" borderId="16" xfId="15" applyNumberFormat="1" applyFont="1" applyFill="1" applyBorder="1" applyAlignment="1">
      <alignment horizontal="center" vertical="center"/>
    </xf>
    <xf numFmtId="165" fontId="26" fillId="9" borderId="12" xfId="15" applyNumberFormat="1" applyFont="1" applyFill="1" applyBorder="1" applyAlignment="1">
      <alignment horizontal="center" vertical="center"/>
    </xf>
    <xf numFmtId="165" fontId="26" fillId="8" borderId="69" xfId="15" applyNumberFormat="1" applyFont="1" applyFill="1" applyBorder="1" applyAlignment="1">
      <alignment horizontal="center" vertical="center"/>
    </xf>
    <xf numFmtId="165" fontId="26" fillId="8" borderId="70" xfId="15" applyNumberFormat="1" applyFont="1" applyFill="1" applyBorder="1" applyAlignment="1">
      <alignment horizontal="center" vertical="center"/>
    </xf>
    <xf numFmtId="165" fontId="26" fillId="8" borderId="71" xfId="15" applyNumberFormat="1" applyFont="1" applyFill="1" applyBorder="1" applyAlignment="1">
      <alignment horizontal="center" vertical="center"/>
    </xf>
    <xf numFmtId="0" fontId="5" fillId="0" borderId="0" xfId="15" applyFont="1" applyAlignment="1">
      <alignment horizontal="center" vertical="center"/>
    </xf>
    <xf numFmtId="14" fontId="8" fillId="0" borderId="0" xfId="17" applyNumberFormat="1" applyFont="1" applyAlignment="1">
      <alignment horizontal="left" vertical="center"/>
    </xf>
    <xf numFmtId="14" fontId="13" fillId="0" borderId="0" xfId="17" applyNumberFormat="1" applyFont="1" applyAlignment="1">
      <alignment horizontal="left" vertical="center"/>
    </xf>
    <xf numFmtId="0" fontId="29" fillId="5" borderId="1" xfId="15" applyFont="1" applyFill="1" applyBorder="1" applyAlignment="1">
      <alignment horizontal="center" vertical="center"/>
    </xf>
    <xf numFmtId="0" fontId="29" fillId="5" borderId="5" xfId="15" applyFont="1" applyFill="1" applyBorder="1" applyAlignment="1">
      <alignment horizontal="center" vertical="center"/>
    </xf>
    <xf numFmtId="0" fontId="29" fillId="5" borderId="8" xfId="15" applyFont="1" applyFill="1" applyBorder="1" applyAlignment="1">
      <alignment horizontal="center" vertical="center"/>
    </xf>
    <xf numFmtId="0" fontId="29" fillId="5" borderId="14" xfId="15" applyFont="1" applyFill="1" applyBorder="1" applyAlignment="1">
      <alignment horizontal="center" vertical="center" wrapText="1"/>
    </xf>
    <xf numFmtId="0" fontId="29" fillId="5" borderId="17" xfId="15" applyFont="1" applyFill="1" applyBorder="1" applyAlignment="1">
      <alignment horizontal="center" vertical="center" wrapText="1"/>
    </xf>
    <xf numFmtId="0" fontId="29" fillId="5" borderId="20" xfId="15" applyFont="1" applyFill="1" applyBorder="1" applyAlignment="1">
      <alignment horizontal="center" vertical="center" wrapText="1"/>
    </xf>
    <xf numFmtId="0" fontId="29" fillId="5" borderId="2" xfId="15" applyFont="1" applyFill="1" applyBorder="1" applyAlignment="1">
      <alignment horizontal="center" vertical="center" wrapText="1"/>
    </xf>
    <xf numFmtId="0" fontId="29" fillId="5" borderId="0" xfId="15" applyFont="1" applyFill="1" applyAlignment="1">
      <alignment horizontal="center" vertical="center" wrapText="1"/>
    </xf>
    <xf numFmtId="0" fontId="29" fillId="5" borderId="9" xfId="15" applyFont="1" applyFill="1" applyBorder="1" applyAlignment="1">
      <alignment horizontal="center" vertical="center" wrapText="1"/>
    </xf>
    <xf numFmtId="0" fontId="29" fillId="5" borderId="1" xfId="15" applyFont="1" applyFill="1" applyBorder="1" applyAlignment="1">
      <alignment horizontal="center" vertical="center" wrapText="1"/>
    </xf>
    <xf numFmtId="0" fontId="29" fillId="5" borderId="5" xfId="15" applyFont="1" applyFill="1" applyBorder="1" applyAlignment="1">
      <alignment horizontal="center" vertical="center" wrapText="1"/>
    </xf>
    <xf numFmtId="1" fontId="29" fillId="7" borderId="69" xfId="15" applyNumberFormat="1" applyFont="1" applyFill="1" applyBorder="1" applyAlignment="1">
      <alignment horizontal="center" vertical="center"/>
    </xf>
    <xf numFmtId="1" fontId="29" fillId="7" borderId="70" xfId="15" applyNumberFormat="1" applyFont="1" applyFill="1" applyBorder="1" applyAlignment="1">
      <alignment horizontal="center" vertical="center"/>
    </xf>
    <xf numFmtId="1" fontId="29" fillId="7" borderId="71" xfId="15" applyNumberFormat="1" applyFont="1" applyFill="1" applyBorder="1" applyAlignment="1">
      <alignment horizontal="center" vertical="center"/>
    </xf>
    <xf numFmtId="1" fontId="29" fillId="7" borderId="15" xfId="15" applyNumberFormat="1" applyFont="1" applyFill="1" applyBorder="1" applyAlignment="1">
      <alignment horizontal="center" vertical="center"/>
    </xf>
    <xf numFmtId="1" fontId="29" fillId="7" borderId="16" xfId="15" applyNumberFormat="1" applyFont="1" applyFill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9" fillId="3" borderId="16" xfId="15" applyFont="1" applyFill="1" applyBorder="1" applyAlignment="1">
      <alignment horizontal="center" vertical="center"/>
    </xf>
    <xf numFmtId="0" fontId="29" fillId="3" borderId="12" xfId="15" applyFont="1" applyFill="1" applyBorder="1" applyAlignment="1">
      <alignment horizontal="center" vertical="center"/>
    </xf>
    <xf numFmtId="0" fontId="29" fillId="4" borderId="15" xfId="15" applyFont="1" applyFill="1" applyBorder="1" applyAlignment="1">
      <alignment horizontal="center" vertical="center"/>
    </xf>
    <xf numFmtId="0" fontId="29" fillId="4" borderId="16" xfId="15" applyFont="1" applyFill="1" applyBorder="1" applyAlignment="1">
      <alignment horizontal="center" vertical="center"/>
    </xf>
    <xf numFmtId="1" fontId="29" fillId="6" borderId="69" xfId="15" applyNumberFormat="1" applyFont="1" applyFill="1" applyBorder="1" applyAlignment="1">
      <alignment horizontal="center" vertical="center"/>
    </xf>
    <xf numFmtId="1" fontId="29" fillId="6" borderId="70" xfId="15" applyNumberFormat="1" applyFont="1" applyFill="1" applyBorder="1" applyAlignment="1">
      <alignment horizontal="center" vertical="center"/>
    </xf>
    <xf numFmtId="1" fontId="29" fillId="6" borderId="71" xfId="15" applyNumberFormat="1" applyFont="1" applyFill="1" applyBorder="1" applyAlignment="1">
      <alignment horizontal="center" vertical="center"/>
    </xf>
    <xf numFmtId="1" fontId="29" fillId="7" borderId="12" xfId="15" applyNumberFormat="1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12" borderId="0" xfId="0" applyFill="1"/>
    <xf numFmtId="43" fontId="0" fillId="12" borderId="0" xfId="0" applyNumberFormat="1" applyFill="1"/>
    <xf numFmtId="2" fontId="0" fillId="12" borderId="0" xfId="0" applyNumberFormat="1" applyFill="1"/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15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2" applyNumberFormat="1" applyFont="1" applyFill="1" applyAlignment="1">
      <alignment horizontal="center"/>
    </xf>
    <xf numFmtId="172" fontId="0" fillId="12" borderId="0" xfId="0" applyNumberFormat="1" applyFill="1"/>
    <xf numFmtId="2" fontId="0" fillId="12" borderId="0" xfId="2" applyNumberFormat="1" applyFont="1" applyFill="1"/>
    <xf numFmtId="0" fontId="33" fillId="14" borderId="5" xfId="15" applyFont="1" applyFill="1" applyBorder="1" applyAlignment="1">
      <alignment vertical="center"/>
    </xf>
    <xf numFmtId="0" fontId="33" fillId="14" borderId="0" xfId="15" applyFont="1" applyFill="1" applyBorder="1" applyAlignment="1">
      <alignment vertical="center"/>
    </xf>
    <xf numFmtId="0" fontId="29" fillId="14" borderId="7" xfId="15" applyFont="1" applyFill="1" applyBorder="1" applyAlignment="1">
      <alignment vertical="center"/>
    </xf>
    <xf numFmtId="0" fontId="29" fillId="14" borderId="6" xfId="15" applyFont="1" applyFill="1" applyBorder="1" applyAlignment="1">
      <alignment vertical="center"/>
    </xf>
    <xf numFmtId="0" fontId="34" fillId="14" borderId="45" xfId="15" applyFont="1" applyFill="1" applyBorder="1" applyAlignment="1">
      <alignment horizontal="center" vertical="center"/>
    </xf>
    <xf numFmtId="0" fontId="34" fillId="14" borderId="22" xfId="15" applyFont="1" applyFill="1" applyBorder="1" applyAlignment="1">
      <alignment horizontal="center" vertical="center"/>
    </xf>
    <xf numFmtId="171" fontId="24" fillId="14" borderId="63" xfId="2" applyNumberFormat="1" applyFont="1" applyFill="1" applyBorder="1" applyAlignment="1">
      <alignment horizontal="center" vertical="center" textRotation="180"/>
    </xf>
    <xf numFmtId="171" fontId="24" fillId="14" borderId="64" xfId="2" applyNumberFormat="1" applyFont="1" applyFill="1" applyBorder="1" applyAlignment="1">
      <alignment horizontal="center" vertical="center" textRotation="180"/>
    </xf>
    <xf numFmtId="171" fontId="24" fillId="14" borderId="65" xfId="2" applyNumberFormat="1" applyFont="1" applyFill="1" applyBorder="1" applyAlignment="1">
      <alignment horizontal="center" vertical="center" textRotation="180"/>
    </xf>
    <xf numFmtId="171" fontId="24" fillId="14" borderId="72" xfId="2" applyNumberFormat="1" applyFont="1" applyFill="1" applyBorder="1" applyAlignment="1">
      <alignment horizontal="center" vertical="center" textRotation="180"/>
    </xf>
    <xf numFmtId="171" fontId="24" fillId="14" borderId="38" xfId="2" applyNumberFormat="1" applyFont="1" applyFill="1" applyBorder="1" applyAlignment="1">
      <alignment horizontal="center" vertical="center" textRotation="180"/>
    </xf>
    <xf numFmtId="168" fontId="26" fillId="14" borderId="39" xfId="8" applyNumberFormat="1" applyFont="1" applyFill="1" applyBorder="1" applyAlignment="1">
      <alignment horizontal="center" vertical="center"/>
    </xf>
    <xf numFmtId="0" fontId="21" fillId="14" borderId="0" xfId="0" applyFont="1" applyFill="1"/>
    <xf numFmtId="0" fontId="4" fillId="14" borderId="0" xfId="0" applyFont="1" applyFill="1"/>
  </cellXfs>
  <cellStyles count="33">
    <cellStyle name="0,0_x000d__x000a_NA_x000d__x000a_" xfId="3" xr:uid="{00000000-0005-0000-0000-000000000000}"/>
    <cellStyle name="Comma" xfId="1" builtinId="3"/>
    <cellStyle name="Comma 10 2 3 2" xfId="4" xr:uid="{00000000-0005-0000-0000-000002000000}"/>
    <cellStyle name="Comma 11 3 3" xfId="5" xr:uid="{00000000-0005-0000-0000-000003000000}"/>
    <cellStyle name="Comma 13 2" xfId="6" xr:uid="{00000000-0005-0000-0000-000004000000}"/>
    <cellStyle name="Comma 15 2 2" xfId="7" xr:uid="{00000000-0005-0000-0000-000005000000}"/>
    <cellStyle name="Comma 2" xfId="8" xr:uid="{00000000-0005-0000-0000-000006000000}"/>
    <cellStyle name="Comma 215" xfId="9" xr:uid="{00000000-0005-0000-0000-000007000000}"/>
    <cellStyle name="Comma 3" xfId="10" xr:uid="{00000000-0005-0000-0000-000008000000}"/>
    <cellStyle name="Comma 30" xfId="11" xr:uid="{00000000-0005-0000-0000-000009000000}"/>
    <cellStyle name="Comma 4" xfId="12" xr:uid="{00000000-0005-0000-0000-00000A000000}"/>
    <cellStyle name="Comma 6" xfId="13" xr:uid="{00000000-0005-0000-0000-00000B000000}"/>
    <cellStyle name="Normal" xfId="0" builtinId="0"/>
    <cellStyle name="Normal 12" xfId="14" xr:uid="{00000000-0005-0000-0000-00000D000000}"/>
    <cellStyle name="Normal 2" xfId="15" xr:uid="{00000000-0005-0000-0000-00000E000000}"/>
    <cellStyle name="Normal 2 4 2" xfId="16" xr:uid="{00000000-0005-0000-0000-00000F000000}"/>
    <cellStyle name="Normal 3" xfId="17" xr:uid="{00000000-0005-0000-0000-000010000000}"/>
    <cellStyle name="Normal 4" xfId="18" xr:uid="{00000000-0005-0000-0000-000011000000}"/>
    <cellStyle name="Normal 5" xfId="19" xr:uid="{00000000-0005-0000-0000-000012000000}"/>
    <cellStyle name="Normal 6" xfId="20" xr:uid="{00000000-0005-0000-0000-000013000000}"/>
    <cellStyle name="Percent" xfId="2" builtinId="5"/>
    <cellStyle name="Percent 13" xfId="21" xr:uid="{00000000-0005-0000-0000-000015000000}"/>
    <cellStyle name="Percent 2" xfId="22" xr:uid="{00000000-0005-0000-0000-000016000000}"/>
    <cellStyle name="Percent 2 3" xfId="23" xr:uid="{00000000-0005-0000-0000-000017000000}"/>
    <cellStyle name="Percent 3" xfId="24" xr:uid="{00000000-0005-0000-0000-000018000000}"/>
    <cellStyle name="Percent 4" xfId="25" xr:uid="{00000000-0005-0000-0000-000019000000}"/>
    <cellStyle name="Percent 4 2 2" xfId="26" xr:uid="{00000000-0005-0000-0000-00001A000000}"/>
    <cellStyle name="Percent 5 3 2" xfId="27" xr:uid="{00000000-0005-0000-0000-00001B000000}"/>
    <cellStyle name="เปอร์เซ็นต์ 2" xfId="32" xr:uid="{00000000-0005-0000-0000-000020000000}"/>
    <cellStyle name="จุลภาค 2" xfId="28" xr:uid="{00000000-0005-0000-0000-00001C000000}"/>
    <cellStyle name="ปกติ 2" xfId="29" xr:uid="{00000000-0005-0000-0000-00001D000000}"/>
    <cellStyle name="ปกติ 2 2" xfId="30" xr:uid="{00000000-0005-0000-0000-00001E000000}"/>
    <cellStyle name="ปกติ_Final BOQ Burirum เปรียบเทียบราคาเฟส 1-2 49-9-28" xfId="31" xr:uid="{00000000-0005-0000-0000-00001F000000}"/>
  </cellStyles>
  <dxfs count="4"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1D41D5"/>
      <color rgb="FFD0EBB3"/>
      <color rgb="FFFEFDD3"/>
      <color rgb="FFF4B183"/>
      <color rgb="FFC5E3E5"/>
      <color rgb="FFB4EAB7"/>
      <color rgb="FFB4EAC0"/>
      <color rgb="FFFDB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428626</xdr:colOff>
      <xdr:row>61</xdr:row>
      <xdr:rowOff>180974</xdr:rowOff>
    </xdr:from>
    <xdr:to>
      <xdr:col>54</xdr:col>
      <xdr:colOff>0</xdr:colOff>
      <xdr:row>61</xdr:row>
      <xdr:rowOff>180974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25498426" y="16773524"/>
          <a:ext cx="4714874" cy="0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73359</xdr:colOff>
      <xdr:row>0</xdr:row>
      <xdr:rowOff>37158</xdr:rowOff>
    </xdr:from>
    <xdr:to>
      <xdr:col>2</xdr:col>
      <xdr:colOff>2380949</xdr:colOff>
      <xdr:row>6</xdr:row>
      <xdr:rowOff>91768</xdr:rowOff>
    </xdr:to>
    <xdr:pic>
      <xdr:nvPicPr>
        <xdr:cNvPr id="3" name="Picture 2" descr="images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59" y="37158"/>
          <a:ext cx="3002915" cy="540385"/>
        </a:xfrm>
        <a:prstGeom prst="rect">
          <a:avLst/>
        </a:prstGeom>
      </xdr:spPr>
    </xdr:pic>
    <xdr:clientData/>
  </xdr:twoCellAnchor>
  <xdr:twoCellAnchor>
    <xdr:from>
      <xdr:col>29</xdr:col>
      <xdr:colOff>488156</xdr:colOff>
      <xdr:row>9</xdr:row>
      <xdr:rowOff>321469</xdr:rowOff>
    </xdr:from>
    <xdr:to>
      <xdr:col>30</xdr:col>
      <xdr:colOff>11905</xdr:colOff>
      <xdr:row>138</xdr:row>
      <xdr:rowOff>35718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7526000" y="1666875"/>
          <a:ext cx="23811" cy="38159531"/>
        </a:xfrm>
        <a:prstGeom prst="line">
          <a:avLst/>
        </a:prstGeom>
        <a:ln w="57150">
          <a:solidFill>
            <a:srgbClr val="00B05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447675</xdr:colOff>
      <xdr:row>69</xdr:row>
      <xdr:rowOff>171450</xdr:rowOff>
    </xdr:from>
    <xdr:to>
      <xdr:col>63</xdr:col>
      <xdr:colOff>0</xdr:colOff>
      <xdr:row>69</xdr:row>
      <xdr:rowOff>176214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V="1">
          <a:off x="25003125" y="19354800"/>
          <a:ext cx="9839325" cy="4764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11906</xdr:colOff>
      <xdr:row>77</xdr:row>
      <xdr:rowOff>154780</xdr:rowOff>
    </xdr:from>
    <xdr:to>
      <xdr:col>68</xdr:col>
      <xdr:colOff>507206</xdr:colOff>
      <xdr:row>77</xdr:row>
      <xdr:rowOff>169068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>
          <a:off x="29196506" y="21928930"/>
          <a:ext cx="8724900" cy="14288"/>
        </a:xfrm>
        <a:prstGeom prst="straightConnector1">
          <a:avLst/>
        </a:prstGeom>
        <a:ln w="3810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05_PLANNING/02_ASSET%20&#3588;&#3619;&#3640;&#3616;&#3633;&#3603;&#3601;&#3660;/FY2008/1_Work%20in%20Process/ASSET/FINAL24122006/#Customer#\04_Siriraj\61_Policy&amp;Planning\&#3649;&#3610;&#3610;&#3615;&#3629;&#3619;&#3660;&#3617;\Copy%20of%20form_&#3650;&#3588;&#3619;&#3591;&#3585;&#3634;&#3619;&#3651;&#3627;&#3617;&#36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Local%20Settings/Temporary%20Internet%20Files/Content.IE5/NSGA1DII/&#3629;&#3634;&#3588;&#3634;&#3619;&#3648;&#3593;&#3621;&#3636;&#3617;&#3614;&#3619;&#3632;&#3648;&#3585;&#3637;&#3618;&#3619;&#3605;&#3636;&#3631;%20(28&#3648;&#3617;.&#3618;.51)/&#3629;&#3609;&#3640;&#3617;&#3633;&#3605;&#3636;&#3649;&#3610;&#3610;&#3619;&#3641;&#3611;&#3619;&#3634;&#3618;&#3585;&#3634;&#3619;/2550/SiME/SiME_cost_06042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aya2\d_salaya2\WINDOWS\TEMP\Cost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1\adm4-27&#3585;&#3588;50file&#3592;&#3634;&#3585;17-22&#3585;&#3604;&#3605;&#3657;&#3629;&#3591;&#3607;&#3635;&#3651;&#3627;&#3617;&#3656;\Users\Tin\Documents\CPSR\M&amp;E%20Bid\ZZ%20Blank%20BOQ\BOQ-Central%20Suratthani-SN&amp;F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SO%20Project%202559%20Backup\03-PKRU15-&#3585;&#3656;&#3629;&#3626;&#3619;&#3657;&#3634;&#3591;&#3607;&#3634;&#3591;&#3648;&#3607;&#3657;&#3634;&#3588;&#3629;&#3609;&#3585;&#3619;&#3637;&#3605;_&#3617;&#3619;&#3616;.&#3616;&#3641;&#3648;&#3585;&#3655;&#3605;\08-&#3619;&#3634;&#3618;&#3585;&#3634;&#3619;&#3588;&#3635;&#3609;&#3623;&#3603;&#3619;&#3634;&#3588;&#3634;&#3585;&#3621;&#3634;&#3591;(BOQ&#3649;&#3621;&#3632;&#3619;&#3634;&#3618;&#3585;&#3634;&#3619;&#3605;&#3633;&#3604;&#3607;&#3629;&#3609;)PDF%20and%20Native%20File\Backup\160208%20PKRU15-Cost%20-Lux%20(&#3592;&#3634;&#3585;&#3588;&#3640;&#3603;&#3619;&#3633;&#3585;&#3625;&#3660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ISO-PROJECT%202561/&#3626;&#3656;&#3623;&#3609;&#3591;&#3634;&#3609;&#3629;&#3629;&#3585;&#3649;&#3610;&#3610;/05-PKRU15-&#3606;&#3609;&#3609;&#3607;&#3634;&#3591;&#3648;&#3607;&#3657;&#3634;%20cover%20way&#3631;-&#3617;&#3619;&#3616;.&#3616;&#3641;&#3648;&#3585;&#3655;&#3605;/&#3591;&#3623;&#3604;&#3648;&#3591;&#3636;&#3609;-PKRU15-61-09-25.R02.&#3591;&#3610;15.799&#3621;&#3610;/&#3588;&#3635;&#3609;&#3623;&#3603;&#3591;&#3623;&#3604;&#3648;&#3591;&#3636;&#3609;-PKRU15-61-09-25.R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ISO-PROJECT%202563/&#3626;&#3656;&#3623;&#3609;&#3591;&#3634;&#3609;&#3629;&#3629;&#3585;&#3649;&#3610;&#3610;/DRU18-&#3585;&#3656;&#3629;&#3626;&#3619;&#3657;&#3634;&#3591;&#3606;&#3609;&#3609;%20&#3607;&#3634;&#3591;&#3648;&#3607;&#3657;&#3634;&#3649;&#3621;&#3632;&#3611;&#3619;&#3633;&#3610;&#3616;&#3641;&#3617;&#3636;&#3607;&#3633;&#3624;&#3609;&#3660;-&#3617;&#3619;&#3616;.&#3608;&#3609;&#3610;&#3640;&#3619;&#3637;%20(&#3651;&#3627;&#3617;&#3656;)/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29;&#3609;&#3640;&#3617;&#3633;&#3605;&#3636;&#3649;&#3610;&#3610;&#3619;&#3641;&#3611;&#3619;&#3634;&#3618;&#3585;&#3634;&#3619;/2550/SiME/SiME_cost_060420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SO%20Project%202562%20Backup/DRU16-&#3585;&#3656;&#3629;&#3626;&#3619;&#3657;&#3634;&#3591;&#3606;&#3609;&#3609;%20&#3607;&#3634;&#3591;&#3648;&#3607;&#3657;&#3634;&#3649;&#3621;&#3632;&#3611;&#3619;&#3633;&#3610;&#3616;&#3641;&#3617;&#3636;&#3607;&#3633;&#3624;&#3609;&#3660;-&#3617;&#3619;&#3616;.&#3608;&#3609;&#3610;&#3640;&#3619;&#3637;%20(&#3591;&#3610;%2040&#3621;&#3610;)/02-BOQ/Backup/190417%20PRU16-Cost%20&#3585;&#3656;&#3629;&#3626;&#3619;&#3657;&#3634;&#3591;&#3606;&#3609;&#3609;&#3588;&#3629;&#3609;&#3585;&#3619;&#3637;&#3605;%20rev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%20Up%20ISO-Project%202560%20Miw%20%20&#3627;&#3617;&#3636;&#3623;(&#3627;&#3657;&#3634;&#3617;&#3621;&#3610;)/7.IRPC40-NEW%20OFFICE%20RD-IRPC%20APPLI%20%20LAB/&#3627;&#3617;&#3636;&#3623;(%20&#3627;&#3657;&#3634;&#3617;&#3621;&#3610;)/14.FEC2%20ST/1.&#3606;&#3629;&#3604;&#3649;&#3610;&#3610;&#3650;&#3588;&#3619;&#3591;&#3626;&#3619;&#3657;&#3634;&#3591;&#3607;&#3633;&#3657;&#3591;&#3605;&#3638;&#3585;/ST-BOQ-FEC2-59-11-1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KMD\S-Curve\&#3588;&#3619;&#3633;&#3657;&#3591;&#3607;&#3637;&#3656;%2019\S-Curve%20_%20&#3591;&#3623;&#3604;&#3648;&#3591;&#3636;&#3609;&#3591;&#3623;&#3604;&#3591;&#3634;&#3609;%20&#3650;&#3588;&#3619;&#3591;&#3585;&#3634;&#3619;&#3624;&#3641;&#3609;&#3618;&#3660;&#3585;&#3634;&#3619;&#3648;&#3619;&#3637;&#3618;&#3609;&#3619;&#3641;&#3657;%20week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Page 3"/>
      <sheetName val="Total"/>
      <sheetName val="Page 4-งบบุคลากร"/>
      <sheetName val="Page 5-ค่าตอบแทน"/>
      <sheetName val="Page 6-ค่าใช้สอย"/>
      <sheetName val="Page 7-ค่าวัสดุ"/>
      <sheetName val="Page 8-ค่าสาธารณูปโภค"/>
      <sheetName val="Page 9-ครุภัณฑ์"/>
      <sheetName val="Page 10-สิ่งก่อสร้าง"/>
      <sheetName val="Page 11-รายจ่ายอื่น"/>
      <sheetName val="Page 12-งบรวม"/>
      <sheetName val="Page 13"/>
      <sheetName val="CI"/>
      <sheetName val="Sheet1 (2)"/>
      <sheetName val="Sheet2 (2)"/>
      <sheetName val="Summary SN F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REA"/>
      <sheetName val="AREAcost"/>
      <sheetName val="ราคาส่วนเพิ่ม"/>
      <sheetName val="landscape"/>
      <sheetName val="lift"/>
      <sheetName val="EE-SIMC"/>
      <sheetName val="EE-อาคารสัญลักษณ์และภูมิสถาปัตย"/>
      <sheetName val="Summary SN F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ศูนย์การแพทย์"/>
      <sheetName val="หอพักผู้ป่วย"/>
      <sheetName val="อาคารบริการ"/>
      <sheetName val="สรศป"/>
      <sheetName val="Cost2"/>
      <sheetName val="Sheet1"/>
      <sheetName val="FR"/>
      <sheetName val="산근"/>
      <sheetName val="#REF"/>
      <sheetName val="封面 "/>
      <sheetName val="粉刷"/>
      <sheetName val="裝修"/>
      <sheetName val="風管工程"/>
      <sheetName val="合約價"/>
      <sheetName val="ราคาต่อหน่วย2-9"/>
      <sheetName val="วัดใต้"/>
      <sheetName val="รวมราคาทั้งสิ้น"/>
      <sheetName val="????"/>
      <sheetName val=""/>
      <sheetName val="SUMMERY (BOQ)"/>
      <sheetName val="FIRST FLOOR"/>
      <sheetName val="SECOND FLOOR"/>
      <sheetName val="3RD FLOOR"/>
      <sheetName val="4 TH FLOOR"/>
      <sheetName val="1ST-4TH DOOR WORK"/>
      <sheetName val="1ST-4TH MAIL&amp;FEMALE TOILET"/>
      <sheetName val="5THFLOOR LIFT LOBBY&amp;CORRIDOR"/>
      <sheetName val="Back Up"/>
      <sheetName val="Matt_Guest"/>
      <sheetName val="Concrete Beam"/>
      <sheetName val="SUM-AIR-Submit"/>
      <sheetName val="?????@_x001c__x0014_?????_x0002__x0011__x0014_?????ñCe?_x0001_???0?"/>
      <sheetName val="FAB별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boq"/>
      <sheetName val="Boq(1)"/>
      <sheetName val="____"/>
      <sheetName val="_____@_x001c__x0014_______x0002__x0011__x0014______ñCe__x0001____0_"/>
      <sheetName val="封面_"/>
      <sheetName val="@ñCe?0"/>
      <sheetName val="封面_1"/>
      <sheetName val="封面_2"/>
      <sheetName val="封面_3"/>
      <sheetName val="SCIB_Proforma"/>
      <sheetName val="SCIB_Data"/>
      <sheetName val="PL"/>
      <sheetName val="ส่งมอบงาน "/>
      <sheetName val="ปก"/>
      <sheetName val="ใบแจ้งหนี้"/>
      <sheetName val="Grand Summary (2)"/>
      <sheetName val="Grand Summary "/>
      <sheetName val=" BOQ WELCOME "/>
      <sheetName val="Grand_Sum"/>
      <sheetName val="Sum_TC"/>
      <sheetName val="002"/>
      <sheetName val="003"/>
      <sheetName val="004"/>
      <sheetName val="Grand_Sum VO"/>
      <sheetName val="Sum_VIP VO"/>
      <sheetName val="@ñCe_0"/>
      <sheetName val="Invoice"/>
      <sheetName val="SAN REDUCED 1"/>
      <sheetName val="S3 Architectural"/>
      <sheetName val="SUMMERY_(BOQ)"/>
      <sheetName val="FIRST_FLOOR"/>
      <sheetName val="SECOND_FLOOR"/>
      <sheetName val="3RD_FLOOR"/>
      <sheetName val="4_TH_FLOOR"/>
      <sheetName val="1ST-4TH_DOOR_WORK"/>
      <sheetName val="1ST-4TH_MAIL&amp;FEMALE_TOILET"/>
      <sheetName val="5THFLOOR_LIFT_LOBBY&amp;CORRIDOR"/>
      <sheetName val="Back_Up"/>
      <sheetName val="Struc"/>
      <sheetName val="Ratio"/>
      <sheetName val="Ratio Quantities"/>
      <sheetName val="Foundation_VE"/>
      <sheetName val="Column_VE (Coppper)"/>
      <sheetName val="CORE WALL (GL 38-39 I-R)VE"/>
      <sheetName val="CORE WALL (GL 14-19 I-R)VE"/>
      <sheetName val="CORE WALL (GL 27-28 C-F)VE"/>
      <sheetName val="CORE WALL (GL 53-54 J)VE"/>
      <sheetName val="CORE WALL (GL 56-57 J-P)VE"/>
      <sheetName val="CORE WALL (GL 33 C-L)VE"/>
      <sheetName val="Staircase"/>
      <sheetName val="RC Wall"/>
      <sheetName val="Struc. Steel"/>
      <sheetName val="Std.RC Wall"/>
      <sheetName val="Std. Column "/>
      <sheetName val="Foundation"/>
      <sheetName val="Column_VE"/>
      <sheetName val="GFAไม้แบบท้องพื้น"/>
      <sheetName val="Struc Check Table อาคาร 1"/>
      <sheetName val="STR"/>
      <sheetName val="Sheet2"/>
      <sheetName val="_x005f_x0000__x005f_x0000__x005f_x0000__x005f_x0000__x0"/>
      <sheetName val="_____@_x005f_x001c__x005f_x0014_______x0002"/>
      <sheetName val="?????@??????????ñCe????0?"/>
      <sheetName val="Concrete_Beam"/>
      <sheetName val="SUMMERY_(BOQ)1"/>
      <sheetName val="FIRST_FLOOR1"/>
      <sheetName val="SECOND_FLOOR1"/>
      <sheetName val="3RD_FLOOR1"/>
      <sheetName val="4_TH_FLOOR1"/>
      <sheetName val="1ST-4TH_DOOR_WORK1"/>
      <sheetName val="1ST-4TH_MAIL&amp;FEMALE_TOILET1"/>
      <sheetName val="5THFLOOR_LIFT_LOBBY&amp;CORRIDOR1"/>
      <sheetName val="Back_Up1"/>
      <sheetName val="Concrete_Beam1"/>
      <sheetName val="SUMMERY_(BOQ)2"/>
      <sheetName val="FIRST_FLOOR2"/>
      <sheetName val="SECOND_FLOOR2"/>
      <sheetName val="3RD_FLOOR2"/>
      <sheetName val="4_TH_FLOOR2"/>
      <sheetName val="1ST-4TH_DOOR_WORK2"/>
      <sheetName val="1ST-4TH_MAIL&amp;FEMALE_TOILET2"/>
      <sheetName val="5THFLOOR_LIFT_LOBBY&amp;CORRIDOR2"/>
      <sheetName val="Back_Up2"/>
      <sheetName val="Concrete_Beam2"/>
      <sheetName val="SUMMERY_(BOQ)3"/>
      <sheetName val="FIRST_FLOOR3"/>
      <sheetName val="SECOND_FLOOR3"/>
      <sheetName val="3RD_FLOOR3"/>
      <sheetName val="4_TH_FLOOR3"/>
      <sheetName val="1ST-4TH_DOOR_WORK3"/>
      <sheetName val="1ST-4TH_MAIL&amp;FEMALE_TOILET3"/>
      <sheetName val="5THFLOOR_LIFT_LOBBY&amp;CORRIDOR3"/>
      <sheetName val="Back_Up3"/>
      <sheetName val="Concrete_Beam3"/>
      <sheetName val="7IFS-5A"/>
      <sheetName val="Recovered_Sheet1"/>
      <sheetName val="TOTAL -BUILDING E1"/>
      <sheetName val="SUM - MEP(E1) "/>
      <sheetName val="EE(E1)"/>
      <sheetName val="Com(E1)"/>
      <sheetName val="Air(E1 )"/>
      <sheetName val="San(E1)"/>
      <sheetName val="Fp(E1)   "/>
      <sheetName val="SUMMARY MEP"/>
      <sheetName val="Prelim"/>
      <sheetName val="พื้นที่อาคาร"/>
      <sheetName val="SUM - MEP BUILDING"/>
      <sheetName val="Electrical System "/>
      <sheetName val="Commuication System"/>
      <sheetName val="Air Conditioning  System  "/>
      <sheetName val="Sanitary System "/>
      <sheetName val="Fire Protection System "/>
      <sheetName val="Check"/>
      <sheetName val="stair"/>
      <sheetName val="ข้อมูลประตู T1"/>
      <sheetName val="ข้อมูลหน้าต่าง T1"/>
      <sheetName val="封面_4"/>
      <sheetName val="Construction"/>
      <sheetName val="schedule_1"/>
      <sheetName val=" FS"/>
      <sheetName val="Sch_1_EE"/>
      <sheetName val="Sch.2 SN"/>
      <sheetName val="Sch.3 FP"/>
      <sheetName val="Sch.4 AC"/>
      <sheetName val="Sch.6 Prelim"/>
      <sheetName val="ข้อมูลหน้าต่าง T3"/>
      <sheetName val="ข้อมูลประตู T2"/>
      <sheetName val="Data Sheet"/>
      <sheetName val="Interial"/>
      <sheetName val="EST-FOOTING (G)"/>
      <sheetName val="?????@_x005f_x001c__x005f_x0014_?????_x0002"/>
      <sheetName val="Cost per SQM_M&amp;E"/>
      <sheetName val="ปี 2562"/>
      <sheetName val="จ่ายเงิน"/>
      <sheetName val="_____@_x001c__x0014_______x0002"/>
      <sheetName val="KKC Brkdwn"/>
      <sheetName val="Factor F Data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แยกงาน"/>
      <sheetName val="แยกงาน (2)"/>
      <sheetName val="index"/>
      <sheetName val="合成単価作成・-BLDG"/>
      <sheetName val="A"/>
      <sheetName val="mat"/>
      <sheetName val="Discounted Cash Flow"/>
      <sheetName val="Garph Work-Cost"/>
      <sheetName val="Fee Rate Summary"/>
      <sheetName val="_x005f_x005f_x005f_x0000__x005f_x005f_x005f_x0000__x005"/>
      <sheetName val="_____@_x005f_x005f_x005f_x001c__x005f_x005f_x0014"/>
      <sheetName val="Sum.ALL"/>
      <sheetName val="รายการ VE"/>
      <sheetName val="PILE"/>
      <sheetName val="sum_ARC"/>
      <sheetName val="Public"/>
      <sheetName val="รวมห้องพัก"/>
      <sheetName val="HS"/>
      <sheetName val="Type A-1"/>
      <sheetName val="Type A-1M"/>
      <sheetName val="Type B-1"/>
      <sheetName val="Type C1"/>
      <sheetName val="Type C-2"/>
      <sheetName val="Type C-3"/>
      <sheetName val="Type C-5"/>
      <sheetName val="Type DP-5"/>
      <sheetName val="Type LOFT-1"/>
      <sheetName val="Type LOFT-2 "/>
      <sheetName val="Type LOFT-2M"/>
      <sheetName val="Type LOFT 3"/>
      <sheetName val="Type LOFT-4"/>
      <sheetName val="Type LOFT-5"/>
      <sheetName val="Type LOFT-6"/>
      <sheetName val="Type LOFT-7"/>
      <sheetName val="Type PH-A"/>
      <sheetName val="Type PH-B"/>
      <sheetName val="Type PH-C"/>
      <sheetName val="Type PH-D"/>
      <sheetName val="Type PH-E"/>
      <sheetName val="Hard"/>
      <sheetName val="Sum LAND"/>
      <sheetName val="Landscape"/>
      <sheetName val="SUM M&amp;E"/>
      <sheetName val="SN"/>
      <sheetName val="AC"/>
      <sheetName val="EX-WORK"/>
      <sheetName val="_x005f_x0000__x005f_x0000__x005"/>
      <sheetName val="_____@_x005f_x001c__x0014"/>
      <sheetName val="_____@_x005f_x005f_x005f_x001c__x0014"/>
      <sheetName val="_x005f_x005f_x005f_x005f_x005f_x005f_x005f_x0000__x005f"/>
      <sheetName val="_____@_x005f_x005f_x005f_x005f_x005f_x005f_x005f_x001c_"/>
      <sheetName val="QuantitySegment"/>
      <sheetName val="ปร5"/>
      <sheetName val="ราคาวัสดุ"/>
      <sheetName val="10 ข้อมูลวัสดุ-ค่าดำเนิน"/>
      <sheetName val="REF ONLY2"/>
      <sheetName val="Car."/>
      <sheetName val="cov-estimate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แผนงาน อบต ท่าลาน(ส่งเทศบาล)"/>
      <sheetName val="King 1"/>
      <sheetName val="Cctmst"/>
      <sheetName val="l-fixer"/>
      <sheetName val="Bill No. 2 - Carpark"/>
      <sheetName val="OR21 Final Forecast Rev.2"/>
      <sheetName val="Summary Forecast Budget 1&amp;2"/>
      <sheetName val="Summary Forecast Budget Rev 2"/>
      <sheetName val="Backup OR21 "/>
      <sheetName val="BOQ  VI 03.09.19 "/>
      <sheetName val="Backup BR.BMA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IMP OR21 2019.07.11"/>
      <sheetName val="Sap_Actual"/>
      <sheetName val="_____@_x005f_x001c__x005f_x005f_x0014"/>
      <sheetName val="_x005f_x005f_x005f_x0000__x005f"/>
      <sheetName val="_____@_x005f_x005f_x005f_x001c_"/>
      <sheetName val="Sheet5"/>
      <sheetName val="_____@__________ñCe____0_"/>
      <sheetName val="A1.2"/>
      <sheetName val="Construction cost assumption"/>
      <sheetName val="JLL Assumption"/>
      <sheetName val="Retail Program&amp;Rev Assumption"/>
      <sheetName val="?????@_x005f_x005f_x005f_x001c__x005f_x005f_x0014"/>
      <sheetName val="FitOutConfCentre"/>
      <sheetName val="wa"/>
      <sheetName val="ส่งมอบงาน_"/>
      <sheetName val="Grand_Summary_(2)"/>
      <sheetName val="Grand_Summary_"/>
      <sheetName val="_BOQ_WELCOME_"/>
      <sheetName val="Grand_Sum_VO"/>
      <sheetName val="Sum_VIP_VO"/>
      <sheetName val="______________________Ce______2"/>
      <sheetName val="5-2"/>
      <sheetName val="ค่าขนส่ง-1"/>
      <sheetName val="Factor F งาน DB."/>
      <sheetName val="Quotation-B1"/>
      <sheetName val="Summary"/>
      <sheetName val="Site OH-Main Construction"/>
      <sheetName val="Site OH-HMA"/>
      <sheetName val="DB-Material"/>
      <sheetName val="DB-Equipment_Man"/>
      <sheetName val="DB-Manpower"/>
      <sheetName val="Para Slurry Seal"/>
      <sheetName val="Agg. for Para Type III"/>
      <sheetName val="Agg. for Para TypeIII Haulage"/>
      <sheetName val="Mobilization-Equip"/>
      <sheetName val="Tack Coat-16+400A,B"/>
      <sheetName val="Earth Excavation"/>
      <sheetName val="B1_Embankment"/>
      <sheetName val="B1_Selected Mat"/>
      <sheetName val="B1_Subbase"/>
      <sheetName val="B1_CTB_In-Place"/>
      <sheetName val="B1_CTB In-Plant"/>
      <sheetName val="B1_CTB-Haulage"/>
      <sheetName val="HMA-Production-16+400A,B"/>
      <sheetName val="HMA-Paving-16+400A,B"/>
      <sheetName val="HMA-Haulage-16+400AB"/>
      <sheetName val="Tack Coat-17+100B"/>
      <sheetName val="HMA-Production-17+100B"/>
      <sheetName val="HMA-Paving-17+100B"/>
      <sheetName val="HMA-Haulage-17+100B"/>
      <sheetName val="Milling 5cm-ทางลงเชียงราก"/>
      <sheetName val="Tack Coat-ทางลงเชียงราก"/>
      <sheetName val="HMA-Production-ทางลงเชียงราก"/>
      <sheetName val="HMA-Paving-ทางลงเชียงราก"/>
      <sheetName val="HMA-Haulage-ทางลงเชียงราก"/>
      <sheetName val="Toll Fee"/>
      <sheetName val="Traffic Management"/>
      <sheetName val="กำพงกันตก"/>
      <sheetName val="รางระบายน้ำ"/>
      <sheetName val="ตกแต่ง-อาคาร A"/>
      <sheetName val="ตกแต่ง-อาคาร B"/>
      <sheetName val="ตกแต่ง-อาคาร C"/>
      <sheetName val="ตกแต่ง-อาคาร E"/>
      <sheetName val="一発シート"/>
      <sheetName val="BOX Cryostat Details"/>
      <sheetName val="Driver Linac Layout"/>
      <sheetName val="Inputs"/>
      <sheetName val="Magnet Details"/>
      <sheetName val="_x005f_x005f_x005F"/>
      <sheetName val="detail "/>
      <sheetName val="structure"/>
      <sheetName val="Q190802"/>
      <sheetName val="Total"/>
      <sheetName val="back up FL.4"/>
      <sheetName val="_x005f_x0000__x005f"/>
      <sheetName val="_____@_x005f_x001c_"/>
      <sheetName val="Mat_Source"/>
      <sheetName val="Unit_Div6"/>
      <sheetName val="ทำนบดิน 4"/>
      <sheetName val="Purchase Order"/>
      <sheetName val="Customize Your Purchase Order"/>
      <sheetName val="封面_5"/>
      <sheetName val="SUMMERY_(BOQ)4"/>
      <sheetName val="FIRST_FLOOR4"/>
      <sheetName val="SECOND_FLOOR4"/>
      <sheetName val="3RD_FLOOR4"/>
      <sheetName val="4_TH_FLOOR4"/>
      <sheetName val="1ST-4TH_DOOR_WORK4"/>
      <sheetName val="1ST-4TH_MAIL&amp;FEMALE_TOILET4"/>
      <sheetName val="5THFLOOR_LIFT_LOBBY&amp;CORRIDOR4"/>
      <sheetName val="Back_Up4"/>
      <sheetName val="Concrete_Beam4"/>
      <sheetName val="ส่งมอบงาน_1"/>
      <sheetName val="Grand_Summary_(2)1"/>
      <sheetName val="Grand_Summary_1"/>
      <sheetName val="_BOQ_WELCOME_1"/>
      <sheetName val="Grand_Sum_VO1"/>
      <sheetName val="Sum_VIP_VO1"/>
      <sheetName val="SAN_REDUCED_11"/>
      <sheetName val="S3_Architectural1"/>
      <sheetName val="Ratio_Quantities"/>
      <sheetName val="Column_VE_(Coppper)"/>
      <sheetName val="CORE_WALL_(GL_38-39_I-R)VE"/>
      <sheetName val="CORE_WALL_(GL_14-19_I-R)VE"/>
      <sheetName val="CORE_WALL_(GL_27-28_C-F)VE"/>
      <sheetName val="CORE_WALL_(GL_53-54_J)VE"/>
      <sheetName val="CORE_WALL_(GL_56-57_J-P)VE"/>
      <sheetName val="CORE_WALL_(GL_33_C-L)VE"/>
      <sheetName val="RC_Wall"/>
      <sheetName val="Struc__Steel"/>
      <sheetName val="Std_RC_Wall"/>
      <sheetName val="Std__Column_"/>
      <sheetName val="Struc_Check_Table_อาคาร_1"/>
      <sheetName val="SAN_REDUCED_1"/>
      <sheetName val="S3_Architectural"/>
      <sheetName val="????_x0"/>
      <sheetName val="11 ข้อมูลงานCon"/>
      <sheetName val="12 ข้อมูลงานไม้แบบ"/>
      <sheetName val="MS Box"/>
      <sheetName val="MOLP C"/>
      <sheetName val="?????@_x005f_x001c__x005f_x005f_x0014"/>
      <sheetName val="STMspry"/>
      <sheetName val="PsychroData"/>
      <sheetName val="footing"/>
      <sheetName val="Material"/>
      <sheetName val="Attach1(สรุปรวม) "/>
      <sheetName val="Attach2(BOQ Detail) "/>
      <sheetName val="Attach3(Measurement)Footing"/>
      <sheetName val="Attach3(Measurement) (Topping)"/>
      <sheetName val="Attach3(Measurement) (FL FINISH"/>
      <sheetName val="Attach3(Check Sheet)"/>
      <sheetName val="Sheet3"/>
      <sheetName val=" (FL Finis)"/>
      <sheetName val="bp bill-mark"/>
      <sheetName val="vo"/>
      <sheetName val="Sch 2"/>
      <sheetName val="ข้อมูลประตู_T1"/>
      <sheetName val="ข้อมูลหน้าต่าง_T1"/>
      <sheetName val="ข้อมูลหน้าต่าง_T3"/>
      <sheetName val="ข้อมูลประตู_T2"/>
      <sheetName val="_FS"/>
      <sheetName val="Sch_2_SN"/>
      <sheetName val="Sch_3_FP"/>
      <sheetName val="Sch_4_AC"/>
      <sheetName val="Sch_6_Prelim"/>
      <sheetName val="รายการ_VE"/>
      <sheetName val="Type_A-1"/>
      <sheetName val="Type_A-1M"/>
      <sheetName val="Type_B-1"/>
      <sheetName val="Type_C1"/>
      <sheetName val="Type_C-2"/>
      <sheetName val="Type_C-3"/>
      <sheetName val="Type_C-5"/>
      <sheetName val="Type_DP-5"/>
      <sheetName val="Type_LOFT-1"/>
      <sheetName val="Type_LOFT-2_"/>
      <sheetName val="Type_LOFT-2M"/>
      <sheetName val="Type_LOFT_3"/>
      <sheetName val="Type_LOFT-4"/>
      <sheetName val="Type_LOFT-5"/>
      <sheetName val="Type_LOFT-6"/>
      <sheetName val="Type_LOFT-7"/>
      <sheetName val="Type_PH-A"/>
      <sheetName val="Type_PH-B"/>
      <sheetName val="Type_PH-C"/>
      <sheetName val="Type_PH-D"/>
      <sheetName val="Type_PH-E"/>
      <sheetName val="Sum_LAND"/>
      <sheetName val="SUM_M&amp;E"/>
      <sheetName val="TOTAL_-BUILDING_E1"/>
      <sheetName val="SUM_-_MEP(E1)_"/>
      <sheetName val="Air(E1_)"/>
      <sheetName val="Fp(E1)___"/>
      <sheetName val="SUMMARY_MEP"/>
      <sheetName val="SUM_-_MEP_BUILDING"/>
      <sheetName val="Electrical_System_"/>
      <sheetName val="Commuication_System"/>
      <sheetName val="Air_Conditioning__System__"/>
      <sheetName val="Sanitary_System_"/>
      <sheetName val="Fire_Protection_System_"/>
      <sheetName val="ปี_2562"/>
      <sheetName val="Data_Sheet"/>
      <sheetName val="EST-FOOTING_(G)"/>
      <sheetName val="Cost_per_SQM_M&amp;E"/>
      <sheetName val="KKC_Brkdwn"/>
      <sheetName val="Factor_F_Data"/>
      <sheetName val="Grand_Summary_(_Variation)"/>
      <sheetName val="ST_work_con_M"/>
      <sheetName val="ST_work_con_carpark"/>
      <sheetName val="ST_work_M"/>
      <sheetName val="ST_work_Facad(M)_"/>
      <sheetName val="ST_work_carpark"/>
      <sheetName val="back_up_arc_Car_Park"/>
      <sheetName val="backup_str_carpark"/>
      <sheetName val="back_up_arc__M"/>
      <sheetName val="แยกงาน_ผนัง_พื้น_ฝ้า_สี"/>
      <sheetName val="Grand_SUMMARY_MEP_"/>
      <sheetName val="แยกงาน_(2)"/>
      <sheetName val="_x0"/>
      <sheetName val="_____@______x0002"/>
      <sheetName val="King_1"/>
      <sheetName val="Discounted_Cash_Flow"/>
      <sheetName val="Garph_Work-Cost"/>
      <sheetName val="10_ข้อมูลวัสดุ-ค่าดำเนิน"/>
      <sheetName val="REF_ONLY2"/>
      <sheetName val="Fee_Rate_Summary"/>
      <sheetName val="A1_2"/>
      <sheetName val="Bill_No__2_-_Carpark"/>
      <sheetName val="แผนงาน_อบต_ท่าลาน(ส่งเทศบาล)"/>
      <sheetName val="OR21_Final_Forecast_Rev_2"/>
      <sheetName val="Summary_Forecast_Budget_1&amp;2"/>
      <sheetName val="Summary_Forecast_Budget_Rev_2"/>
      <sheetName val="Backup_OR21_"/>
      <sheetName val="BOQ__VI_03_09_19_"/>
      <sheetName val="Backup_BR_BMA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IMP_OR21_2019_07_11"/>
      <sheetName val="detail_"/>
      <sheetName val="Construction_cost_assumption"/>
      <sheetName val="JLL_Assumption"/>
      <sheetName val="Car_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BOX_Cryostat_Details"/>
      <sheetName val="Driver_Linac_Layout"/>
      <sheetName val="Magnet_Details"/>
      <sheetName val="Retail_Program&amp;Rev_Assumption"/>
      <sheetName val="封面_6"/>
      <sheetName val="SUMMERY_(BOQ)5"/>
      <sheetName val="FIRST_FLOOR5"/>
      <sheetName val="SECOND_FLOOR5"/>
      <sheetName val="3RD_FLOOR5"/>
      <sheetName val="4_TH_FLOOR5"/>
      <sheetName val="1ST-4TH_DOOR_WORK5"/>
      <sheetName val="1ST-4TH_MAIL&amp;FEMALE_TOILET5"/>
      <sheetName val="5THFLOOR_LIFT_LOBBY&amp;CORRIDOR5"/>
      <sheetName val="Back_Up5"/>
      <sheetName val="Concrete_Beam5"/>
      <sheetName val="Ratio_Quantities1"/>
      <sheetName val="Column_VE_(Coppper)1"/>
      <sheetName val="CORE_WALL_(GL_38-39_I-R)VE1"/>
      <sheetName val="CORE_WALL_(GL_14-19_I-R)VE1"/>
      <sheetName val="CORE_WALL_(GL_27-28_C-F)VE1"/>
      <sheetName val="CORE_WALL_(GL_53-54_J)VE1"/>
      <sheetName val="CORE_WALL_(GL_56-57_J-P)VE1"/>
      <sheetName val="CORE_WALL_(GL_33_C-L)VE1"/>
      <sheetName val="RC_Wall1"/>
      <sheetName val="Struc__Steel1"/>
      <sheetName val="Std_RC_Wall1"/>
      <sheetName val="Std__Column_1"/>
      <sheetName val="Struc_Check_Table_อาคาร_11"/>
      <sheetName val="ข้อมูลประตู_T11"/>
      <sheetName val="ข้อมูลหน้าต่าง_T11"/>
      <sheetName val="ข้อมูลหน้าต่าง_T31"/>
      <sheetName val="ข้อมูลประตู_T21"/>
      <sheetName val="_FS1"/>
      <sheetName val="Sch_2_SN1"/>
      <sheetName val="Sch_3_FP1"/>
      <sheetName val="Sch_4_AC1"/>
      <sheetName val="Sch_6_Prelim1"/>
      <sheetName val="ปี_25621"/>
      <sheetName val="TOTAL_-BUILDING_E11"/>
      <sheetName val="SUM_-_MEP(E1)_1"/>
      <sheetName val="Air(E1_)1"/>
      <sheetName val="Fp(E1)___1"/>
      <sheetName val="Data_Sheet1"/>
      <sheetName val="SUMMARY_MEP1"/>
      <sheetName val="SUM_-_MEP_BUILDING1"/>
      <sheetName val="Electrical_System_1"/>
      <sheetName val="Commuication_System1"/>
      <sheetName val="Air_Conditioning__System__1"/>
      <sheetName val="Sanitary_System_1"/>
      <sheetName val="Fire_Protection_System_1"/>
      <sheetName val="EST-FOOTING_(G)1"/>
      <sheetName val="Cost_per_SQM_M&amp;E1"/>
      <sheetName val="รายการ_VE1"/>
      <sheetName val="Type_A-11"/>
      <sheetName val="Type_A-1M1"/>
      <sheetName val="Type_B-11"/>
      <sheetName val="Type_C11"/>
      <sheetName val="Type_C-21"/>
      <sheetName val="Type_C-31"/>
      <sheetName val="Type_C-51"/>
      <sheetName val="Type_DP-51"/>
      <sheetName val="Type_LOFT-11"/>
      <sheetName val="Type_LOFT-2_1"/>
      <sheetName val="Type_LOFT-2M1"/>
      <sheetName val="Type_LOFT_31"/>
      <sheetName val="Type_LOFT-41"/>
      <sheetName val="Type_LOFT-51"/>
      <sheetName val="Type_LOFT-61"/>
      <sheetName val="Type_LOFT-71"/>
      <sheetName val="Type_PH-A1"/>
      <sheetName val="Type_PH-B1"/>
      <sheetName val="Type_PH-C1"/>
      <sheetName val="Type_PH-D1"/>
      <sheetName val="Type_PH-E1"/>
      <sheetName val="Sum_LAND1"/>
      <sheetName val="SUM_M&amp;E1"/>
      <sheetName val="Grand_Summary_(_Variation)1"/>
      <sheetName val="ST_work_con_M1"/>
      <sheetName val="ST_work_con_carpark1"/>
      <sheetName val="ST_work_M1"/>
      <sheetName val="ST_work_Facad(M)_1"/>
      <sheetName val="ST_work_carpark1"/>
      <sheetName val="back_up_arc_Car_Park1"/>
      <sheetName val="backup_str_carpark1"/>
      <sheetName val="back_up_arc__M1"/>
      <sheetName val="แยกงาน_ผนัง_พื้น_ฝ้า_สี1"/>
      <sheetName val="Grand_SUMMARY_MEP_1"/>
      <sheetName val="แยกงาน_(2)1"/>
      <sheetName val="KKC_Brkdwn1"/>
      <sheetName val="Factor_F_Data1"/>
      <sheetName val="Garph_Work-Cost1"/>
      <sheetName val="Discounted_Cash_Flow1"/>
      <sheetName val="Bill_No__2_-_Carpark1"/>
      <sheetName val="King_11"/>
      <sheetName val="Fee_Rate_Summary1"/>
      <sheetName val="10_ข้อมูลวัสดุ-ค่าดำเนิน1"/>
      <sheetName val="REF_ONLY21"/>
      <sheetName val="A1_21"/>
      <sheetName val="OR21_Final_Forecast_Rev_21"/>
      <sheetName val="Summary_Forecast_Budget_1&amp;21"/>
      <sheetName val="Summary_Forecast_Budget_Rev_21"/>
      <sheetName val="Backup_OR21_1"/>
      <sheetName val="BOQ__VI_03_09_19_1"/>
      <sheetName val="Backup_BR_BMA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IMP_OR21_2019_07_111"/>
      <sheetName val="Car_1"/>
      <sheetName val="TDC_COA_Sumry1"/>
      <sheetName val="COA_Sumry_by_Area1"/>
      <sheetName val="COA_Sumry_by_Contr1"/>
      <sheetName val="COA_Sumry_by_RG1"/>
      <sheetName val="TDC_COA_Grp_Sumry1"/>
      <sheetName val="TDC_Item_Dets-Full1"/>
      <sheetName val="TDC_Item_Dets-IPM-Full1"/>
      <sheetName val="TDC_Item_Dets1"/>
      <sheetName val="TDC_Item_Sumry1"/>
      <sheetName val="TDC_Key_Qty_Sumry1"/>
      <sheetName val="List_-_Components1"/>
      <sheetName val="List_-_Equipment1"/>
      <sheetName val="Project_Metrics1"/>
      <sheetName val="COA_Sumry_-_Std_Imp1"/>
      <sheetName val="Contr_TDC_-_Std_Imp1"/>
      <sheetName val="Item_Sumry_-_Std_Imp1"/>
      <sheetName val="Proj_TIC_-_Std_Imp1"/>
      <sheetName val="Unit_Costs_-_Std_Imp1"/>
      <sheetName val="Unit_MH_-_Std_Imp1"/>
      <sheetName val="แผนงาน_อบต_ท่าลาน(ส่งเทศบาล)1"/>
      <sheetName val="Construction_cost_assumption1"/>
      <sheetName val="JLL_Assumption1"/>
      <sheetName val="Retail_Program&amp;Rev_Assumption1"/>
      <sheetName val="bk unit rate"/>
      <sheetName val="Equipment"/>
      <sheetName val="splinkler"/>
      <sheetName val="FS"/>
      <sheetName val="สรุปราคา (EMC)"/>
      <sheetName val="Form"/>
      <sheetName val="master01"/>
      <sheetName val="Status Budget"/>
      <sheetName val="field"/>
      <sheetName val="basic rate"/>
      <sheetName val="PRICE LIST"/>
      <sheetName val="code"/>
      <sheetName val="back_up_FL_4"/>
      <sheetName val="ทำนบดิน_4"/>
      <sheetName val="Purchase_Order"/>
      <sheetName val="Customize_Your_Purchase_Order"/>
      <sheetName val="detail_1"/>
      <sheetName val="back_up_FL_41"/>
      <sheetName val="BOX_Cryostat_Details1"/>
      <sheetName val="Driver_Linac_Layout1"/>
      <sheetName val="Magnet_Details1"/>
      <sheetName val="ทำนบดิน_41"/>
      <sheetName val="Purchase_Order1"/>
      <sheetName val="Customize_Your_Purchase_Order1"/>
      <sheetName val="封面_7"/>
      <sheetName val="SUMMERY_(BOQ)6"/>
      <sheetName val="FIRST_FLOOR6"/>
      <sheetName val="SECOND_FLOOR6"/>
      <sheetName val="3RD_FLOOR6"/>
      <sheetName val="4_TH_FLOOR6"/>
      <sheetName val="1ST-4TH_DOOR_WORK6"/>
      <sheetName val="1ST-4TH_MAIL&amp;FEMALE_TOILET6"/>
      <sheetName val="5THFLOOR_LIFT_LOBBY&amp;CORRIDOR6"/>
      <sheetName val="Back_Up6"/>
      <sheetName val="Concrete_Beam6"/>
      <sheetName val="ส่งมอบงาน_2"/>
      <sheetName val="Grand_Summary_(2)2"/>
      <sheetName val="Grand_Summary_2"/>
      <sheetName val="_BOQ_WELCOME_2"/>
      <sheetName val="Grand_Sum_VO2"/>
      <sheetName val="Sum_VIP_VO2"/>
      <sheetName val="SAN_REDUCED_12"/>
      <sheetName val="S3_Architectural2"/>
      <sheetName val="Ratio_Quantities2"/>
      <sheetName val="Column_VE_(Coppper)2"/>
      <sheetName val="CORE_WALL_(GL_38-39_I-R)VE2"/>
      <sheetName val="CORE_WALL_(GL_14-19_I-R)VE2"/>
      <sheetName val="CORE_WALL_(GL_27-28_C-F)VE2"/>
      <sheetName val="CORE_WALL_(GL_53-54_J)VE2"/>
      <sheetName val="CORE_WALL_(GL_56-57_J-P)VE2"/>
      <sheetName val="CORE_WALL_(GL_33_C-L)VE2"/>
      <sheetName val="RC_Wall2"/>
      <sheetName val="Struc__Steel2"/>
      <sheetName val="Std_RC_Wall2"/>
      <sheetName val="Std__Column_2"/>
      <sheetName val="Struc_Check_Table_อาคาร_12"/>
      <sheetName val="ข้อมูลประตู_T12"/>
      <sheetName val="ข้อมูลหน้าต่าง_T12"/>
      <sheetName val="ข้อมูลหน้าต่าง_T32"/>
      <sheetName val="ข้อมูลประตู_T22"/>
      <sheetName val="_FS2"/>
      <sheetName val="Sch_2_SN2"/>
      <sheetName val="Sch_3_FP2"/>
      <sheetName val="Sch_4_AC2"/>
      <sheetName val="Sch_6_Prelim2"/>
      <sheetName val="รายการ_VE2"/>
      <sheetName val="Type_A-12"/>
      <sheetName val="Type_A-1M2"/>
      <sheetName val="Type_B-12"/>
      <sheetName val="Type_C12"/>
      <sheetName val="Type_C-22"/>
      <sheetName val="Type_C-32"/>
      <sheetName val="Type_C-52"/>
      <sheetName val="Type_DP-52"/>
      <sheetName val="Type_LOFT-12"/>
      <sheetName val="Type_LOFT-2_2"/>
      <sheetName val="Type_LOFT-2M2"/>
      <sheetName val="Type_LOFT_32"/>
      <sheetName val="Type_LOFT-42"/>
      <sheetName val="Type_LOFT-52"/>
      <sheetName val="Type_LOFT-62"/>
      <sheetName val="Type_LOFT-72"/>
      <sheetName val="Type_PH-A2"/>
      <sheetName val="Type_PH-B2"/>
      <sheetName val="Type_PH-C2"/>
      <sheetName val="Type_PH-D2"/>
      <sheetName val="Type_PH-E2"/>
      <sheetName val="Sum_LAND2"/>
      <sheetName val="SUM_M&amp;E2"/>
      <sheetName val="TOTAL_-BUILDING_E12"/>
      <sheetName val="SUM_-_MEP(E1)_2"/>
      <sheetName val="Air(E1_)2"/>
      <sheetName val="Fp(E1)___2"/>
      <sheetName val="SUMMARY_MEP2"/>
      <sheetName val="SUM_-_MEP_BUILDING2"/>
      <sheetName val="Electrical_System_2"/>
      <sheetName val="Commuication_System2"/>
      <sheetName val="Air_Conditioning__System__2"/>
      <sheetName val="Sanitary_System_2"/>
      <sheetName val="Fire_Protection_System_2"/>
      <sheetName val="ปี_25622"/>
      <sheetName val="Data_Sheet2"/>
      <sheetName val="EST-FOOTING_(G)2"/>
      <sheetName val="Cost_per_SQM_M&amp;E2"/>
      <sheetName val="KKC_Brkdwn2"/>
      <sheetName val="Factor_F_Data2"/>
      <sheetName val="Grand_Summary_(_Variation)2"/>
      <sheetName val="ST_work_con_M2"/>
      <sheetName val="ST_work_con_carpark2"/>
      <sheetName val="ST_work_M2"/>
      <sheetName val="ST_work_Facad(M)_2"/>
      <sheetName val="ST_work_carpark2"/>
      <sheetName val="back_up_arc_Car_Park2"/>
      <sheetName val="backup_str_carpark2"/>
      <sheetName val="back_up_arc__M2"/>
      <sheetName val="แยกงาน_ผนัง_พื้น_ฝ้า_สี2"/>
      <sheetName val="Grand_SUMMARY_MEP_2"/>
      <sheetName val="แยกงาน_(2)2"/>
      <sheetName val="King_12"/>
      <sheetName val="Discounted_Cash_Flow2"/>
      <sheetName val="Garph_Work-Cost2"/>
      <sheetName val="10_ข้อมูลวัสดุ-ค่าดำเนิน2"/>
      <sheetName val="REF_ONLY22"/>
      <sheetName val="Fee_Rate_Summary2"/>
      <sheetName val="A1_22"/>
      <sheetName val="Bill_No__2_-_Carpark2"/>
      <sheetName val="แผนงาน_อบต_ท่าลาน(ส่งเทศบาล)2"/>
      <sheetName val="OR21_Final_Forecast_Rev_22"/>
      <sheetName val="Summary_Forecast_Budget_1&amp;22"/>
      <sheetName val="Summary_Forecast_Budget_Rev_22"/>
      <sheetName val="Backup_OR21_2"/>
      <sheetName val="BOQ__VI_03_09_19_2"/>
      <sheetName val="Backup_BR_BMA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IMP_OR21_2019_07_112"/>
      <sheetName val="detail_2"/>
      <sheetName val="Construction_cost_assumption2"/>
      <sheetName val="JLL_Assumption2"/>
      <sheetName val="Retail_Program&amp;Rev_Assumption2"/>
      <sheetName val="Car_2"/>
      <sheetName val="TDC_COA_Sumry2"/>
      <sheetName val="COA_Sumry_by_Area2"/>
      <sheetName val="COA_Sumry_by_Contr2"/>
      <sheetName val="COA_Sumry_by_RG2"/>
      <sheetName val="TDC_COA_Grp_Sumry2"/>
      <sheetName val="TDC_Item_Dets-Full2"/>
      <sheetName val="TDC_Item_Dets-IPM-Full2"/>
      <sheetName val="TDC_Item_Dets2"/>
      <sheetName val="TDC_Item_Sumry2"/>
      <sheetName val="TDC_Key_Qty_Sumry2"/>
      <sheetName val="List_-_Components2"/>
      <sheetName val="List_-_Equipment2"/>
      <sheetName val="Project_Metrics2"/>
      <sheetName val="COA_Sumry_-_Std_Imp2"/>
      <sheetName val="Contr_TDC_-_Std_Imp2"/>
      <sheetName val="Item_Sumry_-_Std_Imp2"/>
      <sheetName val="Proj_TIC_-_Std_Imp2"/>
      <sheetName val="Unit_Costs_-_Std_Imp2"/>
      <sheetName val="Unit_MH_-_Std_Imp2"/>
      <sheetName val="back_up_FL_42"/>
      <sheetName val="BOX_Cryostat_Details2"/>
      <sheetName val="Driver_Linac_Layout2"/>
      <sheetName val="Magnet_Details2"/>
      <sheetName val="ทำนบดิน_42"/>
      <sheetName val="Purchase_Order2"/>
      <sheetName val="Customize_Your_Purchase_Order2"/>
      <sheetName val="summary sn fp"/>
      <sheetName val="A.O.R."/>
      <sheetName val="SH-G"/>
      <sheetName val="Spread"/>
      <sheetName val="3-145 input plan"/>
      <sheetName val="36.rc. pipe(2หน้า)"/>
      <sheetName val="SCHEDULE_6"/>
      <sheetName val="SCHEDULE_4"/>
      <sheetName val="cover"/>
      <sheetName val="หน้าปกล่าสุด"/>
      <sheetName val="ราคารวม"/>
      <sheetName val="รื้อถอน"/>
      <sheetName val="หน้าปกล่าสุด (2)"/>
      <sheetName val="Cover (2)"/>
      <sheetName val="งานตกแต่งภายใน (ตัดSCOPE)"/>
      <sheetName val="หมวดงานสถาปัตยกรรม (พาส)ต้นฉบับ"/>
      <sheetName val="หมวดงานตกแต่งภายใน(พาส)ต้นฉบับ"/>
      <sheetName val="หมวดงานสถาปัตยกรรม(ต้นฉบับ)"/>
      <sheetName val="หมวดงานตกแต่งภายใน(ต้นฉบับ)"/>
      <sheetName val="EE "/>
      <sheetName val="AC (2)"/>
      <sheetName val="ประมาณการประตูหน้าต่าง "/>
      <sheetName val="bill 2"/>
      <sheetName val="입찰내역 발주처 양식"/>
      <sheetName val="D"/>
      <sheetName val="analysis"/>
      <sheetName val="2_Building"/>
      <sheetName val="_____x0"/>
      <sheetName val="2_Ar"/>
      <sheetName val="Executive Summary_Buil"/>
      <sheetName val="SH-B"/>
      <sheetName val="SH-D"/>
      <sheetName val="SH-C"/>
      <sheetName val="CA"/>
      <sheetName val="Actual-Main"/>
      <sheetName val="Category List"/>
      <sheetName val="5a. Code_E"/>
      <sheetName val="price per model"/>
      <sheetName val="SH-A"/>
      <sheetName val="SH-E"/>
      <sheetName val="SH-F"/>
      <sheetName val="exf"/>
      <sheetName val="List"/>
      <sheetName val="book 1 summary"/>
      <sheetName val="construction cost summary"/>
      <sheetName val="sum 1-4"/>
      <sheetName val="A_DW"/>
      <sheetName val="rate"/>
      <sheetName val="Fill-up"/>
      <sheetName val="Factor_F_งาน_DB_"/>
      <sheetName val="Site_OH-Main_Construction"/>
      <sheetName val="Site_OH-HMA"/>
      <sheetName val="Para_Slurry_Seal"/>
      <sheetName val="Agg__for_Para_Type_III"/>
      <sheetName val="Agg__for_Para_TypeIII_Haulage"/>
      <sheetName val="Tack_Coat-16+400A,B"/>
      <sheetName val="Earth_Excavation"/>
      <sheetName val="B1_Selected_Mat"/>
      <sheetName val="B1_CTB_In-Plant"/>
      <sheetName val="Tack_Coat-17+100B"/>
      <sheetName val="Milling_5cm-ทางลงเชียงราก"/>
      <sheetName val="Tack_Coat-ทางลงเชียงราก"/>
      <sheetName val="Toll_Fee"/>
      <sheetName val="Traffic_Management"/>
      <sheetName val="ตกแต่ง-อาคาร_A"/>
      <sheetName val="ตกแต่ง-อาคาร_B"/>
      <sheetName val="ตกแต่ง-อาคาร_C"/>
      <sheetName val="ตกแต่ง-อาคาร_E"/>
      <sheetName val="@ñCe?0`"/>
      <sheetName val="封面_8"/>
      <sheetName val="SUMMERY_(BOQ)7"/>
      <sheetName val="FIRST_FLOOR7"/>
      <sheetName val="SECOND_FLOOR7"/>
      <sheetName val="3RD_FLOOR7"/>
      <sheetName val="4_TH_FLOOR7"/>
      <sheetName val="1ST-4TH_DOOR_WORK7"/>
      <sheetName val="1ST-4TH_MAIL&amp;FEMALE_TOILET7"/>
      <sheetName val="5THFLOOR_LIFT_LOBBY&amp;CORRIDOR7"/>
      <sheetName val="Back_Up7"/>
      <sheetName val="Concrete_Beam7"/>
      <sheetName val="ส่งมอบงาน_3"/>
      <sheetName val="Grand_Summary_(2)3"/>
      <sheetName val="Grand_Summary_3"/>
      <sheetName val="_BOQ_WELCOME_3"/>
      <sheetName val="Grand_Sum_VO3"/>
      <sheetName val="Sum_VIP_VO3"/>
      <sheetName val="Ratio_Quantities3"/>
      <sheetName val="Column_VE_(Coppper)3"/>
      <sheetName val="CORE_WALL_(GL_38-39_I-R)VE3"/>
      <sheetName val="CORE_WALL_(GL_14-19_I-R)VE3"/>
      <sheetName val="CORE_WALL_(GL_27-28_C-F)VE3"/>
      <sheetName val="CORE_WALL_(GL_53-54_J)VE3"/>
      <sheetName val="CORE_WALL_(GL_56-57_J-P)VE3"/>
      <sheetName val="CORE_WALL_(GL_33_C-L)VE3"/>
      <sheetName val="RC_Wall3"/>
      <sheetName val="Struc__Steel3"/>
      <sheetName val="Std_RC_Wall3"/>
      <sheetName val="Std__Column_3"/>
      <sheetName val="Struc_Check_Table_อาคาร_13"/>
      <sheetName val="SAN_REDUCED_13"/>
      <sheetName val="S3_Architectural3"/>
      <sheetName val="TOTAL_-BUILDING_E13"/>
      <sheetName val="SUM_-_MEP(E1)_3"/>
      <sheetName val="Air(E1_)3"/>
      <sheetName val="Fp(E1)___3"/>
      <sheetName val="SUMMARY_MEP3"/>
      <sheetName val="SUM_-_MEP_BUILDING3"/>
      <sheetName val="Electrical_System_3"/>
      <sheetName val="Commuication_System3"/>
      <sheetName val="Air_Conditioning__System__3"/>
      <sheetName val="Sanitary_System_3"/>
      <sheetName val="Fire_Protection_System_3"/>
      <sheetName val="ข้อมูลประตู_T13"/>
      <sheetName val="ข้อมูลหน้าต่าง_T13"/>
      <sheetName val="_FS3"/>
      <sheetName val="Sch_2_SN3"/>
      <sheetName val="Sch_3_FP3"/>
      <sheetName val="Sch_4_AC3"/>
      <sheetName val="Sch_6_Prelim3"/>
      <sheetName val="EST-FOOTING_(G)3"/>
      <sheetName val="Data_Sheet3"/>
      <sheetName val="ข้อมูลหน้าต่าง_T33"/>
      <sheetName val="ข้อมูลประตู_T23"/>
      <sheetName val="Cost_per_SQM_M&amp;E3"/>
      <sheetName val="ปี_25623"/>
      <sheetName val="Garph_Work-Cost3"/>
      <sheetName val="bk_unit_rate"/>
      <sheetName val="สรุปราคา_(EMC)"/>
      <sheetName val="Status_Budget"/>
      <sheetName val="11_ข้อมูลงานCon"/>
      <sheetName val="12_ข้อมูลงานไม้แบบ"/>
      <sheetName val="MS_Box"/>
      <sheetName val="MOLP_C"/>
      <sheetName val="Sch_2"/>
      <sheetName val="Attach1(สรุปรวม)_"/>
      <sheetName val="Attach2(BOQ_Detail)_"/>
      <sheetName val="Attach3(Measurement)_(Topping)"/>
      <sheetName val="Attach3(Measurement)_(FL_FINISH"/>
      <sheetName val="Attach3(Check_Sheet)"/>
      <sheetName val="_(FL_Finis)"/>
      <sheetName val="basic_rate"/>
      <sheetName val="bp_bill-mark"/>
      <sheetName val="Cost Data"/>
      <sheetName val="Discount"/>
      <sheetName val="ทดห้องพัก"/>
      <sheetName val="GR55-2395"/>
      <sheetName val="profit_budget"/>
      <sheetName val="JPN-Salary"/>
      <sheetName val="ExcRate"/>
      <sheetName val="GR55-2377"/>
      <sheetName val="封面_9"/>
      <sheetName val="SUMMERY_(BOQ)8"/>
      <sheetName val="FIRST_FLOOR8"/>
      <sheetName val="SECOND_FLOOR8"/>
      <sheetName val="3RD_FLOOR8"/>
      <sheetName val="4_TH_FLOOR8"/>
      <sheetName val="1ST-4TH_DOOR_WORK8"/>
      <sheetName val="1ST-4TH_MAIL&amp;FEMALE_TOILET8"/>
      <sheetName val="5THFLOOR_LIFT_LOBBY&amp;CORRIDOR8"/>
      <sheetName val="Back_Up8"/>
      <sheetName val="Concrete_Beam8"/>
      <sheetName val="S3_Architectural4"/>
      <sheetName val="ส่งมอบงาน_4"/>
      <sheetName val="Grand_Summary_(2)4"/>
      <sheetName val="Grand_Summary_4"/>
      <sheetName val="_BOQ_WELCOME_4"/>
      <sheetName val="Grand_Sum_VO4"/>
      <sheetName val="Sum_VIP_VO4"/>
      <sheetName val="SAN_REDUCED_14"/>
      <sheetName val="Ratio_Quantities4"/>
      <sheetName val="Column_VE_(Coppper)4"/>
      <sheetName val="CORE_WALL_(GL_38-39_I-R)VE4"/>
      <sheetName val="CORE_WALL_(GL_14-19_I-R)VE4"/>
      <sheetName val="CORE_WALL_(GL_27-28_C-F)VE4"/>
      <sheetName val="CORE_WALL_(GL_53-54_J)VE4"/>
      <sheetName val="CORE_WALL_(GL_56-57_J-P)VE4"/>
      <sheetName val="CORE_WALL_(GL_33_C-L)VE4"/>
      <sheetName val="RC_Wall4"/>
      <sheetName val="Struc__Steel4"/>
      <sheetName val="Std_RC_Wall4"/>
      <sheetName val="Std__Column_4"/>
      <sheetName val="Struc_Check_Table_อาคาร_14"/>
      <sheetName val="_FS4"/>
      <sheetName val="Sch_2_SN4"/>
      <sheetName val="Sch_3_FP4"/>
      <sheetName val="Sch_4_AC4"/>
      <sheetName val="Sch_6_Prelim4"/>
      <sheetName val="ข้อมูลประตู_T14"/>
      <sheetName val="ข้อมูลหน้าต่าง_T14"/>
      <sheetName val="ข้อมูลหน้าต่าง_T34"/>
      <sheetName val="ข้อมูลประตู_T24"/>
      <sheetName val="Data_Sheet4"/>
      <sheetName val="EST-FOOTING_(G)4"/>
      <sheetName val="封面_10"/>
      <sheetName val="SUMMERY_(BOQ)9"/>
      <sheetName val="FIRST_FLOOR9"/>
      <sheetName val="SECOND_FLOOR9"/>
      <sheetName val="3RD_FLOOR9"/>
      <sheetName val="4_TH_FLOOR9"/>
      <sheetName val="1ST-4TH_DOOR_WORK9"/>
      <sheetName val="1ST-4TH_MAIL&amp;FEMALE_TOILET9"/>
      <sheetName val="5THFLOOR_LIFT_LOBBY&amp;CORRIDOR9"/>
      <sheetName val="Back_Up9"/>
      <sheetName val="Concrete_Beam9"/>
      <sheetName val="S3_Architectural5"/>
      <sheetName val="ส่งมอบงาน_5"/>
      <sheetName val="Grand_Summary_(2)5"/>
      <sheetName val="Grand_Summary_5"/>
      <sheetName val="_BOQ_WELCOME_5"/>
      <sheetName val="Grand_Sum_VO5"/>
      <sheetName val="Sum_VIP_VO5"/>
      <sheetName val="SAN_REDUCED_15"/>
      <sheetName val="Ratio_Quantities5"/>
      <sheetName val="Column_VE_(Coppper)5"/>
      <sheetName val="CORE_WALL_(GL_38-39_I-R)VE5"/>
      <sheetName val="CORE_WALL_(GL_14-19_I-R)VE5"/>
      <sheetName val="CORE_WALL_(GL_27-28_C-F)VE5"/>
      <sheetName val="CORE_WALL_(GL_53-54_J)VE5"/>
      <sheetName val="CORE_WALL_(GL_56-57_J-P)VE5"/>
      <sheetName val="CORE_WALL_(GL_33_C-L)VE5"/>
      <sheetName val="RC_Wall5"/>
      <sheetName val="Struc__Steel5"/>
      <sheetName val="Std_RC_Wall5"/>
      <sheetName val="Std__Column_5"/>
      <sheetName val="Struc_Check_Table_อาคาร_15"/>
      <sheetName val="_FS5"/>
      <sheetName val="Sch_2_SN5"/>
      <sheetName val="Sch_3_FP5"/>
      <sheetName val="Sch_4_AC5"/>
      <sheetName val="Sch_6_Prelim5"/>
      <sheetName val="ข้อมูลประตู_T15"/>
      <sheetName val="ข้อมูลหน้าต่าง_T15"/>
      <sheetName val="ข้อมูลหน้าต่าง_T35"/>
      <sheetName val="ข้อมูลประตู_T25"/>
      <sheetName val="Data_Sheet5"/>
      <sheetName val="EST-FOOTING_(G)5"/>
      <sheetName val="封面_11"/>
      <sheetName val="SUMMERY_(BOQ)10"/>
      <sheetName val="liste"/>
      <sheetName val="Totals"/>
      <sheetName val="FInput"/>
      <sheetName val="area converter"/>
      <sheetName val="?????@_x001c__x0014_?????_x0002"/>
      <sheetName val="Land Dev't. Ph-1"/>
      <sheetName val="8-31-98"/>
      <sheetName val="worksheet inchican"/>
      <sheetName val="combined 9-30"/>
      <sheetName val="UC"/>
      <sheetName val="COMPARATIVE SUMMARY"/>
      <sheetName val="BOQ (typ-accent)"/>
      <sheetName val="Backup Rev"/>
      <sheetName val="Ratios"/>
      <sheetName val="2a-Consol-RVOs"/>
      <sheetName val="3-CAPARS Log"/>
      <sheetName val="CashFlow"/>
      <sheetName val="Assumptions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Jan"/>
      <sheetName val="Feb"/>
      <sheetName val="Mar"/>
      <sheetName val="Apr"/>
      <sheetName val="May"/>
      <sheetName val="MD_R"/>
      <sheetName val="DMD Office"/>
      <sheetName val="ADMIN OFFICE (2)"/>
      <sheetName val="exec summary"/>
      <sheetName val="sensitivities"/>
      <sheetName val="Ratchada"/>
      <sheetName val="Option1"/>
      <sheetName val="YearlyCalendar"/>
      <sheetName val="data3"/>
      <sheetName val="Lookups"/>
      <sheetName val="Data"/>
      <sheetName val="LpC"/>
      <sheetName val="DETAIL"/>
      <sheetName val="   合同台账  "/>
      <sheetName val="INPUT"/>
      <sheetName val="@_x001c__x0014__x0002__x0011__x0014_ñCe?_x0001_0"/>
      <sheetName val="summary1-2"/>
      <sheetName val="summary1-3"/>
      <sheetName val="FlatBottomClarifier (Not used)"/>
      <sheetName val="FF-3"/>
      <sheetName val="Summary cal"/>
      <sheetName val="costs"/>
      <sheetName val="opstat"/>
      <sheetName val="calc_menu_déroulant"/>
      <sheetName val="F4-F7"/>
      <sheetName val="Lookup data"/>
      <sheetName val="MASTER"/>
      <sheetName val="ปี_25625"/>
      <sheetName val="Cost_per_SQM_M&amp;E5"/>
      <sheetName val="TOTAL_-BUILDING_E15"/>
      <sheetName val="SUM_-_MEP(E1)_5"/>
      <sheetName val="Air(E1_)5"/>
      <sheetName val="Fp(E1)___5"/>
      <sheetName val="SUMMARY_MEP5"/>
      <sheetName val="SUM_-_MEP_BUILDING5"/>
      <sheetName val="Electrical_System_5"/>
      <sheetName val="Commuication_System5"/>
      <sheetName val="Air_Conditioning__System__5"/>
      <sheetName val="Sanitary_System_5"/>
      <sheetName val="Fire_Protection_System_5"/>
      <sheetName val="KKC_Brkdwn5"/>
      <sheetName val="Factor_F_Data5"/>
      <sheetName val="Grand_Summary_(_Variation)5"/>
      <sheetName val="ST_work_con_M5"/>
      <sheetName val="ST_work_con_carpark5"/>
      <sheetName val="ST_work_M5"/>
      <sheetName val="ST_work_Facad(M)_5"/>
      <sheetName val="ST_work_carpark5"/>
      <sheetName val="back_up_arc_Car_Park5"/>
      <sheetName val="backup_str_carpark5"/>
      <sheetName val="back_up_arc__M5"/>
      <sheetName val="แยกงาน_ผนัง_พื้น_ฝ้า_สี5"/>
      <sheetName val="Grand_SUMMARY_MEP_5"/>
      <sheetName val="แยกงาน_(2)5"/>
      <sheetName val="รายการ_VE5"/>
      <sheetName val="Type_A-15"/>
      <sheetName val="Type_A-1M5"/>
      <sheetName val="Type_B-15"/>
      <sheetName val="Type_C15"/>
      <sheetName val="Type_C-25"/>
      <sheetName val="Type_C-35"/>
      <sheetName val="Type_C-55"/>
      <sheetName val="Type_DP-55"/>
      <sheetName val="Type_LOFT-15"/>
      <sheetName val="Type_LOFT-2_5"/>
      <sheetName val="Type_LOFT-2M5"/>
      <sheetName val="Type_LOFT_35"/>
      <sheetName val="Type_LOFT-45"/>
      <sheetName val="Type_LOFT-55"/>
      <sheetName val="Type_LOFT-65"/>
      <sheetName val="Type_LOFT-75"/>
      <sheetName val="Type_PH-A5"/>
      <sheetName val="Type_PH-B5"/>
      <sheetName val="Type_PH-C5"/>
      <sheetName val="Type_PH-D5"/>
      <sheetName val="Type_PH-E5"/>
      <sheetName val="Sum_LAND5"/>
      <sheetName val="SUM_M&amp;E5"/>
      <sheetName val="Garph_Work-Cost5"/>
      <sheetName val="Discounted_Cash_Flow5"/>
      <sheetName val="King_15"/>
      <sheetName val="Fee_Rate_Summary5"/>
      <sheetName val="10_ข้อมูลวัสดุ-ค่าดำเนิน5"/>
      <sheetName val="REF_ONLY25"/>
      <sheetName val="A1_25"/>
      <sheetName val="Bill_No__2_-_Carpark5"/>
      <sheetName val="แผนงาน_อบต_ท่าลาน(ส่งเทศบาล)5"/>
      <sheetName val="detail_5"/>
      <sheetName val="OR21_Final_Forecast_Rev_25"/>
      <sheetName val="Summary_Forecast_Budget_1&amp;25"/>
      <sheetName val="Summary_Forecast_Budget_Rev_25"/>
      <sheetName val="Backup_OR21_5"/>
      <sheetName val="BOQ__VI_03_09_19_5"/>
      <sheetName val="Backup_BR_BMA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IMP_OR21_2019_07_115"/>
      <sheetName val="back_up_FL_45"/>
      <sheetName val="Car_5"/>
      <sheetName val="TDC_COA_Sumry5"/>
      <sheetName val="COA_Sumry_by_Area5"/>
      <sheetName val="COA_Sumry_by_Contr5"/>
      <sheetName val="COA_Sumry_by_RG5"/>
      <sheetName val="TDC_COA_Grp_Sumry5"/>
      <sheetName val="TDC_Item_Dets-Full5"/>
      <sheetName val="TDC_Item_Dets-IPM-Full5"/>
      <sheetName val="TDC_Item_Dets5"/>
      <sheetName val="TDC_Item_Sumry5"/>
      <sheetName val="TDC_Key_Qty_Sumry5"/>
      <sheetName val="List_-_Components5"/>
      <sheetName val="List_-_Equipment5"/>
      <sheetName val="Project_Metrics5"/>
      <sheetName val="COA_Sumry_-_Std_Imp5"/>
      <sheetName val="Contr_TDC_-_Std_Imp5"/>
      <sheetName val="Item_Sumry_-_Std_Imp5"/>
      <sheetName val="Proj_TIC_-_Std_Imp5"/>
      <sheetName val="Unit_Costs_-_Std_Imp5"/>
      <sheetName val="Unit_MH_-_Std_Imp5"/>
      <sheetName val="Construction_cost_assumption5"/>
      <sheetName val="JLL_Assumption5"/>
      <sheetName val="Retail_Program&amp;Rev_Assumption5"/>
      <sheetName val="BOX_Cryostat_Details5"/>
      <sheetName val="Driver_Linac_Layout5"/>
      <sheetName val="Magnet_Details5"/>
      <sheetName val="Factor_F_งาน_DB_2"/>
      <sheetName val="Site_OH-Main_Construction2"/>
      <sheetName val="Site_OH-HMA2"/>
      <sheetName val="Para_Slurry_Seal2"/>
      <sheetName val="Agg__for_Para_Type_III2"/>
      <sheetName val="Agg__for_Para_TypeIII_Haulage2"/>
      <sheetName val="Tack_Coat-16+400A,B2"/>
      <sheetName val="Earth_Excavation2"/>
      <sheetName val="B1_Selected_Mat2"/>
      <sheetName val="B1_CTB_In-Plant2"/>
      <sheetName val="Tack_Coat-17+100B2"/>
      <sheetName val="Milling_5cm-ทางลงเชียงราก2"/>
      <sheetName val="Tack_Coat-ทางลงเชียงราก2"/>
      <sheetName val="Toll_Fee2"/>
      <sheetName val="Traffic_Management2"/>
      <sheetName val="ทำนบดิน_45"/>
      <sheetName val="Purchase_Order5"/>
      <sheetName val="Customize_Your_Purchase_Order5"/>
      <sheetName val="Attach1(สรุปรวม)_2"/>
      <sheetName val="Attach2(BOQ_Detail)_2"/>
      <sheetName val="Attach3(Measurement)_(Topping)2"/>
      <sheetName val="Attach3(Measurement)_(FL_FINIS2"/>
      <sheetName val="Attach3(Check_Sheet)2"/>
      <sheetName val="_(FL_Finis)2"/>
      <sheetName val="11_ข้อมูลงานCon2"/>
      <sheetName val="12_ข้อมูลงานไม้แบบ2"/>
      <sheetName val="bp_bill-mark2"/>
      <sheetName val="ตกแต่ง-อาคาร_A2"/>
      <sheetName val="ตกแต่ง-อาคาร_B2"/>
      <sheetName val="ตกแต่ง-อาคาร_C2"/>
      <sheetName val="ตกแต่ง-อาคาร_E2"/>
      <sheetName val="basic_rate2"/>
      <sheetName val="bk_unit_rate2"/>
      <sheetName val="3-145_input_plan2"/>
      <sheetName val="Sch_22"/>
      <sheetName val="PRICE_LIST2"/>
      <sheetName val="MS_Box2"/>
      <sheetName val="MOLP_C2"/>
      <sheetName val="36_rc__pipe(2หน้า)2"/>
      <sheetName val="KKC_Brkdwn3"/>
      <sheetName val="Factor_F_Data3"/>
      <sheetName val="Grand_Summary_(_Variation)3"/>
      <sheetName val="ST_work_con_M3"/>
      <sheetName val="ST_work_con_carpark3"/>
      <sheetName val="ST_work_M3"/>
      <sheetName val="ST_work_Facad(M)_3"/>
      <sheetName val="ST_work_carpark3"/>
      <sheetName val="back_up_arc_Car_Park3"/>
      <sheetName val="backup_str_carpark3"/>
      <sheetName val="back_up_arc__M3"/>
      <sheetName val="แยกงาน_ผนัง_พื้น_ฝ้า_สี3"/>
      <sheetName val="Grand_SUMMARY_MEP_3"/>
      <sheetName val="แยกงาน_(2)3"/>
      <sheetName val="รายการ_VE3"/>
      <sheetName val="Type_A-13"/>
      <sheetName val="Type_A-1M3"/>
      <sheetName val="Type_B-13"/>
      <sheetName val="Type_C13"/>
      <sheetName val="Type_C-23"/>
      <sheetName val="Type_C-33"/>
      <sheetName val="Type_C-53"/>
      <sheetName val="Type_DP-53"/>
      <sheetName val="Type_LOFT-13"/>
      <sheetName val="Type_LOFT-2_3"/>
      <sheetName val="Type_LOFT-2M3"/>
      <sheetName val="Type_LOFT_33"/>
      <sheetName val="Type_LOFT-43"/>
      <sheetName val="Type_LOFT-53"/>
      <sheetName val="Type_LOFT-63"/>
      <sheetName val="Type_LOFT-73"/>
      <sheetName val="Type_PH-A3"/>
      <sheetName val="Type_PH-B3"/>
      <sheetName val="Type_PH-C3"/>
      <sheetName val="Type_PH-D3"/>
      <sheetName val="Type_PH-E3"/>
      <sheetName val="Sum_LAND3"/>
      <sheetName val="SUM_M&amp;E3"/>
      <sheetName val="Discounted_Cash_Flow3"/>
      <sheetName val="King_13"/>
      <sheetName val="Fee_Rate_Summary3"/>
      <sheetName val="10_ข้อมูลวัสดุ-ค่าดำเนิน3"/>
      <sheetName val="REF_ONLY23"/>
      <sheetName val="A1_23"/>
      <sheetName val="Bill_No__2_-_Carpark3"/>
      <sheetName val="แผนงาน_อบต_ท่าลาน(ส่งเทศบาล)3"/>
      <sheetName val="detail_3"/>
      <sheetName val="OR21_Final_Forecast_Rev_23"/>
      <sheetName val="Summary_Forecast_Budget_1&amp;23"/>
      <sheetName val="Summary_Forecast_Budget_Rev_23"/>
      <sheetName val="Backup_OR21_3"/>
      <sheetName val="BOQ__VI_03_09_19_3"/>
      <sheetName val="Backup_BR_BMA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IMP_OR21_2019_07_113"/>
      <sheetName val="back_up_FL_43"/>
      <sheetName val="Car_3"/>
      <sheetName val="TDC_COA_Sumry3"/>
      <sheetName val="COA_Sumry_by_Area3"/>
      <sheetName val="COA_Sumry_by_Contr3"/>
      <sheetName val="COA_Sumry_by_RG3"/>
      <sheetName val="TDC_COA_Grp_Sumry3"/>
      <sheetName val="TDC_Item_Dets-Full3"/>
      <sheetName val="TDC_Item_Dets-IPM-Full3"/>
      <sheetName val="TDC_Item_Dets3"/>
      <sheetName val="TDC_Item_Sumry3"/>
      <sheetName val="TDC_Key_Qty_Sumry3"/>
      <sheetName val="List_-_Components3"/>
      <sheetName val="List_-_Equipment3"/>
      <sheetName val="Project_Metrics3"/>
      <sheetName val="COA_Sumry_-_Std_Imp3"/>
      <sheetName val="Contr_TDC_-_Std_Imp3"/>
      <sheetName val="Item_Sumry_-_Std_Imp3"/>
      <sheetName val="Proj_TIC_-_Std_Imp3"/>
      <sheetName val="Unit_Costs_-_Std_Imp3"/>
      <sheetName val="Unit_MH_-_Std_Imp3"/>
      <sheetName val="Construction_cost_assumption3"/>
      <sheetName val="JLL_Assumption3"/>
      <sheetName val="Retail_Program&amp;Rev_Assumption3"/>
      <sheetName val="BOX_Cryostat_Details3"/>
      <sheetName val="Driver_Linac_Layout3"/>
      <sheetName val="Magnet_Details3"/>
      <sheetName val="ทำนบดิน_43"/>
      <sheetName val="Purchase_Order3"/>
      <sheetName val="Customize_Your_Purchase_Order3"/>
      <sheetName val="3-145_input_plan"/>
      <sheetName val="PRICE_LIST"/>
      <sheetName val="36_rc__pipe(2หน้า)"/>
      <sheetName val="ปี_25624"/>
      <sheetName val="Cost_per_SQM_M&amp;E4"/>
      <sheetName val="TOTAL_-BUILDING_E14"/>
      <sheetName val="SUM_-_MEP(E1)_4"/>
      <sheetName val="Air(E1_)4"/>
      <sheetName val="Fp(E1)___4"/>
      <sheetName val="SUMMARY_MEP4"/>
      <sheetName val="SUM_-_MEP_BUILDING4"/>
      <sheetName val="Electrical_System_4"/>
      <sheetName val="Commuication_System4"/>
      <sheetName val="Air_Conditioning__System__4"/>
      <sheetName val="Sanitary_System_4"/>
      <sheetName val="Fire_Protection_System_4"/>
      <sheetName val="KKC_Brkdwn4"/>
      <sheetName val="Factor_F_Data4"/>
      <sheetName val="Grand_Summary_(_Variation)4"/>
      <sheetName val="ST_work_con_M4"/>
      <sheetName val="ST_work_con_carpark4"/>
      <sheetName val="ST_work_M4"/>
      <sheetName val="ST_work_Facad(M)_4"/>
      <sheetName val="ST_work_carpark4"/>
      <sheetName val="back_up_arc_Car_Park4"/>
      <sheetName val="backup_str_carpark4"/>
      <sheetName val="back_up_arc__M4"/>
      <sheetName val="แยกงาน_ผนัง_พื้น_ฝ้า_สี4"/>
      <sheetName val="Grand_SUMMARY_MEP_4"/>
      <sheetName val="แยกงาน_(2)4"/>
      <sheetName val="รายการ_VE4"/>
      <sheetName val="Type_A-14"/>
      <sheetName val="Type_A-1M4"/>
      <sheetName val="Type_B-14"/>
      <sheetName val="Type_C14"/>
      <sheetName val="Type_C-24"/>
      <sheetName val="Type_C-34"/>
      <sheetName val="Type_C-54"/>
      <sheetName val="Type_DP-54"/>
      <sheetName val="Type_LOFT-14"/>
      <sheetName val="Type_LOFT-2_4"/>
      <sheetName val="Type_LOFT-2M4"/>
      <sheetName val="Type_LOFT_34"/>
      <sheetName val="Type_LOFT-44"/>
      <sheetName val="Type_LOFT-54"/>
      <sheetName val="Type_LOFT-64"/>
      <sheetName val="Type_LOFT-74"/>
      <sheetName val="Type_PH-A4"/>
      <sheetName val="Type_PH-B4"/>
      <sheetName val="Type_PH-C4"/>
      <sheetName val="Type_PH-D4"/>
      <sheetName val="Type_PH-E4"/>
      <sheetName val="Sum_LAND4"/>
      <sheetName val="SUM_M&amp;E4"/>
      <sheetName val="Garph_Work-Cost4"/>
      <sheetName val="Discounted_Cash_Flow4"/>
      <sheetName val="King_14"/>
      <sheetName val="Fee_Rate_Summary4"/>
      <sheetName val="10_ข้อมูลวัสดุ-ค่าดำเนิน4"/>
      <sheetName val="REF_ONLY24"/>
      <sheetName val="A1_24"/>
      <sheetName val="Bill_No__2_-_Carpark4"/>
      <sheetName val="แผนงาน_อบต_ท่าลาน(ส่งเทศบาล)4"/>
      <sheetName val="detail_4"/>
      <sheetName val="OR21_Final_Forecast_Rev_24"/>
      <sheetName val="Summary_Forecast_Budget_1&amp;24"/>
      <sheetName val="Summary_Forecast_Budget_Rev_24"/>
      <sheetName val="Backup_OR21_4"/>
      <sheetName val="BOQ__VI_03_09_19_4"/>
      <sheetName val="Backup_BR_BMA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IMP_OR21_2019_07_114"/>
      <sheetName val="back_up_FL_44"/>
      <sheetName val="Car_4"/>
      <sheetName val="TDC_COA_Sumry4"/>
      <sheetName val="COA_Sumry_by_Area4"/>
      <sheetName val="COA_Sumry_by_Contr4"/>
      <sheetName val="COA_Sumry_by_RG4"/>
      <sheetName val="TDC_COA_Grp_Sumry4"/>
      <sheetName val="TDC_Item_Dets-Full4"/>
      <sheetName val="TDC_Item_Dets-IPM-Full4"/>
      <sheetName val="TDC_Item_Dets4"/>
      <sheetName val="TDC_Item_Sumry4"/>
      <sheetName val="TDC_Key_Qty_Sumry4"/>
      <sheetName val="List_-_Components4"/>
      <sheetName val="List_-_Equipment4"/>
      <sheetName val="Project_Metrics4"/>
      <sheetName val="COA_Sumry_-_Std_Imp4"/>
      <sheetName val="Contr_TDC_-_Std_Imp4"/>
      <sheetName val="Item_Sumry_-_Std_Imp4"/>
      <sheetName val="Proj_TIC_-_Std_Imp4"/>
      <sheetName val="Unit_Costs_-_Std_Imp4"/>
      <sheetName val="Unit_MH_-_Std_Imp4"/>
      <sheetName val="Construction_cost_assumption4"/>
      <sheetName val="JLL_Assumption4"/>
      <sheetName val="Retail_Program&amp;Rev_Assumption4"/>
      <sheetName val="BOX_Cryostat_Details4"/>
      <sheetName val="Driver_Linac_Layout4"/>
      <sheetName val="Magnet_Details4"/>
      <sheetName val="Factor_F_งาน_DB_1"/>
      <sheetName val="Site_OH-Main_Construction1"/>
      <sheetName val="Site_OH-HMA1"/>
      <sheetName val="Para_Slurry_Seal1"/>
      <sheetName val="Agg__for_Para_Type_III1"/>
      <sheetName val="Agg__for_Para_TypeIII_Haulage1"/>
      <sheetName val="Tack_Coat-16+400A,B1"/>
      <sheetName val="Earth_Excavation1"/>
      <sheetName val="B1_Selected_Mat1"/>
      <sheetName val="B1_CTB_In-Plant1"/>
      <sheetName val="Tack_Coat-17+100B1"/>
      <sheetName val="Milling_5cm-ทางลงเชียงราก1"/>
      <sheetName val="Tack_Coat-ทางลงเชียงราก1"/>
      <sheetName val="Toll_Fee1"/>
      <sheetName val="Traffic_Management1"/>
      <sheetName val="ทำนบดิน_44"/>
      <sheetName val="Purchase_Order4"/>
      <sheetName val="Customize_Your_Purchase_Order4"/>
      <sheetName val="Attach1(สรุปรวม)_1"/>
      <sheetName val="Attach2(BOQ_Detail)_1"/>
      <sheetName val="Attach3(Measurement)_(Topping)1"/>
      <sheetName val="Attach3(Measurement)_(FL_FINIS1"/>
      <sheetName val="Attach3(Check_Sheet)1"/>
      <sheetName val="_(FL_Finis)1"/>
      <sheetName val="11_ข้อมูลงานCon1"/>
      <sheetName val="12_ข้อมูลงานไม้แบบ1"/>
      <sheetName val="bp_bill-mark1"/>
      <sheetName val="ตกแต่ง-อาคาร_A1"/>
      <sheetName val="ตกแต่ง-อาคาร_B1"/>
      <sheetName val="ตกแต่ง-อาคาร_C1"/>
      <sheetName val="ตกแต่ง-อาคาร_E1"/>
      <sheetName val="basic_rate1"/>
      <sheetName val="bk_unit_rate1"/>
      <sheetName val="3-145_input_plan1"/>
      <sheetName val="Sch_21"/>
      <sheetName val="PRICE_LIST1"/>
      <sheetName val="MS_Box1"/>
      <sheetName val="MOLP_C1"/>
      <sheetName val="36_rc__pipe(2หน้า)1"/>
      <sheetName val="FIRST_FLOOR10"/>
      <sheetName val="SECOND_FLOOR10"/>
      <sheetName val="3RD_FLOOR10"/>
      <sheetName val="4_TH_FLOOR10"/>
      <sheetName val="1ST-4TH_DOOR_WORK10"/>
      <sheetName val="1ST-4TH_MAIL&amp;FEMALE_TOILET10"/>
      <sheetName val="5THFLOOR_LIFT_LOBBY&amp;CORRIDOR10"/>
      <sheetName val="Back_Up10"/>
      <sheetName val="Concrete_Beam10"/>
      <sheetName val="ส่งมอบงาน_6"/>
      <sheetName val="Grand_Summary_(2)6"/>
      <sheetName val="Grand_Summary_6"/>
      <sheetName val="_BOQ_WELCOME_6"/>
      <sheetName val="Grand_Sum_VO6"/>
      <sheetName val="Sum_VIP_VO6"/>
      <sheetName val="SAN_REDUCED_16"/>
      <sheetName val="S3_Architectural6"/>
      <sheetName val="Ratio_Quantities6"/>
      <sheetName val="Column_VE_(Coppper)6"/>
      <sheetName val="CORE_WALL_(GL_38-39_I-R)VE6"/>
      <sheetName val="CORE_WALL_(GL_14-19_I-R)VE6"/>
      <sheetName val="CORE_WALL_(GL_27-28_C-F)VE6"/>
      <sheetName val="CORE_WALL_(GL_53-54_J)VE6"/>
      <sheetName val="CORE_WALL_(GL_56-57_J-P)VE6"/>
      <sheetName val="CORE_WALL_(GL_33_C-L)VE6"/>
      <sheetName val="RC_Wall6"/>
      <sheetName val="Struc__Steel6"/>
      <sheetName val="Std_RC_Wall6"/>
      <sheetName val="Std__Column_6"/>
      <sheetName val="Struc_Check_Table_อาคาร_16"/>
      <sheetName val="ข้อมูลประตู_T16"/>
      <sheetName val="ข้อมูลหน้าต่าง_T16"/>
      <sheetName val="ข้อมูลหน้าต่าง_T36"/>
      <sheetName val="ข้อมูลประตู_T26"/>
      <sheetName val="ปี_25626"/>
      <sheetName val="Data_Sheet6"/>
      <sheetName val="EST-FOOTING_(G)6"/>
      <sheetName val="Cost_per_SQM_M&amp;E6"/>
      <sheetName val="_FS6"/>
      <sheetName val="Sch_2_SN6"/>
      <sheetName val="Sch_3_FP6"/>
      <sheetName val="Sch_4_AC6"/>
      <sheetName val="Sch_6_Prelim6"/>
      <sheetName val="TOTAL_-BUILDING_E16"/>
      <sheetName val="SUM_-_MEP(E1)_6"/>
      <sheetName val="Air(E1_)6"/>
      <sheetName val="Fp(E1)___6"/>
      <sheetName val="SUMMARY_MEP6"/>
      <sheetName val="SUM_-_MEP_BUILDING6"/>
      <sheetName val="Electrical_System_6"/>
      <sheetName val="Commuication_System6"/>
      <sheetName val="Air_Conditioning__System__6"/>
      <sheetName val="Sanitary_System_6"/>
      <sheetName val="Fire_Protection_System_6"/>
      <sheetName val="รายการ_VE6"/>
      <sheetName val="Type_A-16"/>
      <sheetName val="Type_A-1M6"/>
      <sheetName val="Type_B-16"/>
      <sheetName val="Type_C16"/>
      <sheetName val="Type_C-26"/>
      <sheetName val="Type_C-36"/>
      <sheetName val="Type_C-56"/>
      <sheetName val="Type_DP-56"/>
      <sheetName val="Type_LOFT-16"/>
      <sheetName val="Type_LOFT-2_6"/>
      <sheetName val="Type_LOFT-2M6"/>
      <sheetName val="Type_LOFT_36"/>
      <sheetName val="Type_LOFT-46"/>
      <sheetName val="Type_LOFT-56"/>
      <sheetName val="Type_LOFT-66"/>
      <sheetName val="Type_LOFT-76"/>
      <sheetName val="Type_PH-A6"/>
      <sheetName val="Type_PH-B6"/>
      <sheetName val="Type_PH-C6"/>
      <sheetName val="Type_PH-D6"/>
      <sheetName val="Type_PH-E6"/>
      <sheetName val="Sum_LAND6"/>
      <sheetName val="SUM_M&amp;E6"/>
      <sheetName val="KKC_Brkdwn6"/>
      <sheetName val="Factor_F_Data6"/>
      <sheetName val="Grand_Summary_(_Variation)6"/>
      <sheetName val="ST_work_con_M6"/>
      <sheetName val="ST_work_con_carpark6"/>
      <sheetName val="ST_work_M6"/>
      <sheetName val="ST_work_Facad(M)_6"/>
      <sheetName val="ST_work_carpark6"/>
      <sheetName val="back_up_arc_Car_Park6"/>
      <sheetName val="backup_str_carpark6"/>
      <sheetName val="back_up_arc__M6"/>
      <sheetName val="แยกงาน_ผนัง_พื้น_ฝ้า_สี6"/>
      <sheetName val="Grand_SUMMARY_MEP_6"/>
      <sheetName val="แยกงาน_(2)6"/>
      <sheetName val="Discounted_Cash_Flow6"/>
      <sheetName val="แผนงาน_อบต_ท่าลาน(ส่งเทศบาล)6"/>
      <sheetName val="Bill_No__2_-_Carpark6"/>
      <sheetName val="Garph_Work-Cost6"/>
      <sheetName val="Fee_Rate_Summary6"/>
      <sheetName val="OR21_Final_Forecast_Rev_26"/>
      <sheetName val="Summary_Forecast_Budget_1&amp;26"/>
      <sheetName val="Summary_Forecast_Budget_Rev_26"/>
      <sheetName val="Backup_OR21_6"/>
      <sheetName val="BOQ__VI_03_09_19_6"/>
      <sheetName val="Backup_BR_BMA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IMP_OR21_2019_07_116"/>
      <sheetName val="10_ข้อมูลวัสดุ-ค่าดำเนิน6"/>
      <sheetName val="REF_ONLY26"/>
      <sheetName val="King_16"/>
      <sheetName val="A1_26"/>
      <sheetName val="detail_6"/>
      <sheetName val="Car_6"/>
      <sheetName val="TDC_COA_Sumry6"/>
      <sheetName val="COA_Sumry_by_Area6"/>
      <sheetName val="COA_Sumry_by_Contr6"/>
      <sheetName val="COA_Sumry_by_RG6"/>
      <sheetName val="TDC_COA_Grp_Sumry6"/>
      <sheetName val="TDC_Item_Dets-Full6"/>
      <sheetName val="TDC_Item_Dets-IPM-Full6"/>
      <sheetName val="TDC_Item_Dets6"/>
      <sheetName val="TDC_Item_Sumry6"/>
      <sheetName val="TDC_Key_Qty_Sumry6"/>
      <sheetName val="List_-_Components6"/>
      <sheetName val="List_-_Equipment6"/>
      <sheetName val="Project_Metrics6"/>
      <sheetName val="COA_Sumry_-_Std_Imp6"/>
      <sheetName val="Contr_TDC_-_Std_Imp6"/>
      <sheetName val="Item_Sumry_-_Std_Imp6"/>
      <sheetName val="Proj_TIC_-_Std_Imp6"/>
      <sheetName val="Unit_Costs_-_Std_Imp6"/>
      <sheetName val="Unit_MH_-_Std_Imp6"/>
      <sheetName val="Construction_cost_assumption6"/>
      <sheetName val="JLL_Assumption6"/>
      <sheetName val="Retail_Program&amp;Rev_Assumption6"/>
      <sheetName val="back_up_FL_46"/>
      <sheetName val="BOX_Cryostat_Details6"/>
      <sheetName val="Driver_Linac_Layout6"/>
      <sheetName val="Magnet_Details6"/>
      <sheetName val="Factor_F_งาน_DB_3"/>
      <sheetName val="Site_OH-Main_Construction3"/>
      <sheetName val="Site_OH-HMA3"/>
      <sheetName val="Para_Slurry_Seal3"/>
      <sheetName val="Agg__for_Para_Type_III3"/>
      <sheetName val="Agg__for_Para_TypeIII_Haulage3"/>
      <sheetName val="Tack_Coat-16+400A,B3"/>
      <sheetName val="Earth_Excavation3"/>
      <sheetName val="B1_Selected_Mat3"/>
      <sheetName val="B1_CTB_In-Plant3"/>
      <sheetName val="Tack_Coat-17+100B3"/>
      <sheetName val="Milling_5cm-ทางลงเชียงราก3"/>
      <sheetName val="Tack_Coat-ทางลงเชียงราก3"/>
      <sheetName val="Toll_Fee3"/>
      <sheetName val="Traffic_Management3"/>
      <sheetName val="Attach1(สรุปรวม)_3"/>
      <sheetName val="Attach2(BOQ_Detail)_3"/>
      <sheetName val="Attach3(Measurement)_(Topping)3"/>
      <sheetName val="Attach3(Measurement)_(FL_FINIS3"/>
      <sheetName val="Attach3(Check_Sheet)3"/>
      <sheetName val="_(FL_Finis)3"/>
      <sheetName val="11_ข้อมูลงานCon3"/>
      <sheetName val="12_ข้อมูลงานไม้แบบ3"/>
      <sheetName val="ทำนบดิน_46"/>
      <sheetName val="Purchase_Order6"/>
      <sheetName val="Customize_Your_Purchase_Order6"/>
      <sheetName val="bp_bill-mark3"/>
      <sheetName val="ตกแต่ง-อาคาร_A3"/>
      <sheetName val="ตกแต่ง-อาคาร_B3"/>
      <sheetName val="ตกแต่ง-อาคาร_C3"/>
      <sheetName val="ตกแต่ง-อาคาร_E3"/>
      <sheetName val="basic_rate3"/>
      <sheetName val="bk_unit_rate3"/>
      <sheetName val="3-145_input_plan3"/>
      <sheetName val="Sch_23"/>
      <sheetName val="PRICE_LIST3"/>
      <sheetName val="MS_Box3"/>
      <sheetName val="MOLP_C3"/>
      <sheetName val="36_rc__pipe(2หน้า)3"/>
      <sheetName val="Index10-12"/>
      <sheetName val="Link ห้ามลบ"/>
      <sheetName val="Drop Down"/>
      <sheetName val="nHDD"/>
      <sheetName val="d.makan"/>
      <sheetName val="Percent"/>
      <sheetName val="SALA"/>
      <sheetName val="Wall"/>
      <sheetName val="______________________Ce______3"/>
      <sheetName val="Follow Dwg."/>
      <sheetName val="prod-1"/>
      <sheetName val="SCHEDULE_2"/>
      <sheetName val="SCHEDULE_3"/>
      <sheetName val="Unit rate Architecture"/>
      <sheetName val="Bill 4-Guard House"/>
      <sheetName val="Bill 2-Condo(138 units)"/>
      <sheetName val="Bill 3-Carpark,Services"/>
      <sheetName val="Bill 5- External Work"/>
      <sheetName val="Bill 6-Landscape"/>
      <sheetName val="BUR3-DrnRC"/>
      <sheetName val="BUR4-Rd"/>
      <sheetName val="main sum (hotel &amp; residences)"/>
      <sheetName val="_____@_x001c__x0014"/>
      <sheetName val="?????@_x005f_x001c__x0014"/>
      <sheetName val="_x005F"/>
      <sheetName val="_____@_x001c_"/>
      <sheetName val="?????@_x001c__x0014"/>
      <sheetName val="_x005"/>
      <sheetName val="Definition Table"/>
      <sheetName val="Project Data"/>
      <sheetName val="#REF!"/>
      <sheetName val="Equip Item Dets"/>
      <sheetName val="Pipe Item Dets"/>
      <sheetName val="Civil Item Dets"/>
      <sheetName val="Inst Item Dets"/>
      <sheetName val="Elec Item Dets"/>
      <sheetName val="Paint Item Dets"/>
      <sheetName val="By Branch"/>
      <sheetName val="封面_13"/>
      <sheetName val="SUMMERY_(BOQ)12"/>
      <sheetName val="FIRST_FLOOR12"/>
      <sheetName val="SECOND_FLOOR12"/>
      <sheetName val="3RD_FLOOR12"/>
      <sheetName val="4_TH_FLOOR12"/>
      <sheetName val="1ST-4TH_DOOR_WORK12"/>
      <sheetName val="1ST-4TH_MAIL&amp;FEMALE_TOILET12"/>
      <sheetName val="5THFLOOR_LIFT_LOBBY&amp;CORRIDOR12"/>
      <sheetName val="Back_Up12"/>
      <sheetName val="Concrete_Beam12"/>
      <sheetName val="ส่งมอบงาน_8"/>
      <sheetName val="Grand_Summary_(2)8"/>
      <sheetName val="Grand_Summary_8"/>
      <sheetName val="_BOQ_WELCOME_8"/>
      <sheetName val="Grand_Sum_VO8"/>
      <sheetName val="Sum_VIP_VO8"/>
      <sheetName val="SAN_REDUCED_18"/>
      <sheetName val="S3_Architectural8"/>
      <sheetName val="封面_12"/>
      <sheetName val="SUMMERY_(BOQ)11"/>
      <sheetName val="FIRST_FLOOR11"/>
      <sheetName val="SECOND_FLOOR11"/>
      <sheetName val="3RD_FLOOR11"/>
      <sheetName val="4_TH_FLOOR11"/>
      <sheetName val="1ST-4TH_DOOR_WORK11"/>
      <sheetName val="1ST-4TH_MAIL&amp;FEMALE_TOILET11"/>
      <sheetName val="5THFLOOR_LIFT_LOBBY&amp;CORRIDOR11"/>
      <sheetName val="Back_Up11"/>
      <sheetName val="Concrete_Beam11"/>
      <sheetName val="ส่งมอบงาน_7"/>
      <sheetName val="Grand_Summary_(2)7"/>
      <sheetName val="Grand_Summary_7"/>
      <sheetName val="_BOQ_WELCOME_7"/>
      <sheetName val="Grand_Sum_VO7"/>
      <sheetName val="Sum_VIP_VO7"/>
      <sheetName val="SAN_REDUCED_17"/>
      <sheetName val="S3_Architectural7"/>
      <sheetName val="封面_14"/>
      <sheetName val="SUMMERY_(BOQ)13"/>
      <sheetName val="FIRST_FLOOR13"/>
      <sheetName val="SECOND_FLOOR13"/>
      <sheetName val="3RD_FLOOR13"/>
      <sheetName val="4_TH_FLOOR13"/>
      <sheetName val="1ST-4TH_DOOR_WORK13"/>
      <sheetName val="1ST-4TH_MAIL&amp;FEMALE_TOILET13"/>
      <sheetName val="5THFLOOR_LIFT_LOBBY&amp;CORRIDOR13"/>
      <sheetName val="Back_Up13"/>
      <sheetName val="Concrete_Beam13"/>
      <sheetName val="ส่งมอบงาน_9"/>
      <sheetName val="Grand_Summary_(2)9"/>
      <sheetName val="Grand_Summary_9"/>
      <sheetName val="_BOQ_WELCOME_9"/>
      <sheetName val="Grand_Sum_VO9"/>
      <sheetName val="Sum_VIP_VO9"/>
      <sheetName val="SAN_REDUCED_19"/>
      <sheetName val="S3_Architectural9"/>
      <sheetName val="封面_15"/>
      <sheetName val="SUMMERY_(BOQ)14"/>
      <sheetName val="FIRST_FLOOR14"/>
      <sheetName val="SECOND_FLOOR14"/>
      <sheetName val="3RD_FLOOR14"/>
      <sheetName val="4_TH_FLOOR14"/>
      <sheetName val="1ST-4TH_DOOR_WORK14"/>
      <sheetName val="1ST-4TH_MAIL&amp;FEMALE_TOILET14"/>
      <sheetName val="5THFLOOR_LIFT_LOBBY&amp;CORRIDOR14"/>
      <sheetName val="Back_Up14"/>
      <sheetName val="Concrete_Beam14"/>
      <sheetName val="ส่งมอบงาน_10"/>
      <sheetName val="Grand_Summary_(2)10"/>
      <sheetName val="Grand_Summary_10"/>
      <sheetName val="_BOQ_WELCOME_10"/>
      <sheetName val="Grand_Sum_VO10"/>
      <sheetName val="Sum_VIP_VO10"/>
      <sheetName val="SAN_REDUCED_110"/>
      <sheetName val="S3_Architectural10"/>
      <sheetName val="สรุปเพิ่ม-ลด"/>
      <sheetName val="3.มุงหลังคา"/>
      <sheetName val="4.ฝ้าเพดาน"/>
      <sheetName val="5.ผนัง"/>
      <sheetName val="6.งานประตู-หน้าต่าง"/>
      <sheetName val="7.งานพื้นและผิวพื้น"/>
      <sheetName val="8.งานบันได"/>
      <sheetName val="9.งานเบ็ดเตล็ด"/>
      <sheetName val="10.งานไฟฟ้าและสื่อสาร"/>
      <sheetName val="11.นิทรรศการและตกแต่ง"/>
      <sheetName val="6"/>
      <sheetName val="5"/>
      <sheetName val="ปร4"/>
      <sheetName val="หา FACTORF"/>
      <sheetName val="OHCทาง"/>
      <sheetName val="ค่าขนส่ง(กรอก)"/>
      <sheetName val="CABLE"/>
      <sheetName val="RACK WAY"/>
      <sheetName val="Ratio_Quantities7"/>
      <sheetName val="Column_VE_(Coppper)7"/>
      <sheetName val="CORE_WALL_(GL_38-39_I-R)VE7"/>
      <sheetName val="CORE_WALL_(GL_14-19_I-R)VE7"/>
      <sheetName val="CORE_WALL_(GL_27-28_C-F)VE7"/>
      <sheetName val="CORE_WALL_(GL_53-54_J)VE7"/>
      <sheetName val="CORE_WALL_(GL_56-57_J-P)VE7"/>
      <sheetName val="CORE_WALL_(GL_33_C-L)VE7"/>
      <sheetName val="RC_Wall7"/>
      <sheetName val="Struc__Steel7"/>
      <sheetName val="Std_RC_Wall7"/>
      <sheetName val="Std__Column_7"/>
      <sheetName val="Struc_Check_Table_อาคาร_17"/>
      <sheetName val="ข้อมูลประตู_T17"/>
      <sheetName val="ข้อมูลหน้าต่าง_T17"/>
      <sheetName val="ข้อมูลหน้าต่าง_T37"/>
      <sheetName val="ข้อมูลประตู_T27"/>
      <sheetName val="Data_Sheet7"/>
      <sheetName val="EST-FOOTING_(G)7"/>
      <sheetName val="Cost_per_SQM_M&amp;E7"/>
      <sheetName val="_FS7"/>
      <sheetName val="Sch_2_SN7"/>
      <sheetName val="Sch_3_FP7"/>
      <sheetName val="Sch_4_AC7"/>
      <sheetName val="Sch_6_Prelim7"/>
      <sheetName val="TOTAL_-BUILDING_E17"/>
      <sheetName val="SUM_-_MEP(E1)_7"/>
      <sheetName val="Air(E1_)7"/>
      <sheetName val="Fp(E1)___7"/>
      <sheetName val="SUMMARY_MEP7"/>
      <sheetName val="SUM_-_MEP_BUILDING7"/>
      <sheetName val="Electrical_System_7"/>
      <sheetName val="Commuication_System7"/>
      <sheetName val="Air_Conditioning__System__7"/>
      <sheetName val="Sanitary_System_7"/>
      <sheetName val="Fire_Protection_System_7"/>
      <sheetName val="ปี_25627"/>
      <sheetName val="รายการ_VE7"/>
      <sheetName val="Type_A-17"/>
      <sheetName val="Type_A-1M7"/>
      <sheetName val="Type_B-17"/>
      <sheetName val="Type_C17"/>
      <sheetName val="Type_C-27"/>
      <sheetName val="Type_C-37"/>
      <sheetName val="Type_C-57"/>
      <sheetName val="Type_DP-57"/>
      <sheetName val="Type_LOFT-17"/>
      <sheetName val="Type_LOFT-2_7"/>
      <sheetName val="Type_LOFT-2M7"/>
      <sheetName val="Type_LOFT_37"/>
      <sheetName val="Type_LOFT-47"/>
      <sheetName val="Type_LOFT-57"/>
      <sheetName val="Type_LOFT-67"/>
      <sheetName val="Type_LOFT-77"/>
      <sheetName val="Type_PH-A7"/>
      <sheetName val="Type_PH-B7"/>
      <sheetName val="Type_PH-C7"/>
      <sheetName val="Type_PH-D7"/>
      <sheetName val="Type_PH-E7"/>
      <sheetName val="Sum_LAND7"/>
      <sheetName val="SUM_M&amp;E7"/>
      <sheetName val="Grand_Summary_(_Variation)7"/>
      <sheetName val="ST_work_con_M7"/>
      <sheetName val="ST_work_con_carpark7"/>
      <sheetName val="ST_work_M7"/>
      <sheetName val="ST_work_Facad(M)_7"/>
      <sheetName val="ST_work_carpark7"/>
      <sheetName val="back_up_arc_Car_Park7"/>
      <sheetName val="backup_str_carpark7"/>
      <sheetName val="back_up_arc__M7"/>
      <sheetName val="แยกงาน_ผนัง_พื้น_ฝ้า_สี7"/>
      <sheetName val="Grand_SUMMARY_MEP_7"/>
      <sheetName val="แยกงาน_(2)7"/>
      <sheetName val="KKC_Brkdwn7"/>
      <sheetName val="Factor_F_Data7"/>
      <sheetName val="Garph_Work-Cost7"/>
      <sheetName val="Discounted_Cash_Flow7"/>
      <sheetName val="Fee_Rate_Summary7"/>
      <sheetName val="Bill_No__2_-_Carpark7"/>
      <sheetName val="back_up_FL_47"/>
      <sheetName val="King_17"/>
      <sheetName val="10_ข้อมูลวัสดุ-ค่าดำเนิน7"/>
      <sheetName val="REF_ONLY27"/>
      <sheetName val="แผนงาน_อบต_ท่าลาน(ส่งเทศบาล)7"/>
      <sheetName val="OR21_Final_Forecast_Rev_27"/>
      <sheetName val="Summary_Forecast_Budget_1&amp;27"/>
      <sheetName val="Summary_Forecast_Budget_Rev_27"/>
      <sheetName val="Backup_OR21_7"/>
      <sheetName val="BOQ__VI_03_09_19_7"/>
      <sheetName val="Backup_BR_BMA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IMP_OR21_2019_07_117"/>
      <sheetName val="A1_27"/>
      <sheetName val="detail_7"/>
      <sheetName val="Car_7"/>
      <sheetName val="TDC_COA_Sumry7"/>
      <sheetName val="COA_Sumry_by_Area7"/>
      <sheetName val="COA_Sumry_by_Contr7"/>
      <sheetName val="COA_Sumry_by_RG7"/>
      <sheetName val="TDC_COA_Grp_Sumry7"/>
      <sheetName val="TDC_Item_Dets-Full7"/>
      <sheetName val="TDC_Item_Dets-IPM-Full7"/>
      <sheetName val="TDC_Item_Dets7"/>
      <sheetName val="TDC_Item_Sumry7"/>
      <sheetName val="TDC_Key_Qty_Sumry7"/>
      <sheetName val="List_-_Components7"/>
      <sheetName val="List_-_Equipment7"/>
      <sheetName val="Project_Metrics7"/>
      <sheetName val="COA_Sumry_-_Std_Imp7"/>
      <sheetName val="Contr_TDC_-_Std_Imp7"/>
      <sheetName val="Item_Sumry_-_Std_Imp7"/>
      <sheetName val="Proj_TIC_-_Std_Imp7"/>
      <sheetName val="Unit_Costs_-_Std_Imp7"/>
      <sheetName val="Unit_MH_-_Std_Imp7"/>
      <sheetName val="Construction_cost_assumption7"/>
      <sheetName val="JLL_Assumption7"/>
      <sheetName val="Retail_Program&amp;Rev_Assumption7"/>
      <sheetName val="BOX_Cryostat_Details7"/>
      <sheetName val="Driver_Linac_Layout7"/>
      <sheetName val="Magnet_Details7"/>
      <sheetName val="Factor_F_งาน_DB_4"/>
      <sheetName val="Site_OH-Main_Construction4"/>
      <sheetName val="Site_OH-HMA4"/>
      <sheetName val="Para_Slurry_Seal4"/>
      <sheetName val="Agg__for_Para_Type_III4"/>
      <sheetName val="Agg__for_Para_TypeIII_Haulage4"/>
      <sheetName val="Tack_Coat-16+400A,B4"/>
      <sheetName val="Earth_Excavation4"/>
      <sheetName val="B1_Selected_Mat4"/>
      <sheetName val="B1_CTB_In-Plant4"/>
      <sheetName val="Tack_Coat-17+100B4"/>
      <sheetName val="Milling_5cm-ทางลงเชียงราก4"/>
      <sheetName val="Tack_Coat-ทางลงเชียงราก4"/>
      <sheetName val="Toll_Fee4"/>
      <sheetName val="Traffic_Management4"/>
      <sheetName val="Attach1(สรุปรวม)_4"/>
      <sheetName val="Attach2(BOQ_Detail)_4"/>
      <sheetName val="Attach3(Measurement)_(Topping)4"/>
      <sheetName val="Attach3(Measurement)_(FL_FINIS4"/>
      <sheetName val="Attach3(Check_Sheet)4"/>
      <sheetName val="_(FL_Finis)4"/>
      <sheetName val="11_ข้อมูลงานCon4"/>
      <sheetName val="12_ข้อมูลงานไม้แบบ4"/>
      <sheetName val="ทำนบดิน_47"/>
      <sheetName val="Purchase_Order7"/>
      <sheetName val="Customize_Your_Purchase_Order7"/>
      <sheetName val="bp_bill-mark4"/>
      <sheetName val="ตกแต่ง-อาคาร_A4"/>
      <sheetName val="ตกแต่ง-อาคาร_B4"/>
      <sheetName val="ตกแต่ง-อาคาร_C4"/>
      <sheetName val="ตกแต่ง-อาคาร_E4"/>
      <sheetName val="basic_rate4"/>
      <sheetName val="bk_unit_rate4"/>
      <sheetName val="3-145_input_plan4"/>
      <sheetName val="MS_Box4"/>
      <sheetName val="MOLP_C4"/>
      <sheetName val="Sch_24"/>
      <sheetName val="PRICE_LIST4"/>
      <sheetName val="36_rc__pipe(2หน้า)4"/>
      <sheetName val="A_O_R_"/>
      <sheetName val="หน้าปกล่าสุด_(2)"/>
      <sheetName val="Cover_(2)"/>
      <sheetName val="งานตกแต่งภายใน_(ตัดSCOPE)"/>
      <sheetName val="หมวดงานสถาปัตยกรรม_(พาส)ต้นฉบับ"/>
      <sheetName val="EE_"/>
      <sheetName val="AC_(2)"/>
      <sheetName val="สรุปราคา_(EMC)1"/>
      <sheetName val="Status_Budget1"/>
      <sheetName val="bill_2"/>
      <sheetName val="입찰내역_발주처_양식"/>
      <sheetName val="price_per_model"/>
      <sheetName val="Cost_Data"/>
      <sheetName val="book_1_summary"/>
      <sheetName val="construction_cost_summary"/>
      <sheetName val="sum_1-4"/>
      <sheetName val="Land_Dev't__Ph-1"/>
      <sheetName val="worksheet_inchican"/>
      <sheetName val="combined_9-30"/>
      <sheetName val="COMPARATIVE_SUMMARY"/>
      <sheetName val="BOQ_(typ-accent)"/>
      <sheetName val="summary_sn_fp"/>
      <sheetName val="Category_List"/>
      <sheetName val="5a__Code_E"/>
      <sheetName val="Executive_Summary_Buil"/>
      <sheetName val="Backup_Rev"/>
      <sheetName val="?????@?????_x0002"/>
      <sheetName val="___合同台账__"/>
      <sheetName val="ประมาณการประตูหน้าต่าง_"/>
      <sheetName val="DMD_Office"/>
      <sheetName val="ADMIN_OFFICE_(2)"/>
      <sheetName val="exec_summary"/>
      <sheetName val="3-CAPARS_Log"/>
      <sheetName val="Ratio_Quantities8"/>
      <sheetName val="Column_VE_(Coppper)8"/>
      <sheetName val="CORE_WALL_(GL_38-39_I-R)VE8"/>
      <sheetName val="CORE_WALL_(GL_14-19_I-R)VE8"/>
      <sheetName val="CORE_WALL_(GL_27-28_C-F)VE8"/>
      <sheetName val="CORE_WALL_(GL_53-54_J)VE8"/>
      <sheetName val="CORE_WALL_(GL_56-57_J-P)VE8"/>
      <sheetName val="CORE_WALL_(GL_33_C-L)VE8"/>
      <sheetName val="RC_Wall8"/>
      <sheetName val="Struc__Steel8"/>
      <sheetName val="Std_RC_Wall8"/>
      <sheetName val="Std__Column_8"/>
      <sheetName val="Struc_Check_Table_อาคาร_18"/>
      <sheetName val="ข้อมูลประตู_T18"/>
      <sheetName val="ข้อมูลหน้าต่าง_T18"/>
      <sheetName val="ข้อมูลหน้าต่าง_T38"/>
      <sheetName val="ข้อมูลประตู_T28"/>
      <sheetName val="Data_Sheet8"/>
      <sheetName val="EST-FOOTING_(G)8"/>
      <sheetName val="Cost_per_SQM_M&amp;E8"/>
      <sheetName val="_FS8"/>
      <sheetName val="Sch_2_SN8"/>
      <sheetName val="Sch_3_FP8"/>
      <sheetName val="Sch_4_AC8"/>
      <sheetName val="Sch_6_Prelim8"/>
      <sheetName val="TOTAL_-BUILDING_E18"/>
      <sheetName val="SUM_-_MEP(E1)_8"/>
      <sheetName val="Air(E1_)8"/>
      <sheetName val="Fp(E1)___8"/>
      <sheetName val="SUMMARY_MEP8"/>
      <sheetName val="SUM_-_MEP_BUILDING8"/>
      <sheetName val="Electrical_System_8"/>
      <sheetName val="Commuication_System8"/>
      <sheetName val="Air_Conditioning__System__8"/>
      <sheetName val="Sanitary_System_8"/>
      <sheetName val="Fire_Protection_System_8"/>
      <sheetName val="ปี_25628"/>
      <sheetName val="รายการ_VE8"/>
      <sheetName val="Type_A-18"/>
      <sheetName val="Type_A-1M8"/>
      <sheetName val="Type_B-18"/>
      <sheetName val="Type_C18"/>
      <sheetName val="Type_C-28"/>
      <sheetName val="Type_C-38"/>
      <sheetName val="Type_C-58"/>
      <sheetName val="Type_DP-58"/>
      <sheetName val="Type_LOFT-18"/>
      <sheetName val="Type_LOFT-2_8"/>
      <sheetName val="Type_LOFT-2M8"/>
      <sheetName val="Type_LOFT_38"/>
      <sheetName val="Type_LOFT-48"/>
      <sheetName val="Type_LOFT-58"/>
      <sheetName val="Type_LOFT-68"/>
      <sheetName val="Type_LOFT-78"/>
      <sheetName val="Type_PH-A8"/>
      <sheetName val="Type_PH-B8"/>
      <sheetName val="Type_PH-C8"/>
      <sheetName val="Type_PH-D8"/>
      <sheetName val="Type_PH-E8"/>
      <sheetName val="Sum_LAND8"/>
      <sheetName val="SUM_M&amp;E8"/>
      <sheetName val="Grand_Summary_(_Variation)8"/>
      <sheetName val="ST_work_con_M8"/>
      <sheetName val="ST_work_con_carpark8"/>
      <sheetName val="ST_work_M8"/>
      <sheetName val="ST_work_Facad(M)_8"/>
      <sheetName val="ST_work_carpark8"/>
      <sheetName val="back_up_arc_Car_Park8"/>
      <sheetName val="backup_str_carpark8"/>
      <sheetName val="back_up_arc__M8"/>
      <sheetName val="แยกงาน_ผนัง_พื้น_ฝ้า_สี8"/>
      <sheetName val="Grand_SUMMARY_MEP_8"/>
      <sheetName val="แยกงาน_(2)8"/>
      <sheetName val="KKC_Brkdwn8"/>
      <sheetName val="Factor_F_Data8"/>
      <sheetName val="Garph_Work-Cost8"/>
      <sheetName val="Discounted_Cash_Flow8"/>
      <sheetName val="Fee_Rate_Summary8"/>
      <sheetName val="Bill_No__2_-_Carpark8"/>
      <sheetName val="back_up_FL_48"/>
      <sheetName val="King_18"/>
      <sheetName val="10_ข้อมูลวัสดุ-ค่าดำเนิน8"/>
      <sheetName val="REF_ONLY28"/>
      <sheetName val="แผนงาน_อบต_ท่าลาน(ส่งเทศบาล)8"/>
      <sheetName val="OR21_Final_Forecast_Rev_28"/>
      <sheetName val="Summary_Forecast_Budget_1&amp;28"/>
      <sheetName val="Summary_Forecast_Budget_Rev_28"/>
      <sheetName val="Backup_OR21_8"/>
      <sheetName val="BOQ__VI_03_09_19_8"/>
      <sheetName val="Backup_BR_BMA8"/>
      <sheetName val="Budget_for_ENT8"/>
      <sheetName val="ADJ__D-Wall&amp;BR_Ent__Rev_2_18"/>
      <sheetName val="Rebar+Conพื้น_Waste10%8"/>
      <sheetName val="Backup_D-Wall_Ent__13_07_198"/>
      <sheetName val="Backup_BR_ENT__13_07_198"/>
      <sheetName val="IMP_OR21_2019_07_118"/>
      <sheetName val="A1_28"/>
      <sheetName val="detail_8"/>
      <sheetName val="Car_8"/>
      <sheetName val="TDC_COA_Sumry8"/>
      <sheetName val="COA_Sumry_by_Area8"/>
      <sheetName val="COA_Sumry_by_Contr8"/>
      <sheetName val="COA_Sumry_by_RG8"/>
      <sheetName val="TDC_COA_Grp_Sumry8"/>
      <sheetName val="TDC_Item_Dets-Full8"/>
      <sheetName val="TDC_Item_Dets-IPM-Full8"/>
      <sheetName val="TDC_Item_Dets8"/>
      <sheetName val="TDC_Item_Sumry8"/>
      <sheetName val="TDC_Key_Qty_Sumry8"/>
      <sheetName val="List_-_Components8"/>
      <sheetName val="List_-_Equipment8"/>
      <sheetName val="Project_Metrics8"/>
      <sheetName val="COA_Sumry_-_Std_Imp8"/>
      <sheetName val="Contr_TDC_-_Std_Imp8"/>
      <sheetName val="Item_Sumry_-_Std_Imp8"/>
      <sheetName val="Proj_TIC_-_Std_Imp8"/>
      <sheetName val="Unit_Costs_-_Std_Imp8"/>
      <sheetName val="Unit_MH_-_Std_Imp8"/>
      <sheetName val="Construction_cost_assumption8"/>
      <sheetName val="JLL_Assumption8"/>
      <sheetName val="Retail_Program&amp;Rev_Assumption8"/>
      <sheetName val="BOX_Cryostat_Details8"/>
      <sheetName val="Driver_Linac_Layout8"/>
      <sheetName val="Magnet_Details8"/>
      <sheetName val="Factor_F_งาน_DB_5"/>
      <sheetName val="Site_OH-Main_Construction5"/>
      <sheetName val="Site_OH-HMA5"/>
      <sheetName val="Para_Slurry_Seal5"/>
      <sheetName val="Agg__for_Para_Type_III5"/>
      <sheetName val="Agg__for_Para_TypeIII_Haulage5"/>
      <sheetName val="Tack_Coat-16+400A,B5"/>
      <sheetName val="Earth_Excavation5"/>
      <sheetName val="B1_Selected_Mat5"/>
      <sheetName val="B1_CTB_In-Plant5"/>
      <sheetName val="Tack_Coat-17+100B5"/>
      <sheetName val="Milling_5cm-ทางลงเชียงราก5"/>
      <sheetName val="Tack_Coat-ทางลงเชียงราก5"/>
      <sheetName val="Toll_Fee5"/>
      <sheetName val="Traffic_Management5"/>
      <sheetName val="Attach1(สรุปรวม)_5"/>
      <sheetName val="Attach2(BOQ_Detail)_5"/>
      <sheetName val="Attach3(Measurement)_(Topping)5"/>
      <sheetName val="Attach3(Measurement)_(FL_FINIS5"/>
      <sheetName val="Attach3(Check_Sheet)5"/>
      <sheetName val="_(FL_Finis)5"/>
      <sheetName val="11_ข้อมูลงานCon5"/>
      <sheetName val="12_ข้อมูลงานไม้แบบ5"/>
      <sheetName val="ทำนบดิน_48"/>
      <sheetName val="Purchase_Order8"/>
      <sheetName val="Customize_Your_Purchase_Order8"/>
      <sheetName val="bp_bill-mark5"/>
      <sheetName val="ตกแต่ง-อาคาร_A5"/>
      <sheetName val="ตกแต่ง-อาคาร_B5"/>
      <sheetName val="ตกแต่ง-อาคาร_C5"/>
      <sheetName val="ตกแต่ง-อาคาร_E5"/>
      <sheetName val="basic_rate5"/>
      <sheetName val="bk_unit_rate5"/>
      <sheetName val="3-145_input_plan5"/>
      <sheetName val="MS_Box5"/>
      <sheetName val="MOLP_C5"/>
      <sheetName val="Sch_25"/>
      <sheetName val="PRICE_LIST5"/>
      <sheetName val="36_rc__pipe(2หน้า)5"/>
      <sheetName val="A_O_R_1"/>
      <sheetName val="หน้าปกล่าสุด_(2)1"/>
      <sheetName val="Cover_(2)1"/>
      <sheetName val="งานตกแต่งภายใน_(ตัดSCOPE)1"/>
      <sheetName val="หมวดงานสถาปัตยกรรม_(พาส)ต้นฉบั1"/>
      <sheetName val="EE_1"/>
      <sheetName val="AC_(2)1"/>
      <sheetName val="สรุปราคา_(EMC)2"/>
      <sheetName val="Status_Budget2"/>
      <sheetName val="bill_21"/>
      <sheetName val="입찰내역_발주처_양식1"/>
      <sheetName val="price_per_model1"/>
      <sheetName val="Cost_Data1"/>
      <sheetName val="book_1_summary1"/>
      <sheetName val="construction_cost_summary1"/>
      <sheetName val="sum_1-41"/>
      <sheetName val="Land_Dev't__Ph-11"/>
      <sheetName val="worksheet_inchican1"/>
      <sheetName val="combined_9-301"/>
      <sheetName val="COMPARATIVE_SUMMARY1"/>
      <sheetName val="BOQ_(typ-accent)1"/>
      <sheetName val="summary_sn_fp1"/>
      <sheetName val="Category_List1"/>
      <sheetName val="5a__Code_E1"/>
      <sheetName val="Executive_Summary_Buil1"/>
      <sheetName val="Backup_Rev1"/>
      <sheetName val="___合同台账__1"/>
      <sheetName val="ประมาณการประตูหน้าต่าง_1"/>
      <sheetName val="DMD_Office1"/>
      <sheetName val="ADMIN_OFFICE_(2)1"/>
      <sheetName val="exec_summary1"/>
      <sheetName val="3-CAPARS_Log1"/>
      <sheetName val="area_converter"/>
      <sheetName val="Link_ห้ามลบ"/>
      <sheetName val="Drop_Down"/>
      <sheetName val="Summary_cal"/>
      <sheetName val="d_makan"/>
      <sheetName val="area_converter1"/>
      <sheetName val="Link_ห้ามลบ1"/>
      <sheetName val="Drop_Down1"/>
      <sheetName val="Summary_cal1"/>
      <sheetName val="d_makan1"/>
      <sheetName val="Ratio_Quantities9"/>
      <sheetName val="Column_VE_(Coppper)9"/>
      <sheetName val="CORE_WALL_(GL_38-39_I-R)VE9"/>
      <sheetName val="CORE_WALL_(GL_14-19_I-R)VE9"/>
      <sheetName val="CORE_WALL_(GL_27-28_C-F)VE9"/>
      <sheetName val="CORE_WALL_(GL_53-54_J)VE9"/>
      <sheetName val="CORE_WALL_(GL_56-57_J-P)VE9"/>
      <sheetName val="CORE_WALL_(GL_33_C-L)VE9"/>
      <sheetName val="RC_Wall9"/>
      <sheetName val="Struc__Steel9"/>
      <sheetName val="Std_RC_Wall9"/>
      <sheetName val="Std__Column_9"/>
      <sheetName val="Struc_Check_Table_อาคาร_19"/>
      <sheetName val="ข้อมูลประตู_T19"/>
      <sheetName val="ข้อมูลหน้าต่าง_T19"/>
      <sheetName val="ข้อมูลหน้าต่าง_T39"/>
      <sheetName val="ข้อมูลประตู_T29"/>
      <sheetName val="_FS9"/>
      <sheetName val="Sch_2_SN9"/>
      <sheetName val="Sch_3_FP9"/>
      <sheetName val="Sch_4_AC9"/>
      <sheetName val="Sch_6_Prelim9"/>
      <sheetName val="ปี_25629"/>
      <sheetName val="TOTAL_-BUILDING_E19"/>
      <sheetName val="SUM_-_MEP(E1)_9"/>
      <sheetName val="Air(E1_)9"/>
      <sheetName val="Fp(E1)___9"/>
      <sheetName val="Data_Sheet9"/>
      <sheetName val="SUMMARY_MEP9"/>
      <sheetName val="SUM_-_MEP_BUILDING9"/>
      <sheetName val="Electrical_System_9"/>
      <sheetName val="Commuication_System9"/>
      <sheetName val="Air_Conditioning__System__9"/>
      <sheetName val="Sanitary_System_9"/>
      <sheetName val="Fire_Protection_System_9"/>
      <sheetName val="EST-FOOTING_(G)9"/>
      <sheetName val="Cost_per_SQM_M&amp;E9"/>
      <sheetName val="รายการ_VE9"/>
      <sheetName val="Type_A-19"/>
      <sheetName val="Type_A-1M9"/>
      <sheetName val="Type_B-19"/>
      <sheetName val="Type_C19"/>
      <sheetName val="Type_C-29"/>
      <sheetName val="Type_C-39"/>
      <sheetName val="Type_C-59"/>
      <sheetName val="Type_DP-59"/>
      <sheetName val="Type_LOFT-19"/>
      <sheetName val="Type_LOFT-2_9"/>
      <sheetName val="Type_LOFT-2M9"/>
      <sheetName val="Type_LOFT_39"/>
      <sheetName val="Type_LOFT-49"/>
      <sheetName val="Type_LOFT-59"/>
      <sheetName val="Type_LOFT-69"/>
      <sheetName val="Type_LOFT-79"/>
      <sheetName val="Type_PH-A9"/>
      <sheetName val="Type_PH-B9"/>
      <sheetName val="Type_PH-C9"/>
      <sheetName val="Type_PH-D9"/>
      <sheetName val="Type_PH-E9"/>
      <sheetName val="Sum_LAND9"/>
      <sheetName val="SUM_M&amp;E9"/>
      <sheetName val="KKC_Brkdwn9"/>
      <sheetName val="Factor_F_Data9"/>
      <sheetName val="Grand_Summary_(_Variation)9"/>
      <sheetName val="ST_work_con_M9"/>
      <sheetName val="ST_work_con_carpark9"/>
      <sheetName val="ST_work_M9"/>
      <sheetName val="ST_work_Facad(M)_9"/>
      <sheetName val="ST_work_carpark9"/>
      <sheetName val="back_up_arc_Car_Park9"/>
      <sheetName val="backup_str_carpark9"/>
      <sheetName val="back_up_arc__M9"/>
      <sheetName val="แยกงาน_ผนัง_พื้น_ฝ้า_สี9"/>
      <sheetName val="Grand_SUMMARY_MEP_9"/>
      <sheetName val="แยกงาน_(2)9"/>
      <sheetName val="Discounted_Cash_Flow9"/>
      <sheetName val="แผนงาน_อบต_ท่าลาน(ส่งเทศบาล)9"/>
      <sheetName val="Bill_No__2_-_Carpark9"/>
      <sheetName val="Garph_Work-Cost9"/>
      <sheetName val="Fee_Rate_Summary9"/>
      <sheetName val="OR21_Final_Forecast_Rev_29"/>
      <sheetName val="Summary_Forecast_Budget_1&amp;29"/>
      <sheetName val="Summary_Forecast_Budget_Rev_29"/>
      <sheetName val="Backup_OR21_9"/>
      <sheetName val="BOQ__VI_03_09_19_9"/>
      <sheetName val="Backup_BR_BMA9"/>
      <sheetName val="Budget_for_ENT9"/>
      <sheetName val="ADJ__D-Wall&amp;BR_Ent__Rev_2_19"/>
      <sheetName val="Rebar+Conพื้น_Waste10%9"/>
      <sheetName val="Backup_D-Wall_Ent__13_07_199"/>
      <sheetName val="Backup_BR_ENT__13_07_199"/>
      <sheetName val="IMP_OR21_2019_07_119"/>
      <sheetName val="10_ข้อมูลวัสดุ-ค่าดำเนิน9"/>
      <sheetName val="REF_ONLY29"/>
      <sheetName val="King_19"/>
      <sheetName val="A1_29"/>
      <sheetName val="detail_9"/>
      <sheetName val="Car_9"/>
      <sheetName val="TDC_COA_Sumry9"/>
      <sheetName val="COA_Sumry_by_Area9"/>
      <sheetName val="COA_Sumry_by_Contr9"/>
      <sheetName val="COA_Sumry_by_RG9"/>
      <sheetName val="TDC_COA_Grp_Sumry9"/>
      <sheetName val="TDC_Item_Dets-Full9"/>
      <sheetName val="TDC_Item_Dets-IPM-Full9"/>
      <sheetName val="TDC_Item_Dets9"/>
      <sheetName val="TDC_Item_Sumry9"/>
      <sheetName val="TDC_Key_Qty_Sumry9"/>
      <sheetName val="List_-_Components9"/>
      <sheetName val="List_-_Equipment9"/>
      <sheetName val="Project_Metrics9"/>
      <sheetName val="COA_Sumry_-_Std_Imp9"/>
      <sheetName val="Contr_TDC_-_Std_Imp9"/>
      <sheetName val="Item_Sumry_-_Std_Imp9"/>
      <sheetName val="Proj_TIC_-_Std_Imp9"/>
      <sheetName val="Unit_Costs_-_Std_Imp9"/>
      <sheetName val="Unit_MH_-_Std_Imp9"/>
      <sheetName val="back_up_FL_49"/>
      <sheetName val="Construction_cost_assumption9"/>
      <sheetName val="JLL_Assumption9"/>
      <sheetName val="Retail_Program&amp;Rev_Assumption9"/>
      <sheetName val="BOX_Cryostat_Details9"/>
      <sheetName val="Driver_Linac_Layout9"/>
      <sheetName val="Magnet_Details9"/>
      <sheetName val="ทำนบดิน_49"/>
      <sheetName val="Purchase_Order9"/>
      <sheetName val="Customize_Your_Purchase_Order9"/>
      <sheetName val="bk_unit_rate6"/>
      <sheetName val="Factor_F_งาน_DB_6"/>
      <sheetName val="Site_OH-Main_Construction6"/>
      <sheetName val="Site_OH-HMA6"/>
      <sheetName val="Para_Slurry_Seal6"/>
      <sheetName val="Agg__for_Para_Type_III6"/>
      <sheetName val="Agg__for_Para_TypeIII_Haulage6"/>
      <sheetName val="Tack_Coat-16+400A,B6"/>
      <sheetName val="Earth_Excavation6"/>
      <sheetName val="B1_Selected_Mat6"/>
      <sheetName val="B1_CTB_In-Plant6"/>
      <sheetName val="Tack_Coat-17+100B6"/>
      <sheetName val="Milling_5cm-ทางลงเชียงราก6"/>
      <sheetName val="Tack_Coat-ทางลงเชียงราก6"/>
      <sheetName val="Toll_Fee6"/>
      <sheetName val="Traffic_Management6"/>
      <sheetName val="Attach1(สรุปรวม)_6"/>
      <sheetName val="Attach2(BOQ_Detail)_6"/>
      <sheetName val="Attach3(Measurement)_(Topping)6"/>
      <sheetName val="Attach3(Measurement)_(FL_FINIS6"/>
      <sheetName val="Attach3(Check_Sheet)6"/>
      <sheetName val="_(FL_Finis)6"/>
      <sheetName val="11_ข้อมูลงานCon6"/>
      <sheetName val="12_ข้อมูลงานไม้แบบ6"/>
      <sheetName val="bp_bill-mark6"/>
      <sheetName val="ตกแต่ง-อาคาร_A6"/>
      <sheetName val="ตกแต่ง-อาคาร_B6"/>
      <sheetName val="ตกแต่ง-อาคาร_C6"/>
      <sheetName val="ตกแต่ง-อาคาร_E6"/>
      <sheetName val="basic_rate6"/>
      <sheetName val="3-145_input_plan6"/>
      <sheetName val="MS_Box6"/>
      <sheetName val="MOLP_C6"/>
      <sheetName val="Sch_26"/>
      <sheetName val="PRICE_LIST6"/>
      <sheetName val="36_rc__pipe(2หน้า)6"/>
      <sheetName val="book_1_summary2"/>
      <sheetName val="construction_cost_summary2"/>
      <sheetName val="sum_1-42"/>
      <sheetName val="สรุปราคา_(EMC)3"/>
      <sheetName val="Status_Budget3"/>
      <sheetName val="A_O_R_2"/>
      <sheetName val="summary_sn_fp2"/>
      <sheetName val="หน้าปกล่าสุด_(2)2"/>
      <sheetName val="Cover_(2)2"/>
      <sheetName val="งานตกแต่งภายใน_(ตัดSCOPE)2"/>
      <sheetName val="หมวดงานสถาปัตยกรรม_(พาส)ต้นฉบั2"/>
      <sheetName val="EE_2"/>
      <sheetName val="AC_(2)2"/>
      <sheetName val="bill_22"/>
      <sheetName val="입찰내역_발주처_양식2"/>
      <sheetName val="price_per_model2"/>
      <sheetName val="Cost_Data2"/>
      <sheetName val="Land_Dev't__Ph-12"/>
      <sheetName val="worksheet_inchican2"/>
      <sheetName val="combined_9-302"/>
      <sheetName val="COMPARATIVE_SUMMARY2"/>
      <sheetName val="BOQ_(typ-accent)2"/>
      <sheetName val="Executive_Summary_Buil2"/>
      <sheetName val="Category_List2"/>
      <sheetName val="5a__Code_E2"/>
      <sheetName val="Backup_Rev2"/>
      <sheetName val="DMD_Office2"/>
      <sheetName val="ADMIN_OFFICE_(2)2"/>
      <sheetName val="exec_summary2"/>
      <sheetName val="3-CAPARS_Log2"/>
      <sheetName val="___合同台账__2"/>
      <sheetName val="ประมาณการประตูหน้าต่าง_2"/>
      <sheetName val="area_converter2"/>
      <sheetName val="Link_ห้ามลบ2"/>
      <sheetName val="Drop_Down2"/>
      <sheetName val="Summary_cal2"/>
      <sheetName val="d_makan2"/>
      <sheetName val="Main Summary"/>
      <sheetName val="Tableau"/>
      <sheetName val="Coef et données"/>
      <sheetName val="Unit_rate_Architecture"/>
      <sheetName val="Demand"/>
      <sheetName val="Occ"/>
      <sheetName val="Summ"/>
      <sheetName val="KABULLER.XLS"/>
      <sheetName val="1,2,3,4,5단위수량"/>
      <sheetName val="수입"/>
      <sheetName val="NPV"/>
      <sheetName val="Order List"/>
      <sheetName val="cover page"/>
      <sheetName val="hvac boq"/>
      <sheetName val="loans"/>
      <sheetName val="allowances"/>
      <sheetName val="@_x001c__x0014__x0002__x0011__x0014_ñCe__x0001_0"/>
      <sheetName val="Sum Main"/>
      <sheetName val="004 Frame "/>
      <sheetName val="@ñCe_0`"/>
      <sheetName val="封面_18"/>
      <sheetName val="SUMMERY_(BOQ)17"/>
      <sheetName val="FIRST_FLOOR16"/>
      <sheetName val="SECOND_FLOOR16"/>
      <sheetName val="3RD_FLOOR16"/>
      <sheetName val="4_TH_FLOOR16"/>
      <sheetName val="1ST-4TH_DOOR_WORK16"/>
      <sheetName val="1ST-4TH_MAIL&amp;FEMALE_TOILET16"/>
      <sheetName val="5THFLOOR_LIFT_LOBBY&amp;CORRIDOR16"/>
      <sheetName val="Back_Up16"/>
      <sheetName val="Concrete_Beam16"/>
      <sheetName val="ส่งมอบงาน_12"/>
      <sheetName val="Grand_Summary_(2)12"/>
      <sheetName val="Grand_Summary_12"/>
      <sheetName val="_BOQ_WELCOME_12"/>
      <sheetName val="Grand_Sum_VO12"/>
      <sheetName val="Sum_VIP_VO12"/>
      <sheetName val="SAN_REDUCED_112"/>
      <sheetName val="S3_Architectural12"/>
      <sheetName val="Ratio_Quantities12"/>
      <sheetName val="Column_VE_(Coppper)12"/>
      <sheetName val="CORE_WALL_(GL_38-39_I-R)VE12"/>
      <sheetName val="CORE_WALL_(GL_14-19_I-R)VE12"/>
      <sheetName val="CORE_WALL_(GL_27-28_C-F)VE12"/>
      <sheetName val="CORE_WALL_(GL_53-54_J)VE12"/>
      <sheetName val="CORE_WALL_(GL_56-57_J-P)VE12"/>
      <sheetName val="CORE_WALL_(GL_33_C-L)VE12"/>
      <sheetName val="RC_Wall12"/>
      <sheetName val="Struc__Steel12"/>
      <sheetName val="Std_RC_Wall12"/>
      <sheetName val="Std__Column_12"/>
      <sheetName val="Struc_Check_Table_อาคาร_112"/>
      <sheetName val="ข้อมูลประตู_T112"/>
      <sheetName val="ข้อมูลหน้าต่าง_T112"/>
      <sheetName val="ข้อมูลหน้าต่าง_T312"/>
      <sheetName val="Data_Sheet12"/>
      <sheetName val="EST-FOOTING_(G)12"/>
      <sheetName val="ข้อมูลประตู_T212"/>
      <sheetName val="Cost_per_SQM_M&amp;E10"/>
      <sheetName val="KKC_Brkdwn10"/>
      <sheetName val="Factor_F_Data10"/>
      <sheetName val="TOTAL_-BUILDING_E110"/>
      <sheetName val="SUM_-_MEP(E1)_10"/>
      <sheetName val="Air(E1_)10"/>
      <sheetName val="Fp(E1)___10"/>
      <sheetName val="SUMMARY_MEP10"/>
      <sheetName val="SUM_-_MEP_BUILDING10"/>
      <sheetName val="Electrical_System_10"/>
      <sheetName val="Commuication_System10"/>
      <sheetName val="Air_Conditioning__System__10"/>
      <sheetName val="Sanitary_System_10"/>
      <sheetName val="Fire_Protection_System_10"/>
      <sheetName val="_FS12"/>
      <sheetName val="Sch_2_SN12"/>
      <sheetName val="Sch_3_FP12"/>
      <sheetName val="Sch_4_AC12"/>
      <sheetName val="Sch_6_Prelim12"/>
      <sheetName val="ปี_256210"/>
      <sheetName val="รายการ_VE10"/>
      <sheetName val="Type_A-110"/>
      <sheetName val="Type_A-1M10"/>
      <sheetName val="Type_B-110"/>
      <sheetName val="Type_C110"/>
      <sheetName val="Type_C-210"/>
      <sheetName val="Type_C-310"/>
      <sheetName val="Type_C-510"/>
      <sheetName val="Type_DP-510"/>
      <sheetName val="Type_LOFT-110"/>
      <sheetName val="Type_LOFT-2_10"/>
      <sheetName val="Type_LOFT-2M10"/>
      <sheetName val="Type_LOFT_310"/>
      <sheetName val="Type_LOFT-410"/>
      <sheetName val="Type_LOFT-510"/>
      <sheetName val="Type_LOFT-610"/>
      <sheetName val="Type_LOFT-710"/>
      <sheetName val="Type_PH-A10"/>
      <sheetName val="Type_PH-B10"/>
      <sheetName val="Type_PH-C10"/>
      <sheetName val="Type_PH-D10"/>
      <sheetName val="Type_PH-E10"/>
      <sheetName val="Sum_LAND10"/>
      <sheetName val="SUM_M&amp;E10"/>
      <sheetName val="Grand_Summary_(_Variation)10"/>
      <sheetName val="ST_work_con_M10"/>
      <sheetName val="ST_work_con_carpark10"/>
      <sheetName val="ST_work_M10"/>
      <sheetName val="ST_work_Facad(M)_10"/>
      <sheetName val="ST_work_carpark10"/>
      <sheetName val="back_up_arc_Car_Park10"/>
      <sheetName val="backup_str_carpark10"/>
      <sheetName val="back_up_arc__M10"/>
      <sheetName val="แยกงาน_ผนัง_พื้น_ฝ้า_สี10"/>
      <sheetName val="Grand_SUMMARY_MEP_10"/>
      <sheetName val="แยกงาน_(2)10"/>
      <sheetName val="Fee_Rate_Summary10"/>
      <sheetName val="Discounted_Cash_Flow10"/>
      <sheetName val="Garph_Work-Cost10"/>
      <sheetName val="10_ข้อมูลวัสดุ-ค่าดำเนิน10"/>
      <sheetName val="REF_ONLY210"/>
      <sheetName val="OR21_Final_Forecast_Rev_210"/>
      <sheetName val="Summary_Forecast_Budget_1&amp;210"/>
      <sheetName val="Summary_Forecast_Budget_Rev_210"/>
      <sheetName val="Backup_OR21_10"/>
      <sheetName val="BOQ__VI_03_09_19_10"/>
      <sheetName val="Backup_BR_BMA10"/>
      <sheetName val="Budget_for_ENT10"/>
      <sheetName val="ADJ__D-Wall&amp;BR_Ent__Rev_2_110"/>
      <sheetName val="Rebar+Conพื้น_Waste10%10"/>
      <sheetName val="Backup_D-Wall_Ent__13_07_1910"/>
      <sheetName val="Backup_BR_ENT__13_07_1910"/>
      <sheetName val="IMP_OR21_2019_07_1110"/>
      <sheetName val="A1_210"/>
      <sheetName val="Bill_No__2_-_Carpark10"/>
      <sheetName val="Car_10"/>
      <sheetName val="TDC_COA_Sumry10"/>
      <sheetName val="COA_Sumry_by_Area10"/>
      <sheetName val="COA_Sumry_by_Contr10"/>
      <sheetName val="COA_Sumry_by_RG10"/>
      <sheetName val="TDC_COA_Grp_Sumry10"/>
      <sheetName val="TDC_Item_Dets-Full10"/>
      <sheetName val="TDC_Item_Dets-IPM-Full10"/>
      <sheetName val="TDC_Item_Dets10"/>
      <sheetName val="TDC_Item_Sumry10"/>
      <sheetName val="TDC_Key_Qty_Sumry10"/>
      <sheetName val="List_-_Components10"/>
      <sheetName val="List_-_Equipment10"/>
      <sheetName val="Project_Metrics10"/>
      <sheetName val="COA_Sumry_-_Std_Imp10"/>
      <sheetName val="Contr_TDC_-_Std_Imp10"/>
      <sheetName val="Item_Sumry_-_Std_Imp10"/>
      <sheetName val="Proj_TIC_-_Std_Imp10"/>
      <sheetName val="Unit_Costs_-_Std_Imp10"/>
      <sheetName val="Unit_MH_-_Std_Imp10"/>
      <sheetName val="King_110"/>
      <sheetName val="แผนงาน_อบต_ท่าลาน(ส่งเทศบาล)10"/>
      <sheetName val="Construction_cost_assumption10"/>
      <sheetName val="JLL_Assumption10"/>
      <sheetName val="Retail_Program&amp;Rev_Assumption10"/>
      <sheetName val="back_up_FL_410"/>
      <sheetName val="detail_10"/>
      <sheetName val="BOX_Cryostat_Details10"/>
      <sheetName val="Driver_Linac_Layout10"/>
      <sheetName val="Magnet_Details10"/>
      <sheetName val="ทำนบดิน_410"/>
      <sheetName val="Purchase_Order10"/>
      <sheetName val="Customize_Your_Purchase_Order10"/>
      <sheetName val="Factor_F_งาน_DB_7"/>
      <sheetName val="Site_OH-Main_Construction7"/>
      <sheetName val="Site_OH-HMA7"/>
      <sheetName val="Para_Slurry_Seal7"/>
      <sheetName val="Agg__for_Para_Type_III7"/>
      <sheetName val="Agg__for_Para_TypeIII_Haulage7"/>
      <sheetName val="Tack_Coat-16+400A,B7"/>
      <sheetName val="Earth_Excavation7"/>
      <sheetName val="B1_Selected_Mat7"/>
      <sheetName val="B1_CTB_In-Plant7"/>
      <sheetName val="Tack_Coat-17+100B7"/>
      <sheetName val="Milling_5cm-ทางลงเชียงราก7"/>
      <sheetName val="Tack_Coat-ทางลงเชียงราก7"/>
      <sheetName val="Toll_Fee7"/>
      <sheetName val="Traffic_Management7"/>
      <sheetName val="11_ข้อมูลงานCon7"/>
      <sheetName val="12_ข้อมูลงานไม้แบบ7"/>
      <sheetName val="ตกแต่ง-อาคาร_A7"/>
      <sheetName val="ตกแต่ง-อาคาร_B7"/>
      <sheetName val="ตกแต่ง-อาคาร_C7"/>
      <sheetName val="ตกแต่ง-อาคาร_E7"/>
      <sheetName val="MS_Box7"/>
      <sheetName val="MOLP_C7"/>
      <sheetName val="Sch_27"/>
      <sheetName val="Attach1(สรุปรวม)_7"/>
      <sheetName val="Attach2(BOQ_Detail)_7"/>
      <sheetName val="Attach3(Measurement)_(Topping)7"/>
      <sheetName val="Attach3(Measurement)_(FL_FINIS7"/>
      <sheetName val="Attach3(Check_Sheet)7"/>
      <sheetName val="_(FL_Finis)7"/>
      <sheetName val="bp_bill-mark7"/>
      <sheetName val="PRICE_LIST7"/>
      <sheetName val="bk_unit_rate7"/>
      <sheetName val="basic_rate7"/>
      <sheetName val="3-145_input_plan7"/>
      <sheetName val="สรุปราคา_(EMC)7"/>
      <sheetName val="Status_Budget7"/>
      <sheetName val="A_O_R_6"/>
      <sheetName val="หน้าปกล่าสุด_(2)6"/>
      <sheetName val="Cover_(2)6"/>
      <sheetName val="งานตกแต่งภายใน_(ตัดSCOPE)6"/>
      <sheetName val="หมวดงานสถาปัตยกรรม_(พาส)ต้นฉบั6"/>
      <sheetName val="EE_6"/>
      <sheetName val="AC_(2)6"/>
      <sheetName val="36_rc__pipe(2หน้า)7"/>
      <sheetName val="bill_26"/>
      <sheetName val="입찰내역_발주처_양식6"/>
      <sheetName val="price_per_model6"/>
      <sheetName val="summary_sn_fp6"/>
      <sheetName val="book_1_summary6"/>
      <sheetName val="construction_cost_summary6"/>
      <sheetName val="sum_1-46"/>
      <sheetName val="Cost_Data6"/>
      <sheetName val="Backup_Rev6"/>
      <sheetName val="Executive_Summary_Buil6"/>
      <sheetName val="Category_List6"/>
      <sheetName val="5a__Code_E6"/>
      <sheetName val="ประมาณการประตูหน้าต่าง_6"/>
      <sheetName val="Land_Dev't__Ph-13"/>
      <sheetName val="worksheet_inchican3"/>
      <sheetName val="combined_9-303"/>
      <sheetName val="COMPARATIVE_SUMMARY3"/>
      <sheetName val="BOQ_(typ-accent)3"/>
      <sheetName val="area_converter3"/>
      <sheetName val="DMD_Office3"/>
      <sheetName val="ADMIN_OFFICE_(2)3"/>
      <sheetName val="exec_summary3"/>
      <sheetName val="3-CAPARS_Log3"/>
      <sheetName val="___合同台账__3"/>
      <sheetName val="_____@_x0014"/>
      <sheetName val="_____@"/>
      <sheetName val="?????@_x0014"/>
      <sheetName val="d_makan3"/>
      <sheetName val="Link_ห้ามลบ3"/>
      <sheetName val="Drop_Down3"/>
      <sheetName val="Summary_cal3"/>
      <sheetName val="Bill_4-Guard_House3"/>
      <sheetName val="Bill_2-Condo(138_units)3"/>
      <sheetName val="Bill_3-Carpark,Services3"/>
      <sheetName val="Bill_5-_External_Work3"/>
      <sheetName val="Bill_6-Landscape3"/>
      <sheetName val="FlatBottomClarifier_(Not_used)3"/>
      <sheetName val="Lookup_data3"/>
      <sheetName val="Follow_Dwg_3"/>
      <sheetName val="สรุปราคา_(EMC)4"/>
      <sheetName val="Status_Budget4"/>
      <sheetName val="A_O_R_3"/>
      <sheetName val="หน้าปกล่าสุด_(2)3"/>
      <sheetName val="Cover_(2)3"/>
      <sheetName val="งานตกแต่งภายใน_(ตัดSCOPE)3"/>
      <sheetName val="หมวดงานสถาปัตยกรรม_(พาส)ต้นฉบั3"/>
      <sheetName val="EE_3"/>
      <sheetName val="AC_(2)3"/>
      <sheetName val="bill_23"/>
      <sheetName val="입찰내역_발주처_양식3"/>
      <sheetName val="price_per_model3"/>
      <sheetName val="summary_sn_fp3"/>
      <sheetName val="book_1_summary3"/>
      <sheetName val="construction_cost_summary3"/>
      <sheetName val="sum_1-43"/>
      <sheetName val="Cost_Data3"/>
      <sheetName val="Backup_Rev3"/>
      <sheetName val="Executive_Summary_Buil3"/>
      <sheetName val="Category_List3"/>
      <sheetName val="5a__Code_E3"/>
      <sheetName val="ประมาณการประตูหน้าต่าง_3"/>
      <sheetName val="Bill_4-Guard_House"/>
      <sheetName val="Bill_2-Condo(138_units)"/>
      <sheetName val="Bill_3-Carpark,Services"/>
      <sheetName val="Bill_5-_External_Work"/>
      <sheetName val="Bill_6-Landscape"/>
      <sheetName val="FlatBottomClarifier_(Not_used)"/>
      <sheetName val="Lookup_data"/>
      <sheetName val="Follow_Dwg_"/>
      <sheetName val="封面_16"/>
      <sheetName val="SUMMERY_(BOQ)15"/>
      <sheetName val="Ratio_Quantities10"/>
      <sheetName val="Column_VE_(Coppper)10"/>
      <sheetName val="CORE_WALL_(GL_38-39_I-R)VE10"/>
      <sheetName val="CORE_WALL_(GL_14-19_I-R)VE10"/>
      <sheetName val="CORE_WALL_(GL_27-28_C-F)VE10"/>
      <sheetName val="CORE_WALL_(GL_53-54_J)VE10"/>
      <sheetName val="CORE_WALL_(GL_56-57_J-P)VE10"/>
      <sheetName val="CORE_WALL_(GL_33_C-L)VE10"/>
      <sheetName val="RC_Wall10"/>
      <sheetName val="Struc__Steel10"/>
      <sheetName val="Std_RC_Wall10"/>
      <sheetName val="Std__Column_10"/>
      <sheetName val="Struc_Check_Table_อาคาร_110"/>
      <sheetName val="ข้อมูลประตู_T110"/>
      <sheetName val="ข้อมูลหน้าต่าง_T110"/>
      <sheetName val="ข้อมูลหน้าต่าง_T310"/>
      <sheetName val="Data_Sheet10"/>
      <sheetName val="EST-FOOTING_(G)10"/>
      <sheetName val="ข้อมูลประตู_T210"/>
      <sheetName val="_FS10"/>
      <sheetName val="Sch_2_SN10"/>
      <sheetName val="Sch_3_FP10"/>
      <sheetName val="Sch_4_AC10"/>
      <sheetName val="Sch_6_Prelim10"/>
      <sheetName val="สรุปราคา_(EMC)5"/>
      <sheetName val="Status_Budget5"/>
      <sheetName val="A_O_R_4"/>
      <sheetName val="หน้าปกล่าสุด_(2)4"/>
      <sheetName val="Cover_(2)4"/>
      <sheetName val="งานตกแต่งภายใน_(ตัดSCOPE)4"/>
      <sheetName val="หมวดงานสถาปัตยกรรม_(พาส)ต้นฉบั4"/>
      <sheetName val="EE_4"/>
      <sheetName val="AC_(2)4"/>
      <sheetName val="bill_24"/>
      <sheetName val="입찰내역_발주처_양식4"/>
      <sheetName val="price_per_model4"/>
      <sheetName val="summary_sn_fp4"/>
      <sheetName val="book_1_summary4"/>
      <sheetName val="construction_cost_summary4"/>
      <sheetName val="sum_1-44"/>
      <sheetName val="Cost_Data4"/>
      <sheetName val="Backup_Rev4"/>
      <sheetName val="Executive_Summary_Buil4"/>
      <sheetName val="Category_List4"/>
      <sheetName val="5a__Code_E4"/>
      <sheetName val="ประมาณการประตูหน้าต่าง_4"/>
      <sheetName val="Bill_4-Guard_House1"/>
      <sheetName val="Bill_2-Condo(138_units)1"/>
      <sheetName val="Bill_3-Carpark,Services1"/>
      <sheetName val="Bill_5-_External_Work1"/>
      <sheetName val="Bill_6-Landscape1"/>
      <sheetName val="FlatBottomClarifier_(Not_used)1"/>
      <sheetName val="Lookup_data1"/>
      <sheetName val="Follow_Dwg_1"/>
      <sheetName val="封面_17"/>
      <sheetName val="SUMMERY_(BOQ)16"/>
      <sheetName val="FIRST_FLOOR15"/>
      <sheetName val="SECOND_FLOOR15"/>
      <sheetName val="3RD_FLOOR15"/>
      <sheetName val="4_TH_FLOOR15"/>
      <sheetName val="1ST-4TH_DOOR_WORK15"/>
      <sheetName val="1ST-4TH_MAIL&amp;FEMALE_TOILET15"/>
      <sheetName val="5THFLOOR_LIFT_LOBBY&amp;CORRIDOR15"/>
      <sheetName val="Back_Up15"/>
      <sheetName val="Concrete_Beam15"/>
      <sheetName val="ส่งมอบงาน_11"/>
      <sheetName val="Grand_Summary_(2)11"/>
      <sheetName val="Grand_Summary_11"/>
      <sheetName val="_BOQ_WELCOME_11"/>
      <sheetName val="Grand_Sum_VO11"/>
      <sheetName val="Sum_VIP_VO11"/>
      <sheetName val="SAN_REDUCED_111"/>
      <sheetName val="S3_Architectural11"/>
      <sheetName val="Ratio_Quantities11"/>
      <sheetName val="Column_VE_(Coppper)11"/>
      <sheetName val="CORE_WALL_(GL_38-39_I-R)VE11"/>
      <sheetName val="CORE_WALL_(GL_14-19_I-R)VE11"/>
      <sheetName val="CORE_WALL_(GL_27-28_C-F)VE11"/>
      <sheetName val="CORE_WALL_(GL_53-54_J)VE11"/>
      <sheetName val="CORE_WALL_(GL_56-57_J-P)VE11"/>
      <sheetName val="CORE_WALL_(GL_33_C-L)VE11"/>
      <sheetName val="RC_Wall11"/>
      <sheetName val="Struc__Steel11"/>
      <sheetName val="Std_RC_Wall11"/>
      <sheetName val="Std__Column_11"/>
      <sheetName val="Struc_Check_Table_อาคาร_111"/>
      <sheetName val="ข้อมูลประตู_T111"/>
      <sheetName val="ข้อมูลหน้าต่าง_T111"/>
      <sheetName val="ข้อมูลหน้าต่าง_T311"/>
      <sheetName val="Data_Sheet11"/>
      <sheetName val="EST-FOOTING_(G)11"/>
      <sheetName val="ข้อมูลประตู_T211"/>
      <sheetName val="_FS11"/>
      <sheetName val="Sch_2_SN11"/>
      <sheetName val="Sch_3_FP11"/>
      <sheetName val="Sch_4_AC11"/>
      <sheetName val="Sch_6_Prelim11"/>
      <sheetName val="สรุปราคา_(EMC)6"/>
      <sheetName val="Status_Budget6"/>
      <sheetName val="A_O_R_5"/>
      <sheetName val="หน้าปกล่าสุด_(2)5"/>
      <sheetName val="Cover_(2)5"/>
      <sheetName val="งานตกแต่งภายใน_(ตัดSCOPE)5"/>
      <sheetName val="หมวดงานสถาปัตยกรรม_(พาส)ต้นฉบั5"/>
      <sheetName val="EE_5"/>
      <sheetName val="AC_(2)5"/>
      <sheetName val="bill_25"/>
      <sheetName val="입찰내역_발주처_양식5"/>
      <sheetName val="price_per_model5"/>
      <sheetName val="summary_sn_fp5"/>
      <sheetName val="book_1_summary5"/>
      <sheetName val="construction_cost_summary5"/>
      <sheetName val="sum_1-45"/>
      <sheetName val="Cost_Data5"/>
      <sheetName val="Backup_Rev5"/>
      <sheetName val="Executive_Summary_Buil5"/>
      <sheetName val="Category_List5"/>
      <sheetName val="5a__Code_E5"/>
      <sheetName val="ประมาณการประตูหน้าต่าง_5"/>
      <sheetName val="Bill_4-Guard_House2"/>
      <sheetName val="Bill_2-Condo(138_units)2"/>
      <sheetName val="Bill_3-Carpark,Services2"/>
      <sheetName val="Bill_5-_External_Work2"/>
      <sheetName val="Bill_6-Landscape2"/>
      <sheetName val="FlatBottomClarifier_(Not_used)2"/>
      <sheetName val="Lookup_data2"/>
      <sheetName val="Follow_Dwg_2"/>
      <sheetName val="งานเพิ่ม-ลด"/>
      <sheetName val="ภูมิทัศน์"/>
      <sheetName val="Z"/>
      <sheetName val="Cash2"/>
      <sheetName val="ตารางส่วนลด EE."/>
      <sheetName val="DWi"/>
      <sheetName val="GB1"/>
      <sheetName val="Key_Data"/>
      <sheetName val="cover_page"/>
      <sheetName val="รถพ่วงขนส่ง"/>
      <sheetName val="ราคาวัสดุ-ค่าแรง"/>
      <sheetName val="สิบล้อขนส่ง"/>
      <sheetName val="ข้อมูลคำนวณ1"/>
      <sheetName val="Multi_Box 1"/>
      <sheetName val="ค่างานต้นทุน"/>
      <sheetName val="หกล้อขนส่ง"/>
      <sheetName val="ข้อมูลสะพาน1"/>
      <sheetName val="ค่างานต้นทุนสะพาน1"/>
      <sheetName val="ราคาราง"/>
      <sheetName val="ดินตัด-ถม"/>
      <sheetName val="ทางเชื่อม"/>
      <sheetName val="ปร.4สะพาน1"/>
      <sheetName val="sh_vpm_fr"/>
      <sheetName val="建築工事費"/>
      <sheetName val="bq"/>
      <sheetName val="Definition_Table"/>
      <sheetName val="Unit_rate_Architecture1"/>
      <sheetName val="Definition_Table1"/>
      <sheetName val="List data adj."/>
      <sheetName val="LEGEND"/>
      <sheetName val="EE PRICE"/>
      <sheetName val="10. Sturcture wall"/>
      <sheetName val="1.Executive"/>
      <sheetName val="sheetNO"/>
      <sheetName val="Quotation"/>
      <sheetName val="backup"/>
      <sheetName val="U_P BASE"/>
      <sheetName val="ดัชนีราคา"/>
      <sheetName val="กรอกราคา"/>
      <sheetName val="概総括1"/>
      <sheetName val="BM"/>
      <sheetName val="Project_Data"/>
      <sheetName val="hvac_boq"/>
      <sheetName val="Equip_Item_Dets"/>
      <sheetName val="Pipe_Item_Dets"/>
      <sheetName val="Civil_Item_Dets"/>
      <sheetName val="Inst_Item_Dets"/>
      <sheetName val="Elec_Item_Dets"/>
      <sheetName val="Paint_Item_Dets"/>
      <sheetName val="By_Branch"/>
      <sheetName val="summary all"/>
      <sheetName val="기성내역"/>
      <sheetName val="Sheet9"/>
      <sheetName val="ค่าขนส่ง(6ล้อ)"/>
      <sheetName val="BOQ건축"/>
      <sheetName val="Cost Summary"/>
      <sheetName val="TTL"/>
      <sheetName val="ส.อุดร (2)"/>
      <sheetName val="开办费估算简表"/>
      <sheetName val="4-机械及周转料具"/>
      <sheetName val="main"/>
      <sheetName val="말뚝물량"/>
      <sheetName val="Cost_per_SQM_M&amp;E11"/>
      <sheetName val="TOTAL_-BUILDING_E111"/>
      <sheetName val="SUM_-_MEP(E1)_11"/>
      <sheetName val="Air(E1_)11"/>
      <sheetName val="Fp(E1)___11"/>
      <sheetName val="SUMMARY_MEP11"/>
      <sheetName val="SUM_-_MEP_BUILDING11"/>
      <sheetName val="Electrical_System_11"/>
      <sheetName val="Commuication_System11"/>
      <sheetName val="Air_Conditioning__System__11"/>
      <sheetName val="Sanitary_System_11"/>
      <sheetName val="Fire_Protection_System_11"/>
      <sheetName val="ปี_256211"/>
      <sheetName val="รายการ_VE11"/>
      <sheetName val="Type_A-111"/>
      <sheetName val="Type_A-1M11"/>
      <sheetName val="Type_B-111"/>
      <sheetName val="Type_C111"/>
      <sheetName val="Type_C-211"/>
      <sheetName val="Type_C-311"/>
      <sheetName val="Type_C-511"/>
      <sheetName val="Type_DP-511"/>
      <sheetName val="Type_LOFT-111"/>
      <sheetName val="Type_LOFT-2_11"/>
      <sheetName val="Type_LOFT-2M11"/>
      <sheetName val="Type_LOFT_311"/>
      <sheetName val="Type_LOFT-411"/>
      <sheetName val="Type_LOFT-511"/>
      <sheetName val="Type_LOFT-611"/>
      <sheetName val="Type_LOFT-711"/>
      <sheetName val="Type_PH-A11"/>
      <sheetName val="Type_PH-B11"/>
      <sheetName val="Type_PH-C11"/>
      <sheetName val="Type_PH-D11"/>
      <sheetName val="Type_PH-E11"/>
      <sheetName val="Sum_LAND11"/>
      <sheetName val="SUM_M&amp;E11"/>
      <sheetName val="Grand_Summary_(_Variation)11"/>
      <sheetName val="ST_work_con_M11"/>
      <sheetName val="ST_work_con_carpark11"/>
      <sheetName val="ST_work_M11"/>
      <sheetName val="ST_work_Facad(M)_11"/>
      <sheetName val="ST_work_carpark11"/>
      <sheetName val="back_up_arc_Car_Park11"/>
      <sheetName val="backup_str_carpark11"/>
      <sheetName val="back_up_arc__M11"/>
      <sheetName val="แยกงาน_ผนัง_พื้น_ฝ้า_สี11"/>
      <sheetName val="Grand_SUMMARY_MEP_11"/>
      <sheetName val="แยกงาน_(2)11"/>
      <sheetName val="KKC_Brkdwn11"/>
      <sheetName val="Factor_F_Data11"/>
      <sheetName val="Fee_Rate_Summary11"/>
      <sheetName val="Discounted_Cash_Flow11"/>
      <sheetName val="A1_211"/>
      <sheetName val="Bill_No__2_-_Carpark11"/>
      <sheetName val="Garph_Work-Cost11"/>
      <sheetName val="OR21_Final_Forecast_Rev_211"/>
      <sheetName val="Summary_Forecast_Budget_1&amp;211"/>
      <sheetName val="Summary_Forecast_Budget_Rev_211"/>
      <sheetName val="Backup_OR21_11"/>
      <sheetName val="BOQ__VI_03_09_19_11"/>
      <sheetName val="Backup_BR_BMA11"/>
      <sheetName val="Budget_for_ENT11"/>
      <sheetName val="ADJ__D-Wall&amp;BR_Ent__Rev_2_111"/>
      <sheetName val="Rebar+Conพื้น_Waste10%11"/>
      <sheetName val="Backup_D-Wall_Ent__13_07_1911"/>
      <sheetName val="Backup_BR_ENT__13_07_1911"/>
      <sheetName val="IMP_OR21_2019_07_1111"/>
      <sheetName val="Car_11"/>
      <sheetName val="TDC_COA_Sumry11"/>
      <sheetName val="COA_Sumry_by_Area11"/>
      <sheetName val="COA_Sumry_by_Contr11"/>
      <sheetName val="COA_Sumry_by_RG11"/>
      <sheetName val="TDC_COA_Grp_Sumry11"/>
      <sheetName val="TDC_Item_Dets-Full11"/>
      <sheetName val="TDC_Item_Dets-IPM-Full11"/>
      <sheetName val="TDC_Item_Dets11"/>
      <sheetName val="TDC_Item_Sumry11"/>
      <sheetName val="TDC_Key_Qty_Sumry11"/>
      <sheetName val="List_-_Components11"/>
      <sheetName val="List_-_Equipment11"/>
      <sheetName val="Project_Metrics11"/>
      <sheetName val="COA_Sumry_-_Std_Imp11"/>
      <sheetName val="Contr_TDC_-_Std_Imp11"/>
      <sheetName val="Item_Sumry_-_Std_Imp11"/>
      <sheetName val="Proj_TIC_-_Std_Imp11"/>
      <sheetName val="Unit_Costs_-_Std_Imp11"/>
      <sheetName val="Unit_MH_-_Std_Imp11"/>
      <sheetName val="10_ข้อมูลวัสดุ-ค่าดำเนิน11"/>
      <sheetName val="REF_ONLY211"/>
      <sheetName val="BOX_Cryostat_Details11"/>
      <sheetName val="Driver_Linac_Layout11"/>
      <sheetName val="Magnet_Details11"/>
      <sheetName val="King_111"/>
      <sheetName val="แผนงาน_อบต_ท่าลาน(ส่งเทศบาล)11"/>
      <sheetName val="detail_11"/>
      <sheetName val="Construction_cost_assumption11"/>
      <sheetName val="JLL_Assumption11"/>
      <sheetName val="Retail_Program&amp;Rev_Assumption11"/>
      <sheetName val="Factor_F_งาน_DB_8"/>
      <sheetName val="Site_OH-Main_Construction8"/>
      <sheetName val="Site_OH-HMA8"/>
      <sheetName val="Para_Slurry_Seal8"/>
      <sheetName val="Agg__for_Para_Type_III8"/>
      <sheetName val="Agg__for_Para_TypeIII_Haulage8"/>
      <sheetName val="Tack_Coat-16+400A,B8"/>
      <sheetName val="Earth_Excavation8"/>
      <sheetName val="B1_Selected_Mat8"/>
      <sheetName val="B1_CTB_In-Plant8"/>
      <sheetName val="Tack_Coat-17+100B8"/>
      <sheetName val="Milling_5cm-ทางลงเชียงราก8"/>
      <sheetName val="Tack_Coat-ทางลงเชียงราก8"/>
      <sheetName val="Toll_Fee8"/>
      <sheetName val="Traffic_Management8"/>
      <sheetName val="ทำนบดิน_411"/>
      <sheetName val="Purchase_Order11"/>
      <sheetName val="Customize_Your_Purchase_Order11"/>
      <sheetName val="back_up_FL_411"/>
      <sheetName val="bk_unit_rate8"/>
      <sheetName val="11_ข้อมูลงานCon8"/>
      <sheetName val="12_ข้อมูลงานไม้แบบ8"/>
      <sheetName val="ตกแต่ง-อาคาร_A8"/>
      <sheetName val="ตกแต่ง-อาคาร_B8"/>
      <sheetName val="ตกแต่ง-อาคาร_C8"/>
      <sheetName val="ตกแต่ง-อาคาร_E8"/>
      <sheetName val="MS_Box8"/>
      <sheetName val="MOLP_C8"/>
      <sheetName val="36_rc__pipe(2หน้า)8"/>
      <sheetName val="bp_bill-mark8"/>
      <sheetName val="Sch_28"/>
      <sheetName val="Attach1(สรุปรวม)_8"/>
      <sheetName val="Attach2(BOQ_Detail)_8"/>
      <sheetName val="Attach3(Measurement)_(Topping)8"/>
      <sheetName val="Attach3(Measurement)_(FL_FINIS8"/>
      <sheetName val="Attach3(Check_Sheet)8"/>
      <sheetName val="_(FL_Finis)8"/>
      <sheetName val="PRICE_LIST8"/>
      <sheetName val="basic_rate8"/>
      <sheetName val="3-145_input_plan8"/>
      <sheetName val="Land_Dev't__Ph-14"/>
      <sheetName val="worksheet_inchican4"/>
      <sheetName val="combined_9-304"/>
      <sheetName val="COMPARATIVE_SUMMARY4"/>
      <sheetName val="BOQ_(typ-accent)4"/>
      <sheetName val="DMD_Office4"/>
      <sheetName val="ADMIN_OFFICE_(2)4"/>
      <sheetName val="exec_summary4"/>
      <sheetName val="3-CAPARS_Log4"/>
      <sheetName val="area_converter4"/>
      <sheetName val="___合同台账__4"/>
      <sheetName val="Link_ห้ามลบ4"/>
      <sheetName val="Drop_Down4"/>
      <sheetName val="Summary_cal4"/>
      <sheetName val="d_makan4"/>
      <sheetName val="Unit_rate_Architecture2"/>
      <sheetName val="FIRST_FLOOR17"/>
      <sheetName val="SECOND_FLOOR17"/>
      <sheetName val="3RD_FLOOR17"/>
      <sheetName val="4_TH_FLOOR17"/>
      <sheetName val="1ST-4TH_DOOR_WORK17"/>
      <sheetName val="1ST-4TH_MAIL&amp;FEMALE_TOILET17"/>
      <sheetName val="5THFLOOR_LIFT_LOBBY&amp;CORRIDOR17"/>
      <sheetName val="Back_Up17"/>
      <sheetName val="Concrete_Beam17"/>
      <sheetName val="ส่งมอบงาน_13"/>
      <sheetName val="Grand_Summary_(2)13"/>
      <sheetName val="Grand_Summary_13"/>
      <sheetName val="_BOQ_WELCOME_13"/>
      <sheetName val="Grand_Sum_VO13"/>
      <sheetName val="Sum_VIP_VO13"/>
      <sheetName val="SAN_REDUCED_113"/>
      <sheetName val="S3_Architectural13"/>
      <sheetName val="TOTAL_-BUILDING_E112"/>
      <sheetName val="SUM_-_MEP(E1)_12"/>
      <sheetName val="Air(E1_)12"/>
      <sheetName val="Fp(E1)___12"/>
      <sheetName val="SUMMARY_MEP12"/>
      <sheetName val="SUM_-_MEP_BUILDING12"/>
      <sheetName val="Electrical_System_12"/>
      <sheetName val="Commuication_System12"/>
      <sheetName val="Air_Conditioning__System__12"/>
      <sheetName val="Sanitary_System_12"/>
      <sheetName val="Fire_Protection_System_12"/>
      <sheetName val="Cost_per_SQM_M&amp;E12"/>
      <sheetName val="KKC_Brkdwn12"/>
      <sheetName val="Factor_F_Data12"/>
      <sheetName val="รายการ_VE12"/>
      <sheetName val="Type_A-112"/>
      <sheetName val="Type_A-1M12"/>
      <sheetName val="Type_B-112"/>
      <sheetName val="Type_C112"/>
      <sheetName val="Type_C-212"/>
      <sheetName val="Type_C-312"/>
      <sheetName val="Type_C-512"/>
      <sheetName val="Type_DP-512"/>
      <sheetName val="Type_LOFT-112"/>
      <sheetName val="Type_LOFT-2_12"/>
      <sheetName val="Type_LOFT-2M12"/>
      <sheetName val="Type_LOFT_312"/>
      <sheetName val="Type_LOFT-412"/>
      <sheetName val="Type_LOFT-512"/>
      <sheetName val="Type_LOFT-612"/>
      <sheetName val="Type_LOFT-712"/>
      <sheetName val="Type_PH-A12"/>
      <sheetName val="Type_PH-B12"/>
      <sheetName val="Type_PH-C12"/>
      <sheetName val="Type_PH-D12"/>
      <sheetName val="Type_PH-E12"/>
      <sheetName val="Sum_LAND12"/>
      <sheetName val="SUM_M&amp;E12"/>
      <sheetName val="Grand_Summary_(_Variation)12"/>
      <sheetName val="ST_work_con_M12"/>
      <sheetName val="ST_work_con_carpark12"/>
      <sheetName val="ST_work_M12"/>
      <sheetName val="ST_work_Facad(M)_12"/>
      <sheetName val="ST_work_carpark12"/>
      <sheetName val="back_up_arc_Car_Park12"/>
      <sheetName val="backup_str_carpark12"/>
      <sheetName val="back_up_arc__M12"/>
      <sheetName val="แยกงาน_ผนัง_พื้น_ฝ้า_สี12"/>
      <sheetName val="Grand_SUMMARY_MEP_12"/>
      <sheetName val="แยกงาน_(2)12"/>
      <sheetName val="ปี_256212"/>
      <sheetName val="King_112"/>
      <sheetName val="Discounted_Cash_Flow12"/>
      <sheetName val="Garph_Work-Cost12"/>
      <sheetName val="Fee_Rate_Summary12"/>
      <sheetName val="OR21_Final_Forecast_Rev_212"/>
      <sheetName val="Summary_Forecast_Budget_1&amp;212"/>
      <sheetName val="Summary_Forecast_Budget_Rev_212"/>
      <sheetName val="Backup_OR21_12"/>
      <sheetName val="BOQ__VI_03_09_19_12"/>
      <sheetName val="Backup_BR_BMA12"/>
      <sheetName val="Budget_for_ENT12"/>
      <sheetName val="ADJ__D-Wall&amp;BR_Ent__Rev_2_112"/>
      <sheetName val="Rebar+Conพื้น_Waste10%12"/>
      <sheetName val="Backup_D-Wall_Ent__13_07_1912"/>
      <sheetName val="Backup_BR_ENT__13_07_1912"/>
      <sheetName val="IMP_OR21_2019_07_1112"/>
      <sheetName val="10_ข้อมูลวัสดุ-ค่าดำเนิน12"/>
      <sheetName val="REF_ONLY212"/>
      <sheetName val="Bill_No__2_-_Carpark12"/>
      <sheetName val="Car_12"/>
      <sheetName val="TDC_COA_Sumry12"/>
      <sheetName val="COA_Sumry_by_Area12"/>
      <sheetName val="COA_Sumry_by_Contr12"/>
      <sheetName val="COA_Sumry_by_RG12"/>
      <sheetName val="TDC_COA_Grp_Sumry12"/>
      <sheetName val="TDC_Item_Dets-Full12"/>
      <sheetName val="TDC_Item_Dets-IPM-Full12"/>
      <sheetName val="TDC_Item_Dets12"/>
      <sheetName val="TDC_Item_Sumry12"/>
      <sheetName val="TDC_Key_Qty_Sumry12"/>
      <sheetName val="List_-_Components12"/>
      <sheetName val="List_-_Equipment12"/>
      <sheetName val="Project_Metrics12"/>
      <sheetName val="COA_Sumry_-_Std_Imp12"/>
      <sheetName val="Contr_TDC_-_Std_Imp12"/>
      <sheetName val="Item_Sumry_-_Std_Imp12"/>
      <sheetName val="Proj_TIC_-_Std_Imp12"/>
      <sheetName val="Unit_Costs_-_Std_Imp12"/>
      <sheetName val="Unit_MH_-_Std_Imp12"/>
      <sheetName val="แผนงาน_อบต_ท่าลาน(ส่งเทศบาล)12"/>
      <sheetName val="A1_212"/>
      <sheetName val="Construction_cost_assumption12"/>
      <sheetName val="JLL_Assumption12"/>
      <sheetName val="Retail_Program&amp;Rev_Assumption12"/>
      <sheetName val="detail_12"/>
      <sheetName val="BOX_Cryostat_Details12"/>
      <sheetName val="Driver_Linac_Layout12"/>
      <sheetName val="Magnet_Details12"/>
      <sheetName val="ทำนบดิน_412"/>
      <sheetName val="Purchase_Order12"/>
      <sheetName val="Customize_Your_Purchase_Order12"/>
      <sheetName val="back_up_FL_412"/>
      <sheetName val="Factor_F_งาน_DB_9"/>
      <sheetName val="Site_OH-Main_Construction9"/>
      <sheetName val="Site_OH-HMA9"/>
      <sheetName val="Para_Slurry_Seal9"/>
      <sheetName val="Agg__for_Para_Type_III9"/>
      <sheetName val="Agg__for_Para_TypeIII_Haulage9"/>
      <sheetName val="Tack_Coat-16+400A,B9"/>
      <sheetName val="Earth_Excavation9"/>
      <sheetName val="B1_Selected_Mat9"/>
      <sheetName val="B1_CTB_In-Plant9"/>
      <sheetName val="Tack_Coat-17+100B9"/>
      <sheetName val="Milling_5cm-ทางลงเชียงราก9"/>
      <sheetName val="Tack_Coat-ทางลงเชียงราก9"/>
      <sheetName val="Toll_Fee9"/>
      <sheetName val="Traffic_Management9"/>
      <sheetName val="ตกแต่ง-อาคาร_A9"/>
      <sheetName val="ตกแต่ง-อาคาร_B9"/>
      <sheetName val="ตกแต่ง-อาคาร_C9"/>
      <sheetName val="ตกแต่ง-อาคาร_E9"/>
      <sheetName val="Attach1(สรุปรวม)_9"/>
      <sheetName val="Attach2(BOQ_Detail)_9"/>
      <sheetName val="Attach3(Measurement)_(Topping)9"/>
      <sheetName val="Attach3(Measurement)_(FL_FINIS9"/>
      <sheetName val="Attach3(Check_Sheet)9"/>
      <sheetName val="_(FL_Finis)9"/>
      <sheetName val="bp_bill-mark9"/>
      <sheetName val="11_ข้อมูลงานCon9"/>
      <sheetName val="12_ข้อมูลงานไม้แบบ9"/>
      <sheetName val="MS_Box9"/>
      <sheetName val="MOLP_C9"/>
      <sheetName val="3-145_input_plan9"/>
      <sheetName val="Sch_29"/>
      <sheetName val="bk_unit_rate9"/>
      <sheetName val="basic_rate9"/>
      <sheetName val="PRICE_LIST9"/>
      <sheetName val="36_rc__pipe(2หน้า)9"/>
      <sheetName val="Land_Dev't__Ph-15"/>
      <sheetName val="worksheet_inchican5"/>
      <sheetName val="combined_9-305"/>
      <sheetName val="COMPARATIVE_SUMMARY5"/>
      <sheetName val="BOQ_(typ-accent)5"/>
      <sheetName val="DMD_Office5"/>
      <sheetName val="ADMIN_OFFICE_(2)5"/>
      <sheetName val="exec_summary5"/>
      <sheetName val="3-CAPARS_Log5"/>
      <sheetName val="area_converter5"/>
      <sheetName val="___合同台账__5"/>
      <sheetName val="Link_ห้ามลบ5"/>
      <sheetName val="Drop_Down5"/>
      <sheetName val="Summary_cal5"/>
      <sheetName val="d_makan5"/>
      <sheetName val="Unit_rate_Architecture3"/>
      <sheetName val="O3 Struct"/>
      <sheetName val="S-curve"/>
      <sheetName val="ค่าขนส่ง(พ่วง)"/>
      <sheetName val="DPVT"/>
      <sheetName val="รวม"/>
      <sheetName val="สรุปราคา_(EMC)8"/>
      <sheetName val="Status_Budget8"/>
      <sheetName val="A_O_R_7"/>
      <sheetName val="bill_27"/>
      <sheetName val="입찰내역_발주처_양식7"/>
      <sheetName val="price_per_model7"/>
      <sheetName val="Cost_Data7"/>
      <sheetName val="summary_sn_fp7"/>
      <sheetName val="หน้าปกล่าสุด_(2)7"/>
      <sheetName val="Cover_(2)7"/>
      <sheetName val="งานตกแต่งภายใน_(ตัดSCOPE)7"/>
      <sheetName val="หมวดงานสถาปัตยกรรม_(พาส)ต้นฉบั7"/>
      <sheetName val="EE_7"/>
      <sheetName val="AC_(2)7"/>
      <sheetName val="Backup_Rev7"/>
      <sheetName val="book_1_summary7"/>
      <sheetName val="construction_cost_summary7"/>
      <sheetName val="sum_1-47"/>
      <sheetName val="Executive_Summary_Buil7"/>
      <sheetName val="Category_List7"/>
      <sheetName val="5a__Code_E7"/>
      <sheetName val="สรุปราคา_(EMC)9"/>
      <sheetName val="Status_Budget9"/>
      <sheetName val="A_O_R_8"/>
      <sheetName val="bill_28"/>
      <sheetName val="입찰내역_발주처_양식8"/>
      <sheetName val="price_per_model8"/>
      <sheetName val="Cost_Data8"/>
      <sheetName val="summary_sn_fp8"/>
      <sheetName val="หน้าปกล่าสุด_(2)8"/>
      <sheetName val="Cover_(2)8"/>
      <sheetName val="งานตกแต่งภายใน_(ตัดSCOPE)8"/>
      <sheetName val="หมวดงานสถาปัตยกรรม_(พาส)ต้นฉบั8"/>
      <sheetName val="EE_8"/>
      <sheetName val="AC_(2)8"/>
      <sheetName val="Backup_Rev8"/>
      <sheetName val="book_1_summary8"/>
      <sheetName val="construction_cost_summary8"/>
      <sheetName val="sum_1-48"/>
      <sheetName val="Executive_Summary_Buil8"/>
      <sheetName val="Category_List8"/>
      <sheetName val="5a__Code_E8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Exp"/>
      <sheetName val="BPI-LOP"/>
      <sheetName val="P-Air"/>
      <sheetName val="งานบริหารโครงสร้างและดำเนินการ"/>
      <sheetName val="Ratio_Quantities13"/>
      <sheetName val="Column_VE_(Coppper)13"/>
      <sheetName val="CORE_WALL_(GL_38-39_I-R)VE13"/>
      <sheetName val="CORE_WALL_(GL_14-19_I-R)VE13"/>
      <sheetName val="CORE_WALL_(GL_27-28_C-F)VE13"/>
      <sheetName val="CORE_WALL_(GL_53-54_J)VE13"/>
      <sheetName val="CORE_WALL_(GL_56-57_J-P)VE13"/>
      <sheetName val="CORE_WALL_(GL_33_C-L)VE13"/>
      <sheetName val="RC_Wall13"/>
      <sheetName val="Struc__Steel13"/>
      <sheetName val="Std_RC_Wall13"/>
      <sheetName val="Std__Column_13"/>
      <sheetName val="Struc_Check_Table_อาคาร_113"/>
      <sheetName val="ปี_256213"/>
      <sheetName val="ข้อมูลประตู_T113"/>
      <sheetName val="ข้อมูลหน้าต่าง_T113"/>
      <sheetName val="ข้อมูลหน้าต่าง_T313"/>
      <sheetName val="ข้อมูลประตู_T213"/>
      <sheetName val="Data_Sheet13"/>
      <sheetName val="EST-FOOTING_(G)13"/>
      <sheetName val="Cost_per_SQM_M&amp;E13"/>
      <sheetName val="_FS13"/>
      <sheetName val="Sch_2_SN13"/>
      <sheetName val="Sch_3_FP13"/>
      <sheetName val="Sch_4_AC13"/>
      <sheetName val="Sch_6_Prelim13"/>
      <sheetName val="TOTAL_-BUILDING_E113"/>
      <sheetName val="SUM_-_MEP(E1)_13"/>
      <sheetName val="Air(E1_)13"/>
      <sheetName val="Fp(E1)___13"/>
      <sheetName val="SUMMARY_MEP13"/>
      <sheetName val="SUM_-_MEP_BUILDING13"/>
      <sheetName val="Electrical_System_13"/>
      <sheetName val="Commuication_System13"/>
      <sheetName val="Air_Conditioning__System__13"/>
      <sheetName val="Sanitary_System_13"/>
      <sheetName val="Fire_Protection_System_13"/>
      <sheetName val="KKC_Brkdwn13"/>
      <sheetName val="Factor_F_Data13"/>
      <sheetName val="Grand_Summary_(_Variation)13"/>
      <sheetName val="ST_work_con_M13"/>
      <sheetName val="ST_work_con_carpark13"/>
      <sheetName val="ST_work_M13"/>
      <sheetName val="ST_work_Facad(M)_13"/>
      <sheetName val="ST_work_carpark13"/>
      <sheetName val="back_up_arc_Car_Park13"/>
      <sheetName val="backup_str_carpark13"/>
      <sheetName val="back_up_arc__M13"/>
      <sheetName val="แยกงาน_ผนัง_พื้น_ฝ้า_สี13"/>
      <sheetName val="Grand_SUMMARY_MEP_13"/>
      <sheetName val="แยกงาน_(2)13"/>
      <sheetName val="รายการ_VE13"/>
      <sheetName val="Type_A-113"/>
      <sheetName val="Type_A-1M13"/>
      <sheetName val="Type_B-113"/>
      <sheetName val="Type_C113"/>
      <sheetName val="Type_C-213"/>
      <sheetName val="Type_C-313"/>
      <sheetName val="Type_C-513"/>
      <sheetName val="Type_DP-513"/>
      <sheetName val="Type_LOFT-113"/>
      <sheetName val="Type_LOFT-2_13"/>
      <sheetName val="Type_LOFT-2M13"/>
      <sheetName val="Type_LOFT_313"/>
      <sheetName val="Type_LOFT-413"/>
      <sheetName val="Type_LOFT-513"/>
      <sheetName val="Type_LOFT-613"/>
      <sheetName val="Type_LOFT-713"/>
      <sheetName val="Type_PH-A13"/>
      <sheetName val="Type_PH-B13"/>
      <sheetName val="Type_PH-C13"/>
      <sheetName val="Type_PH-D13"/>
      <sheetName val="Type_PH-E13"/>
      <sheetName val="Sum_LAND13"/>
      <sheetName val="SUM_M&amp;E13"/>
      <sheetName val="Fee_Rate_Summary13"/>
      <sheetName val="Discounted_Cash_Flow13"/>
      <sheetName val="Garph_Work-Cost13"/>
      <sheetName val="detail_13"/>
      <sheetName val="10_ข้อมูลวัสดุ-ค่าดำเนิน13"/>
      <sheetName val="REF_ONLY213"/>
      <sheetName val="King_113"/>
      <sheetName val="A1_213"/>
      <sheetName val="Bill_No__2_-_Carpark13"/>
      <sheetName val="แผนงาน_อบต_ท่าลาน(ส่งเทศบาล)13"/>
      <sheetName val="OR21_Final_Forecast_Rev_213"/>
      <sheetName val="Summary_Forecast_Budget_1&amp;213"/>
      <sheetName val="Summary_Forecast_Budget_Rev_213"/>
      <sheetName val="Backup_OR21_13"/>
      <sheetName val="BOQ__VI_03_09_19_13"/>
      <sheetName val="Backup_BR_BMA13"/>
      <sheetName val="Budget_for_ENT13"/>
      <sheetName val="ADJ__D-Wall&amp;BR_Ent__Rev_2_113"/>
      <sheetName val="Rebar+Conพื้น_Waste10%13"/>
      <sheetName val="Backup_D-Wall_Ent__13_07_1913"/>
      <sheetName val="Backup_BR_ENT__13_07_1913"/>
      <sheetName val="IMP_OR21_2019_07_1113"/>
      <sheetName val="back_up_FL_413"/>
      <sheetName val="Car_13"/>
      <sheetName val="TDC_COA_Sumry13"/>
      <sheetName val="COA_Sumry_by_Area13"/>
      <sheetName val="COA_Sumry_by_Contr13"/>
      <sheetName val="COA_Sumry_by_RG13"/>
      <sheetName val="TDC_COA_Grp_Sumry13"/>
      <sheetName val="TDC_Item_Dets-Full13"/>
      <sheetName val="TDC_Item_Dets-IPM-Full13"/>
      <sheetName val="TDC_Item_Dets13"/>
      <sheetName val="TDC_Item_Sumry13"/>
      <sheetName val="TDC_Key_Qty_Sumry13"/>
      <sheetName val="List_-_Components13"/>
      <sheetName val="List_-_Equipment13"/>
      <sheetName val="Project_Metrics13"/>
      <sheetName val="COA_Sumry_-_Std_Imp13"/>
      <sheetName val="Contr_TDC_-_Std_Imp13"/>
      <sheetName val="Item_Sumry_-_Std_Imp13"/>
      <sheetName val="Proj_TIC_-_Std_Imp13"/>
      <sheetName val="Unit_Costs_-_Std_Imp13"/>
      <sheetName val="Unit_MH_-_Std_Imp13"/>
      <sheetName val="Construction_cost_assumption13"/>
      <sheetName val="JLL_Assumption13"/>
      <sheetName val="Retail_Program&amp;Rev_Assumption13"/>
      <sheetName val="BOX_Cryostat_Details13"/>
      <sheetName val="Driver_Linac_Layout13"/>
      <sheetName val="Magnet_Details13"/>
      <sheetName val="Factor_F_งาน_DB_10"/>
      <sheetName val="Site_OH-Main_Construction10"/>
      <sheetName val="Site_OH-HMA10"/>
      <sheetName val="Para_Slurry_Seal10"/>
      <sheetName val="Agg__for_Para_Type_III10"/>
      <sheetName val="Agg__for_Para_TypeIII_Haulage10"/>
      <sheetName val="Tack_Coat-16+400A,B10"/>
      <sheetName val="Earth_Excavation10"/>
      <sheetName val="B1_Selected_Mat10"/>
      <sheetName val="B1_CTB_In-Plant10"/>
      <sheetName val="Tack_Coat-17+100B10"/>
      <sheetName val="Milling_5cm-ทางลงเชียงราก10"/>
      <sheetName val="Tack_Coat-ทางลงเชียงราก10"/>
      <sheetName val="Toll_Fee10"/>
      <sheetName val="Traffic_Management10"/>
      <sheetName val="ทำนบดิน_413"/>
      <sheetName val="Purchase_Order13"/>
      <sheetName val="Customize_Your_Purchase_Order13"/>
      <sheetName val="Attach1(สรุปรวม)_10"/>
      <sheetName val="Attach2(BOQ_Detail)_10"/>
      <sheetName val="Attach3(Measurement)_(Topping10"/>
      <sheetName val="Attach3(Measurement)_(FL_FINI10"/>
      <sheetName val="Attach3(Check_Sheet)10"/>
      <sheetName val="_(FL_Finis)10"/>
      <sheetName val="11_ข้อมูลงานCon10"/>
      <sheetName val="12_ข้อมูลงานไม้แบบ10"/>
      <sheetName val="bp_bill-mark10"/>
      <sheetName val="ตกแต่ง-อาคาร_A10"/>
      <sheetName val="ตกแต่ง-อาคาร_B10"/>
      <sheetName val="ตกแต่ง-อาคาร_C10"/>
      <sheetName val="ตกแต่ง-อาคาร_E10"/>
      <sheetName val="basic_rate10"/>
      <sheetName val="bk_unit_rate10"/>
      <sheetName val="MS_Box10"/>
      <sheetName val="MOLP_C10"/>
      <sheetName val="Sch_210"/>
      <sheetName val="PRICE_LIST10"/>
      <sheetName val="3-145_input_plan10"/>
      <sheetName val="36_rc__pipe(2หน้า)10"/>
      <sheetName val="Land_Dev't__Ph-16"/>
      <sheetName val="worksheet_inchican6"/>
      <sheetName val="combined_9-306"/>
      <sheetName val="COMPARATIVE_SUMMARY6"/>
      <sheetName val="BOQ_(typ-accent)6"/>
      <sheetName val="___合同台账__6"/>
      <sheetName val="DMD_Office6"/>
      <sheetName val="ADMIN_OFFICE_(2)6"/>
      <sheetName val="exec_summary6"/>
      <sheetName val="3-CAPARS_Log6"/>
      <sheetName val="area_converter6"/>
      <sheetName val="Link_ห้ามลบ6"/>
      <sheetName val="Drop_Down6"/>
      <sheetName val="Summary_cal6"/>
      <sheetName val="d_makan6"/>
      <sheetName val="CIF COST ITEM"/>
      <sheetName val="สระน้ำหลัง BO"/>
      <sheetName val="สระน้ำ(ด้านทิศใต้อาคาร B)"/>
      <sheetName val="concretor"/>
      <sheetName val="SqlSource"/>
      <sheetName val="หา FACTOR F"/>
      <sheetName val="unitcost"/>
      <sheetName val="เงินกู้ธนชาติ"/>
      <sheetName val="Trial Balance"/>
      <sheetName val="สรุปราคา_(EMC)10"/>
      <sheetName val="Status_Budget10"/>
      <sheetName val="A_O_R_9"/>
      <sheetName val="bill_29"/>
      <sheetName val="입찰내역_발주처_양식9"/>
      <sheetName val="price_per_model9"/>
      <sheetName val="Cost_Data9"/>
      <sheetName val="summary_sn_fp9"/>
      <sheetName val="หน้าปกล่าสุด_(2)9"/>
      <sheetName val="Cover_(2)9"/>
      <sheetName val="งานตกแต่งภายใน_(ตัดSCOPE)9"/>
      <sheetName val="หมวดงานสถาปัตยกรรม_(พาส)ต้นฉบั9"/>
      <sheetName val="EE_9"/>
      <sheetName val="AC_(2)9"/>
      <sheetName val="Backup_Rev9"/>
      <sheetName val="book_1_summary9"/>
      <sheetName val="construction_cost_summary9"/>
      <sheetName val="sum_1-49"/>
      <sheetName val="Executive_Summary_Buil9"/>
      <sheetName val="Category_List9"/>
      <sheetName val="5a__Code_E9"/>
      <sheetName val="main_sum_(hotel_&amp;_residences)"/>
      <sheetName val="หา_FACTORF"/>
      <sheetName val="RACK_WAY"/>
      <sheetName val="3_มุงหลังคา"/>
      <sheetName val="4_ฝ้าเพดาน"/>
      <sheetName val="5_ผนัง"/>
      <sheetName val="6_งานประตู-หน้าต่าง"/>
      <sheetName val="7_งานพื้นและผิวพื้น"/>
      <sheetName val="8_งานบันได"/>
      <sheetName val="9_งานเบ็ดเตล็ด"/>
      <sheetName val="10_งานไฟฟ้าและสื่อสาร"/>
      <sheetName val="11_นิทรรศการและตกแต่ง"/>
      <sheetName val="KABULLER_XLS"/>
      <sheetName val="Order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/>
      <sheetData sheetId="1727" refreshError="1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 refreshError="1"/>
      <sheetData sheetId="2447"/>
      <sheetData sheetId="2448"/>
      <sheetData sheetId="2449" refreshError="1"/>
      <sheetData sheetId="2450"/>
      <sheetData sheetId="2451"/>
      <sheetData sheetId="2452" refreshError="1"/>
      <sheetData sheetId="2453" refreshError="1"/>
      <sheetData sheetId="2454" refreshError="1"/>
      <sheetData sheetId="2455" refreshError="1"/>
      <sheetData sheetId="2456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 refreshError="1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/>
      <sheetData sheetId="2865"/>
      <sheetData sheetId="2866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 refreshError="1"/>
      <sheetData sheetId="3476" refreshError="1"/>
      <sheetData sheetId="3477"/>
      <sheetData sheetId="3478"/>
      <sheetData sheetId="3479"/>
      <sheetData sheetId="3480"/>
      <sheetData sheetId="3481"/>
      <sheetData sheetId="3482"/>
      <sheetData sheetId="3483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N FP"/>
      <sheetName val="Prelim SN Fire"/>
      <sheetName val="Indirect SN Fire"/>
      <sheetName val="Direct SAN"/>
      <sheetName val="Direct FIRE"/>
      <sheetName val="Factor F Data"/>
      <sheetName val="ภูมิทัศน์"/>
      <sheetName val="วัดใต้"/>
      <sheetName val="設備Pe"/>
      <sheetName val="Summary_SN_FP"/>
      <sheetName val="Prelim_SN_Fire"/>
      <sheetName val="Indirect_SN_Fire"/>
      <sheetName val="Direct_SAN"/>
      <sheetName val="Direct_FIRE"/>
      <sheetName val="Factor_F_Data"/>
      <sheetName val="เงินกู้ธนชาติ"/>
      <sheetName val="Main Sum (Hotel &amp; Residences)"/>
      <sheetName val="X-REF"/>
      <sheetName val="MCB"/>
      <sheetName val="Tableau"/>
      <sheetName val="DQE-MEN-EX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ละเอียดโครงการ"/>
      <sheetName val="คำนวณค่า FACTOR F,พ.ย.58"/>
      <sheetName val="FACTOR Fอาคาร,inst.7%,กพ.55"/>
      <sheetName val="FACTOR Fทาง,inst.7%,กพ.55"/>
      <sheetName val="ปร5"/>
      <sheetName val="ปร4"/>
      <sheetName val="1.1"/>
      <sheetName val="ราคาต่อหน่วย1.1"/>
      <sheetName val="1.2"/>
      <sheetName val="1.3-1.7"/>
      <sheetName val="วัสดุทาง"/>
      <sheetName val="ราคาวัสดุหลัก"/>
      <sheetName val="ราคาวัสดุอื่น"/>
      <sheetName val="ราคาวัสดุหมวด 1"/>
      <sheetName val="ค่าดำเนินการและค่าเสื่อมราคา"/>
      <sheetName val="Backup trial"/>
      <sheetName val="ราคาต่อหน่วย 1.1_1"/>
      <sheetName val="ราคาต่อหน่วย 1.1_2"/>
      <sheetName val="ราคาต่อหน่วย 1.2"/>
      <sheetName val="ราคาต่อหน่วย 1.3-1.8"/>
      <sheetName val="หมวด 2"/>
      <sheetName val="หมวด 3"/>
      <sheetName val="หมวด 4.1"/>
      <sheetName val="หมวด 5"/>
      <sheetName val="หมวด 6"/>
      <sheetName val="หมวด 7"/>
      <sheetName val="หมวด 8"/>
      <sheetName val="เสาเข็ม "/>
      <sheetName val="สรุปค่าขนส่ง"/>
      <sheetName val="ค่าขนส่ง-1"/>
      <sheetName val="ตารางค่าขนส่ง;20.5฿"/>
      <sheetName val="ตารางค่าขนส่ง (2)"/>
      <sheetName val="ค่าดำเนินการ+ค่าเสื่อมฯ20.50฿"/>
      <sheetName val="ราคาวัสดุ"/>
      <sheetName val="ราคา จ.ภูเก็ต'ธค.59"/>
      <sheetName val="ราคา จ.ภูเก็ต"/>
      <sheetName val="ราคา กทม."/>
      <sheetName val="ค่าดำเนินการ+ค่าเสื่อมราคา (2)"/>
      <sheetName val="ราคาวัสดุ1"/>
      <sheetName val="ราคา จ.กระบี่"/>
      <sheetName val="หมวด 4"/>
      <sheetName val="หัวข้อ 9"/>
      <sheetName val="ปริมาณงานหมวด 10"/>
      <sheetName val="ปลูกต้นไม้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วดงานงวดเงิน"/>
      <sheetName val="ปร.5"/>
      <sheetName val="ปร.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BOQ"/>
      <sheetName val="คำนวณ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REA"/>
      <sheetName val="AREAcost"/>
      <sheetName val="ราคาส่วนเพิ่ม"/>
      <sheetName val="landscape"/>
      <sheetName val="lift"/>
      <sheetName val="EE-SIMC"/>
      <sheetName val="EE-อาคารสัญลักษณ์และภูมิสถาปัตย"/>
      <sheetName val="EE_SI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ละเอียดโครงการ"/>
      <sheetName val="คำนวณค่า FACTOR F,พ.ย.58"/>
      <sheetName val="FACTOR Fอาคาร,inst.7%,กพ.55"/>
      <sheetName val="FACTOR Fทาง,inst.7%,กพ.55"/>
      <sheetName val="ปร5"/>
      <sheetName val="ปร4"/>
      <sheetName val="1.1"/>
      <sheetName val="ราคาต่อหน่วย1.1"/>
      <sheetName val="1.2"/>
      <sheetName val="1.3-1.7"/>
      <sheetName val="Backup BOQ"/>
      <sheetName val="วัสดุทาง"/>
      <sheetName val="ราคาวัสดุหลัก"/>
      <sheetName val="ราคาวัสดุอื่น"/>
      <sheetName val="ราคาวัสดุหมวด 1"/>
      <sheetName val="ค่าดำเนินการและค่าเสื่อมราคา"/>
      <sheetName val="ราคาต่อหน่วย 1.1_1"/>
      <sheetName val="ราคาต่อหน่วย 1.1_2"/>
      <sheetName val="ราคาต่อหน่วย 1.2"/>
      <sheetName val="ราคาต่อหน่วย 1.3-1.8"/>
      <sheetName val="หมวด 2"/>
      <sheetName val="หมวด 3"/>
      <sheetName val="หมวด 4.1"/>
      <sheetName val="หมวด 5"/>
      <sheetName val="หมวด 6"/>
      <sheetName val="หมวด 7"/>
      <sheetName val="หมวด 8"/>
      <sheetName val="เสาเข็ม "/>
      <sheetName val="สรุปค่าขนส่ง"/>
      <sheetName val="ค่าขนส่ง-1"/>
      <sheetName val="ตารางค่าขนส่ง;28.5฿"/>
      <sheetName val="ตารางค่าขนส่ง (2)"/>
      <sheetName val="ค่าดำเนินการ+ค่าเสื่อมฯ28.5฿"/>
      <sheetName val="ราคาวัสดุ"/>
      <sheetName val="ราคา กทม.'ม.ค.61"/>
      <sheetName val="ราคา จ.สมุทรปราการ"/>
      <sheetName val="ราคา กทม."/>
      <sheetName val="ค่าดำเนินการ+ค่าเสื่อมราคา (2)"/>
      <sheetName val="ราคาวัสดุ1"/>
      <sheetName val="ราคา จ.กระบี่"/>
      <sheetName val="หมวด 4"/>
      <sheetName val="หัวข้อ 9"/>
      <sheetName val="ปริมาณงานหมวด 10"/>
      <sheetName val="ปลูกต้นไม้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AR."/>
      <sheetName val="Update Sheet"/>
      <sheetName val="1. ST"/>
      <sheetName val="สรุปงานโครงสร้าง"/>
      <sheetName val="1.ฐานราก "/>
      <sheetName val="2.เสา"/>
      <sheetName val="3.ลิฟต์  "/>
      <sheetName val="4.CL"/>
      <sheetName val="5.คาน "/>
      <sheetName val="6.พื้นวางบนคาน"/>
      <sheetName val="พื้นวางบนคาน"/>
      <sheetName val="7.บันได&amp;Ramp"/>
      <sheetName val="8.Flat Slab"/>
      <sheetName val="8.Flat slab "/>
      <sheetName val="9.APPROCH SLAB"/>
      <sheetName val="10.FIN A"/>
      <sheetName val="11.GS 1"/>
      <sheetName val="12.ถังเก็บน้ำใต้ดิน1 "/>
      <sheetName val="13.ถังเก็บน้ำใต้ดิน2"/>
      <sheetName val="14.ถังเก็บน้ำบนดาดฟ้า"/>
      <sheetName val="15.ถังบำบัดน้ำเสีย"/>
      <sheetName val="1.ST FEC"/>
      <sheetName val="16.เหล็กรูปพรรณลิฟต์"/>
      <sheetName val="17.เหล็กรูปพรรณหลังคา 1"/>
      <sheetName val="24.CORBEL"/>
      <sheetName val="ห้องพักขยะ"/>
      <sheetName val="Canopy"/>
      <sheetName val="ระแนงกันแดด TYP-1"/>
      <sheetName val="ระแนงกันแดด TYP-2"/>
      <sheetName val="Che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 รวม (Vat%) (4)"/>
      <sheetName val="S-Curve รวม (Vat%) (3)"/>
      <sheetName val="S-Curve รวม (Vat%)"/>
      <sheetName val="S-Curve รวม (Vat%) (2)"/>
      <sheetName val="S-Curve Center 1 (Vat%) Weekly"/>
      <sheetName val="S-Curve Center 1 (Vat%) month"/>
      <sheetName val="S-Curve Center 1 (Vat%)"/>
      <sheetName val="BOQ RC1"/>
      <sheetName val="S-Curve Center 2 (Vat%) (3)"/>
      <sheetName val="S-Curve Center 2 (Vat%) (2)"/>
      <sheetName val="รายละเอียดงวดงานงวดเงิน  C2"/>
      <sheetName val="S-Curve Center 2 (Vat%)"/>
      <sheetName val="S-Curve Civil+MEP (No Vat)"/>
      <sheetName val="S-Curve Civil (No Vat)"/>
      <sheetName val="S-Curve MEP (No Vat)"/>
      <sheetName val="รายละเอียดงวดงานงวดเงิน C1 &amp; C2"/>
      <sheetName val="รายละเอียดงวดงานงวดเงิน C1"/>
      <sheetName val="รายละเอียดงวดงานงวดเงิน C2-0"/>
      <sheetName val="ครุภัณฑ์"/>
      <sheetName val="รายละเอียดงวดงานงวดเงิน (ต้นฉบั"/>
      <sheetName val="แผนก่อสร้างตาม(Master)"/>
      <sheetName val="รายละเอียดงวดงานงวดเงิน  C2 (2)"/>
      <sheetName val="รายละเอียดงวดงานงวดเงิน  C2 (3)"/>
      <sheetName val="สรุป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DE142"/>
  <sheetViews>
    <sheetView showGridLines="0" zoomScale="70" zoomScaleNormal="70" zoomScaleSheetLayoutView="55" workbookViewId="0">
      <pane xSplit="9" ySplit="11" topLeftCell="J130" activePane="bottomRight" state="frozen"/>
      <selection pane="topRight" activeCell="O1" sqref="O1"/>
      <selection pane="bottomLeft" activeCell="A12" sqref="A12"/>
      <selection pane="bottomRight" activeCell="K137" sqref="K137:AD137"/>
    </sheetView>
  </sheetViews>
  <sheetFormatPr defaultColWidth="9.33203125" defaultRowHeight="23.25" outlineLevelRow="1" outlineLevelCol="1" x14ac:dyDescent="0.5"/>
  <cols>
    <col min="1" max="1" width="12.1640625" style="3" customWidth="1"/>
    <col min="2" max="2" width="12.1640625" style="3" hidden="1" customWidth="1"/>
    <col min="3" max="3" width="61" style="3" customWidth="1"/>
    <col min="4" max="4" width="61" style="3" hidden="1" customWidth="1"/>
    <col min="5" max="6" width="23.6640625" style="3" customWidth="1"/>
    <col min="7" max="8" width="13.1640625" style="3" customWidth="1"/>
    <col min="9" max="9" width="25.83203125" style="3" customWidth="1"/>
    <col min="10" max="56" width="8.83203125" style="3" customWidth="1"/>
    <col min="57" max="91" width="8.83203125" style="3" customWidth="1" outlineLevel="1"/>
    <col min="92" max="103" width="8.83203125" style="3" hidden="1" customWidth="1" outlineLevel="1"/>
    <col min="104" max="104" width="18.83203125" style="3" hidden="1" customWidth="1" outlineLevel="1"/>
    <col min="105" max="105" width="4.33203125" style="3" customWidth="1"/>
    <col min="106" max="16384" width="9.33203125" style="3"/>
  </cols>
  <sheetData>
    <row r="1" spans="1:106" ht="38.25" customHeight="1" x14ac:dyDescent="0.5">
      <c r="A1" s="371" t="s">
        <v>92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</row>
    <row r="2" spans="1:106" s="1" customFormat="1" ht="27" hidden="1" customHeight="1" x14ac:dyDescent="0.55000000000000004">
      <c r="A2" s="4" t="s">
        <v>50</v>
      </c>
      <c r="B2" s="4"/>
      <c r="C2" s="4"/>
      <c r="D2" s="4"/>
      <c r="E2" s="4"/>
      <c r="F2" s="4" t="e">
        <f>TRANSPOSE('NKC2'!J129:CM129)</f>
        <v>#VALUE!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4"/>
    </row>
    <row r="3" spans="1:106" s="1" customFormat="1" ht="27" hidden="1" customHeight="1" thickBot="1" x14ac:dyDescent="0.6">
      <c r="A3" s="4" t="s">
        <v>51</v>
      </c>
      <c r="B3" s="4"/>
      <c r="C3" s="4"/>
      <c r="D3" s="4"/>
      <c r="E3" s="4"/>
      <c r="F3" s="4"/>
      <c r="G3" s="4"/>
      <c r="H3" s="4"/>
      <c r="I3" s="4"/>
      <c r="J3" s="21" t="s">
        <v>52</v>
      </c>
      <c r="K3" s="21"/>
      <c r="L3" s="21"/>
      <c r="M3" s="21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5"/>
      <c r="AS3" s="5"/>
      <c r="AT3" s="5"/>
      <c r="AU3" s="5"/>
      <c r="AV3" s="5"/>
      <c r="AW3" s="5"/>
      <c r="AX3" s="5"/>
      <c r="AY3" s="5"/>
      <c r="AZ3" s="5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W3" s="22"/>
      <c r="BX3" s="22"/>
      <c r="BY3" s="22"/>
      <c r="BZ3" s="22"/>
      <c r="CA3" s="23" t="s">
        <v>53</v>
      </c>
      <c r="CB3" s="28"/>
      <c r="CC3" s="28"/>
      <c r="CD3" s="28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</row>
    <row r="4" spans="1:106" s="1" customFormat="1" ht="27" hidden="1" customHeight="1" thickBot="1" x14ac:dyDescent="0.6">
      <c r="A4" s="4" t="s">
        <v>54</v>
      </c>
      <c r="B4" s="4"/>
      <c r="C4" s="4"/>
      <c r="D4" s="4"/>
      <c r="E4" s="4"/>
      <c r="F4" s="4"/>
      <c r="G4" s="4"/>
      <c r="H4" s="4"/>
      <c r="I4" s="4"/>
      <c r="J4" s="27"/>
      <c r="K4" s="27"/>
      <c r="L4" s="27"/>
      <c r="M4" s="27"/>
      <c r="V4" s="6"/>
      <c r="W4" s="6"/>
      <c r="X4" s="6"/>
      <c r="Y4" s="6"/>
      <c r="Z4" s="6"/>
      <c r="AA4" s="6"/>
      <c r="AB4" s="6"/>
      <c r="AC4" s="6"/>
      <c r="AD4" s="6"/>
      <c r="AE4" s="372"/>
      <c r="AF4" s="372"/>
      <c r="AG4" s="372"/>
      <c r="AH4" s="372"/>
      <c r="AI4" s="372"/>
      <c r="AJ4" s="372"/>
      <c r="AK4" s="52"/>
      <c r="AL4" s="52"/>
      <c r="AM4" s="52"/>
      <c r="AN4" s="7"/>
      <c r="AO4" s="7"/>
      <c r="AP4" s="7"/>
      <c r="AQ4" s="7"/>
      <c r="AR4" s="5"/>
      <c r="AS4" s="5"/>
      <c r="AT4" s="5"/>
      <c r="AU4" s="5"/>
      <c r="AV4" s="5"/>
      <c r="AW4" s="5"/>
      <c r="AX4" s="5"/>
      <c r="AY4" s="5"/>
      <c r="AZ4" s="5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W4" s="22"/>
      <c r="BX4" s="22"/>
      <c r="BY4" s="22"/>
      <c r="BZ4" s="22"/>
      <c r="CA4" s="20" t="s">
        <v>55</v>
      </c>
      <c r="CB4" s="20"/>
      <c r="CC4" s="20"/>
      <c r="CD4" s="20"/>
      <c r="CE4" s="20"/>
      <c r="CF4" s="20"/>
      <c r="CG4" s="20"/>
      <c r="CH4" s="20"/>
      <c r="CI4" s="20"/>
      <c r="CJ4" s="373">
        <v>45901</v>
      </c>
      <c r="CK4" s="373"/>
      <c r="CL4" s="373"/>
      <c r="CM4" s="373"/>
      <c r="CN4" s="373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</row>
    <row r="5" spans="1:106" s="1" customFormat="1" ht="27" hidden="1" customHeight="1" thickBot="1" x14ac:dyDescent="0.6">
      <c r="A5" s="4" t="s">
        <v>56</v>
      </c>
      <c r="B5" s="4"/>
      <c r="C5" s="4"/>
      <c r="D5" s="4"/>
      <c r="E5" s="4"/>
      <c r="F5" s="4"/>
      <c r="G5" s="4"/>
      <c r="H5" s="4"/>
      <c r="I5" s="4"/>
      <c r="J5" s="27"/>
      <c r="K5" s="27"/>
      <c r="L5" s="27"/>
      <c r="M5" s="27"/>
      <c r="V5" s="6"/>
      <c r="W5" s="6"/>
      <c r="X5" s="6"/>
      <c r="Y5" s="6"/>
      <c r="Z5" s="6"/>
      <c r="AA5" s="6"/>
      <c r="AB5" s="6"/>
      <c r="AC5" s="6"/>
      <c r="AD5" s="6"/>
      <c r="AE5" s="372"/>
      <c r="AF5" s="372"/>
      <c r="AG5" s="372"/>
      <c r="AH5" s="372"/>
      <c r="AI5" s="372"/>
      <c r="AJ5" s="372"/>
      <c r="AK5" s="52"/>
      <c r="AL5" s="52"/>
      <c r="AM5" s="52"/>
      <c r="AN5" s="7"/>
      <c r="AO5" s="7"/>
      <c r="AP5" s="7"/>
      <c r="AQ5" s="7"/>
      <c r="AR5" s="5"/>
      <c r="AS5" s="5"/>
      <c r="AT5" s="5"/>
      <c r="AU5" s="5"/>
      <c r="AV5" s="5"/>
      <c r="AW5" s="5"/>
      <c r="AX5" s="5"/>
      <c r="AY5" s="5"/>
      <c r="AZ5" s="5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W5" s="22"/>
      <c r="BX5" s="22"/>
      <c r="BY5" s="22"/>
      <c r="BZ5" s="22"/>
      <c r="CA5" s="20" t="s">
        <v>57</v>
      </c>
      <c r="CB5" s="20"/>
      <c r="CC5" s="20"/>
      <c r="CD5" s="20"/>
      <c r="CE5" s="20"/>
      <c r="CF5" s="20"/>
      <c r="CG5" s="20"/>
      <c r="CH5" s="20"/>
      <c r="CI5" s="20"/>
      <c r="CJ5" s="373">
        <f>CJ4+840-1</f>
        <v>46740</v>
      </c>
      <c r="CK5" s="373"/>
      <c r="CL5" s="373"/>
      <c r="CM5" s="373"/>
      <c r="CN5" s="373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</row>
    <row r="6" spans="1:106" ht="13.5" hidden="1" customHeight="1" thickBot="1" x14ac:dyDescent="0.55000000000000004">
      <c r="A6" s="8"/>
      <c r="B6" s="8"/>
      <c r="C6" s="9"/>
      <c r="D6" s="9"/>
      <c r="E6" s="9"/>
      <c r="F6" s="9"/>
      <c r="G6" s="9"/>
      <c r="H6" s="9"/>
      <c r="I6" s="9"/>
      <c r="J6" s="11"/>
      <c r="K6" s="11"/>
      <c r="L6" s="11"/>
      <c r="M6" s="11"/>
      <c r="N6" s="11"/>
      <c r="O6" s="11"/>
      <c r="P6" s="11"/>
      <c r="Q6" s="11"/>
      <c r="R6" s="12"/>
      <c r="S6" s="12"/>
      <c r="T6" s="12"/>
      <c r="U6" s="12"/>
      <c r="V6" s="11"/>
      <c r="W6" s="11"/>
      <c r="X6" s="11"/>
      <c r="Y6" s="11"/>
      <c r="Z6" s="11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</row>
    <row r="7" spans="1:106" ht="13.5" customHeight="1" thickBot="1" x14ac:dyDescent="0.55000000000000004">
      <c r="A7" s="13"/>
      <c r="B7" s="13"/>
      <c r="C7" s="14"/>
      <c r="D7" s="14"/>
      <c r="E7" s="14"/>
      <c r="F7" s="14"/>
      <c r="G7" s="14"/>
      <c r="H7" s="14"/>
      <c r="I7" s="14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</row>
    <row r="8" spans="1:106" s="2" customFormat="1" ht="27" customHeight="1" thickBot="1" x14ac:dyDescent="0.55000000000000004">
      <c r="A8" s="374" t="s">
        <v>58</v>
      </c>
      <c r="B8" s="172"/>
      <c r="C8" s="377" t="s">
        <v>59</v>
      </c>
      <c r="D8" s="162"/>
      <c r="E8" s="380" t="s">
        <v>60</v>
      </c>
      <c r="F8" s="85"/>
      <c r="G8" s="383" t="s">
        <v>61</v>
      </c>
      <c r="H8" s="86"/>
      <c r="I8" s="194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  <c r="Z8" s="392"/>
      <c r="AA8" s="392"/>
      <c r="AB8" s="392"/>
      <c r="AC8" s="392"/>
      <c r="AD8" s="392"/>
      <c r="AE8" s="392"/>
      <c r="AF8" s="392"/>
      <c r="AG8" s="392"/>
      <c r="AH8" s="392"/>
      <c r="AI8" s="392"/>
      <c r="AJ8" s="392"/>
      <c r="AK8" s="392"/>
      <c r="AL8" s="392"/>
      <c r="AM8" s="392"/>
      <c r="AN8" s="392"/>
      <c r="AO8" s="392"/>
      <c r="AP8" s="392"/>
      <c r="AQ8" s="392"/>
      <c r="AR8" s="392"/>
      <c r="AS8" s="392"/>
      <c r="AT8" s="392"/>
      <c r="AU8" s="392"/>
      <c r="AV8" s="392"/>
      <c r="AW8" s="392"/>
      <c r="AX8" s="392"/>
      <c r="AY8" s="392"/>
      <c r="AZ8" s="392"/>
      <c r="BA8" s="392"/>
      <c r="BB8" s="392"/>
      <c r="BC8" s="392"/>
      <c r="BD8" s="393"/>
      <c r="BE8" s="394">
        <v>2027</v>
      </c>
      <c r="BF8" s="395"/>
      <c r="BG8" s="395"/>
      <c r="BH8" s="395"/>
      <c r="BI8" s="395"/>
      <c r="BJ8" s="395"/>
      <c r="BK8" s="395"/>
      <c r="BL8" s="395"/>
      <c r="BM8" s="395"/>
      <c r="BN8" s="395"/>
      <c r="BO8" s="395"/>
      <c r="BP8" s="395"/>
      <c r="BQ8" s="395"/>
      <c r="BR8" s="395"/>
      <c r="BS8" s="87"/>
      <c r="BT8" s="87"/>
      <c r="BU8" s="87"/>
      <c r="BV8" s="87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  <c r="DA8" s="90"/>
      <c r="DB8" s="90"/>
    </row>
    <row r="9" spans="1:106" s="2" customFormat="1" ht="27" customHeight="1" thickBot="1" x14ac:dyDescent="0.55000000000000004">
      <c r="A9" s="375"/>
      <c r="B9" s="173"/>
      <c r="C9" s="378"/>
      <c r="D9" s="141"/>
      <c r="E9" s="381"/>
      <c r="F9" s="93"/>
      <c r="G9" s="384"/>
      <c r="H9" s="94" t="s">
        <v>0</v>
      </c>
      <c r="I9" s="195"/>
      <c r="J9" s="316" t="s">
        <v>62</v>
      </c>
      <c r="K9" s="317"/>
      <c r="L9" s="317"/>
      <c r="M9" s="318"/>
      <c r="N9" s="316" t="s">
        <v>63</v>
      </c>
      <c r="O9" s="317"/>
      <c r="P9" s="317"/>
      <c r="Q9" s="318"/>
      <c r="R9" s="316" t="s">
        <v>64</v>
      </c>
      <c r="S9" s="317"/>
      <c r="T9" s="317"/>
      <c r="U9" s="318"/>
      <c r="V9" s="316" t="s">
        <v>65</v>
      </c>
      <c r="W9" s="317"/>
      <c r="X9" s="317"/>
      <c r="Y9" s="317"/>
      <c r="Z9" s="318"/>
      <c r="AA9" s="316" t="s">
        <v>66</v>
      </c>
      <c r="AB9" s="317"/>
      <c r="AC9" s="317"/>
      <c r="AD9" s="323"/>
      <c r="AE9" s="322" t="s">
        <v>67</v>
      </c>
      <c r="AF9" s="317"/>
      <c r="AG9" s="317"/>
      <c r="AH9" s="317"/>
      <c r="AI9" s="323"/>
      <c r="AJ9" s="396" t="s">
        <v>68</v>
      </c>
      <c r="AK9" s="397"/>
      <c r="AL9" s="397"/>
      <c r="AM9" s="398"/>
      <c r="AN9" s="396" t="s">
        <v>69</v>
      </c>
      <c r="AO9" s="397"/>
      <c r="AP9" s="397"/>
      <c r="AQ9" s="398"/>
      <c r="AR9" s="322" t="s">
        <v>70</v>
      </c>
      <c r="AS9" s="317"/>
      <c r="AT9" s="317"/>
      <c r="AU9" s="317"/>
      <c r="AV9" s="323"/>
      <c r="AW9" s="322" t="s">
        <v>71</v>
      </c>
      <c r="AX9" s="317"/>
      <c r="AY9" s="317"/>
      <c r="AZ9" s="323"/>
      <c r="BA9" s="322" t="s">
        <v>72</v>
      </c>
      <c r="BB9" s="317"/>
      <c r="BC9" s="317"/>
      <c r="BD9" s="323"/>
      <c r="BE9" s="388" t="s">
        <v>73</v>
      </c>
      <c r="BF9" s="389"/>
      <c r="BG9" s="389"/>
      <c r="BH9" s="389"/>
      <c r="BI9" s="399"/>
      <c r="BJ9" s="385" t="s">
        <v>74</v>
      </c>
      <c r="BK9" s="386"/>
      <c r="BL9" s="386"/>
      <c r="BM9" s="387"/>
      <c r="BN9" s="385" t="s">
        <v>75</v>
      </c>
      <c r="BO9" s="386"/>
      <c r="BP9" s="386"/>
      <c r="BQ9" s="387"/>
      <c r="BR9" s="388" t="s">
        <v>76</v>
      </c>
      <c r="BS9" s="389"/>
      <c r="BT9" s="389"/>
      <c r="BU9" s="389"/>
      <c r="BV9" s="95"/>
      <c r="BW9" s="385" t="s">
        <v>77</v>
      </c>
      <c r="BX9" s="386"/>
      <c r="BY9" s="386"/>
      <c r="BZ9" s="387"/>
      <c r="CA9" s="385" t="s">
        <v>78</v>
      </c>
      <c r="CB9" s="386"/>
      <c r="CC9" s="386"/>
      <c r="CD9" s="387"/>
      <c r="CE9" s="388" t="s">
        <v>79</v>
      </c>
      <c r="CF9" s="389"/>
      <c r="CG9" s="389"/>
      <c r="CH9" s="389"/>
      <c r="CI9" s="95"/>
      <c r="CJ9" s="385" t="s">
        <v>80</v>
      </c>
      <c r="CK9" s="386"/>
      <c r="CL9" s="386"/>
      <c r="CM9" s="387"/>
      <c r="CN9" s="385" t="s">
        <v>81</v>
      </c>
      <c r="CO9" s="386"/>
      <c r="CP9" s="386"/>
      <c r="CQ9" s="387"/>
      <c r="CR9" s="385" t="s">
        <v>82</v>
      </c>
      <c r="CS9" s="386"/>
      <c r="CT9" s="386"/>
      <c r="CU9" s="387"/>
      <c r="CV9" s="385" t="s">
        <v>83</v>
      </c>
      <c r="CW9" s="386"/>
      <c r="CX9" s="386"/>
      <c r="CY9" s="387"/>
      <c r="CZ9" s="96" t="s">
        <v>84</v>
      </c>
      <c r="DA9" s="90"/>
      <c r="DB9" s="90"/>
    </row>
    <row r="10" spans="1:106" s="2" customFormat="1" ht="27" customHeight="1" thickBot="1" x14ac:dyDescent="0.55000000000000004">
      <c r="A10" s="376"/>
      <c r="B10" s="174"/>
      <c r="C10" s="379"/>
      <c r="D10" s="163"/>
      <c r="E10" s="382"/>
      <c r="F10" s="97"/>
      <c r="G10" s="376"/>
      <c r="H10" s="98"/>
      <c r="I10" s="196"/>
      <c r="J10" s="319">
        <v>46054</v>
      </c>
      <c r="K10" s="320"/>
      <c r="L10" s="320"/>
      <c r="M10" s="321"/>
      <c r="N10" s="319">
        <v>46082</v>
      </c>
      <c r="O10" s="320"/>
      <c r="P10" s="320"/>
      <c r="Q10" s="321"/>
      <c r="R10" s="319">
        <v>46113</v>
      </c>
      <c r="S10" s="320"/>
      <c r="T10" s="320"/>
      <c r="U10" s="321"/>
      <c r="V10" s="319">
        <v>46143</v>
      </c>
      <c r="W10" s="320"/>
      <c r="X10" s="320"/>
      <c r="Y10" s="320"/>
      <c r="Z10" s="321"/>
      <c r="AA10" s="319">
        <v>46174</v>
      </c>
      <c r="AB10" s="320"/>
      <c r="AC10" s="320"/>
      <c r="AD10" s="325"/>
      <c r="AE10" s="324">
        <v>46204</v>
      </c>
      <c r="AF10" s="320"/>
      <c r="AG10" s="320"/>
      <c r="AH10" s="320"/>
      <c r="AI10" s="325"/>
      <c r="AJ10" s="368">
        <v>46235</v>
      </c>
      <c r="AK10" s="369"/>
      <c r="AL10" s="369"/>
      <c r="AM10" s="370"/>
      <c r="AN10" s="368">
        <v>46266</v>
      </c>
      <c r="AO10" s="369"/>
      <c r="AP10" s="369"/>
      <c r="AQ10" s="370"/>
      <c r="AR10" s="324">
        <v>46296</v>
      </c>
      <c r="AS10" s="320"/>
      <c r="AT10" s="320"/>
      <c r="AU10" s="320"/>
      <c r="AV10" s="325"/>
      <c r="AW10" s="324">
        <v>46327</v>
      </c>
      <c r="AX10" s="320"/>
      <c r="AY10" s="320"/>
      <c r="AZ10" s="325"/>
      <c r="BA10" s="324">
        <v>46357</v>
      </c>
      <c r="BB10" s="320"/>
      <c r="BC10" s="320"/>
      <c r="BD10" s="325"/>
      <c r="BE10" s="365">
        <v>46388</v>
      </c>
      <c r="BF10" s="366"/>
      <c r="BG10" s="366"/>
      <c r="BH10" s="366"/>
      <c r="BI10" s="367"/>
      <c r="BJ10" s="354">
        <v>46419</v>
      </c>
      <c r="BK10" s="355"/>
      <c r="BL10" s="355"/>
      <c r="BM10" s="356"/>
      <c r="BN10" s="354">
        <v>46447</v>
      </c>
      <c r="BO10" s="355"/>
      <c r="BP10" s="355"/>
      <c r="BQ10" s="356"/>
      <c r="BR10" s="365">
        <v>46478</v>
      </c>
      <c r="BS10" s="366"/>
      <c r="BT10" s="366"/>
      <c r="BU10" s="366"/>
      <c r="BV10" s="99"/>
      <c r="BW10" s="354">
        <v>46508</v>
      </c>
      <c r="BX10" s="355"/>
      <c r="BY10" s="355"/>
      <c r="BZ10" s="356"/>
      <c r="CA10" s="354">
        <v>46539</v>
      </c>
      <c r="CB10" s="355"/>
      <c r="CC10" s="355"/>
      <c r="CD10" s="356"/>
      <c r="CE10" s="365">
        <v>46569</v>
      </c>
      <c r="CF10" s="366"/>
      <c r="CG10" s="366"/>
      <c r="CH10" s="366"/>
      <c r="CI10" s="99"/>
      <c r="CJ10" s="354">
        <v>46600</v>
      </c>
      <c r="CK10" s="355"/>
      <c r="CL10" s="355"/>
      <c r="CM10" s="356"/>
      <c r="CN10" s="354">
        <v>46631</v>
      </c>
      <c r="CO10" s="355"/>
      <c r="CP10" s="355"/>
      <c r="CQ10" s="356"/>
      <c r="CR10" s="354">
        <v>46661</v>
      </c>
      <c r="CS10" s="355"/>
      <c r="CT10" s="355"/>
      <c r="CU10" s="356"/>
      <c r="CV10" s="354">
        <v>46692</v>
      </c>
      <c r="CW10" s="355"/>
      <c r="CX10" s="355"/>
      <c r="CY10" s="356"/>
      <c r="CZ10" s="100">
        <v>46722</v>
      </c>
      <c r="DA10" s="90"/>
      <c r="DB10" s="90"/>
    </row>
    <row r="11" spans="1:106" s="2" customFormat="1" ht="64.5" customHeight="1" thickBot="1" x14ac:dyDescent="0.55000000000000004">
      <c r="A11" s="91"/>
      <c r="B11" s="173" t="s">
        <v>149</v>
      </c>
      <c r="C11" s="92"/>
      <c r="D11" s="159" t="s">
        <v>150</v>
      </c>
      <c r="E11" s="141"/>
      <c r="F11" s="141" t="s">
        <v>151</v>
      </c>
      <c r="G11" s="91" t="s">
        <v>152</v>
      </c>
      <c r="H11" s="222" t="s">
        <v>0</v>
      </c>
      <c r="I11" s="197" t="s">
        <v>154</v>
      </c>
      <c r="J11" s="142">
        <v>46059</v>
      </c>
      <c r="K11" s="143">
        <f>J11+7</f>
        <v>46066</v>
      </c>
      <c r="L11" s="143">
        <f t="shared" ref="L11:Y11" si="0">K11+7</f>
        <v>46073</v>
      </c>
      <c r="M11" s="144">
        <f t="shared" si="0"/>
        <v>46080</v>
      </c>
      <c r="N11" s="142">
        <f t="shared" si="0"/>
        <v>46087</v>
      </c>
      <c r="O11" s="143">
        <f t="shared" si="0"/>
        <v>46094</v>
      </c>
      <c r="P11" s="143">
        <f t="shared" si="0"/>
        <v>46101</v>
      </c>
      <c r="Q11" s="144">
        <f t="shared" si="0"/>
        <v>46108</v>
      </c>
      <c r="R11" s="142">
        <f t="shared" si="0"/>
        <v>46115</v>
      </c>
      <c r="S11" s="143">
        <f t="shared" si="0"/>
        <v>46122</v>
      </c>
      <c r="T11" s="143">
        <f t="shared" si="0"/>
        <v>46129</v>
      </c>
      <c r="U11" s="144">
        <f t="shared" si="0"/>
        <v>46136</v>
      </c>
      <c r="V11" s="142">
        <f t="shared" si="0"/>
        <v>46143</v>
      </c>
      <c r="W11" s="143">
        <f t="shared" si="0"/>
        <v>46150</v>
      </c>
      <c r="X11" s="143">
        <f t="shared" si="0"/>
        <v>46157</v>
      </c>
      <c r="Y11" s="143">
        <f t="shared" si="0"/>
        <v>46164</v>
      </c>
      <c r="Z11" s="144">
        <f t="shared" ref="Z11:BE11" si="1">Y11+7</f>
        <v>46171</v>
      </c>
      <c r="AA11" s="142">
        <f t="shared" si="1"/>
        <v>46178</v>
      </c>
      <c r="AB11" s="143">
        <f t="shared" si="1"/>
        <v>46185</v>
      </c>
      <c r="AC11" s="143">
        <f t="shared" si="1"/>
        <v>46192</v>
      </c>
      <c r="AD11" s="144">
        <f t="shared" si="1"/>
        <v>46199</v>
      </c>
      <c r="AE11" s="142">
        <f t="shared" si="1"/>
        <v>46206</v>
      </c>
      <c r="AF11" s="143">
        <f t="shared" si="1"/>
        <v>46213</v>
      </c>
      <c r="AG11" s="143">
        <f t="shared" si="1"/>
        <v>46220</v>
      </c>
      <c r="AH11" s="143">
        <f t="shared" si="1"/>
        <v>46227</v>
      </c>
      <c r="AI11" s="144">
        <f t="shared" si="1"/>
        <v>46234</v>
      </c>
      <c r="AJ11" s="142">
        <f t="shared" si="1"/>
        <v>46241</v>
      </c>
      <c r="AK11" s="143">
        <f t="shared" si="1"/>
        <v>46248</v>
      </c>
      <c r="AL11" s="143">
        <f t="shared" si="1"/>
        <v>46255</v>
      </c>
      <c r="AM11" s="144">
        <f t="shared" si="1"/>
        <v>46262</v>
      </c>
      <c r="AN11" s="142">
        <f t="shared" si="1"/>
        <v>46269</v>
      </c>
      <c r="AO11" s="143">
        <f t="shared" si="1"/>
        <v>46276</v>
      </c>
      <c r="AP11" s="143">
        <f t="shared" si="1"/>
        <v>46283</v>
      </c>
      <c r="AQ11" s="144">
        <f t="shared" si="1"/>
        <v>46290</v>
      </c>
      <c r="AR11" s="142">
        <f t="shared" si="1"/>
        <v>46297</v>
      </c>
      <c r="AS11" s="143">
        <f t="shared" si="1"/>
        <v>46304</v>
      </c>
      <c r="AT11" s="143">
        <f t="shared" si="1"/>
        <v>46311</v>
      </c>
      <c r="AU11" s="143">
        <f t="shared" si="1"/>
        <v>46318</v>
      </c>
      <c r="AV11" s="144">
        <f t="shared" si="1"/>
        <v>46325</v>
      </c>
      <c r="AW11" s="142">
        <f t="shared" si="1"/>
        <v>46332</v>
      </c>
      <c r="AX11" s="143">
        <f t="shared" si="1"/>
        <v>46339</v>
      </c>
      <c r="AY11" s="143">
        <f t="shared" si="1"/>
        <v>46346</v>
      </c>
      <c r="AZ11" s="144">
        <f t="shared" si="1"/>
        <v>46353</v>
      </c>
      <c r="BA11" s="142">
        <f t="shared" si="1"/>
        <v>46360</v>
      </c>
      <c r="BB11" s="150">
        <f t="shared" si="1"/>
        <v>46367</v>
      </c>
      <c r="BC11" s="150">
        <f t="shared" si="1"/>
        <v>46374</v>
      </c>
      <c r="BD11" s="151">
        <f t="shared" si="1"/>
        <v>46381</v>
      </c>
      <c r="BE11" s="145">
        <f t="shared" si="1"/>
        <v>46388</v>
      </c>
      <c r="BF11" s="146">
        <f t="shared" ref="BF11:CG11" si="2">BE11+7</f>
        <v>46395</v>
      </c>
      <c r="BG11" s="146">
        <f t="shared" si="2"/>
        <v>46402</v>
      </c>
      <c r="BH11" s="146">
        <f t="shared" si="2"/>
        <v>46409</v>
      </c>
      <c r="BI11" s="147">
        <f t="shared" si="2"/>
        <v>46416</v>
      </c>
      <c r="BJ11" s="145">
        <f t="shared" si="2"/>
        <v>46423</v>
      </c>
      <c r="BK11" s="146">
        <f t="shared" si="2"/>
        <v>46430</v>
      </c>
      <c r="BL11" s="146">
        <f t="shared" si="2"/>
        <v>46437</v>
      </c>
      <c r="BM11" s="147">
        <f t="shared" si="2"/>
        <v>46444</v>
      </c>
      <c r="BN11" s="145">
        <f t="shared" si="2"/>
        <v>46451</v>
      </c>
      <c r="BO11" s="146">
        <f t="shared" si="2"/>
        <v>46458</v>
      </c>
      <c r="BP11" s="146">
        <f t="shared" si="2"/>
        <v>46465</v>
      </c>
      <c r="BQ11" s="147">
        <f t="shared" si="2"/>
        <v>46472</v>
      </c>
      <c r="BR11" s="146">
        <f t="shared" si="2"/>
        <v>46479</v>
      </c>
      <c r="BS11" s="146">
        <f t="shared" si="2"/>
        <v>46486</v>
      </c>
      <c r="BT11" s="146">
        <f t="shared" si="2"/>
        <v>46493</v>
      </c>
      <c r="BU11" s="146">
        <f t="shared" si="2"/>
        <v>46500</v>
      </c>
      <c r="BV11" s="146">
        <f t="shared" si="2"/>
        <v>46507</v>
      </c>
      <c r="BW11" s="145">
        <f t="shared" si="2"/>
        <v>46514</v>
      </c>
      <c r="BX11" s="146">
        <f t="shared" si="2"/>
        <v>46521</v>
      </c>
      <c r="BY11" s="146">
        <f t="shared" si="2"/>
        <v>46528</v>
      </c>
      <c r="BZ11" s="147">
        <f t="shared" si="2"/>
        <v>46535</v>
      </c>
      <c r="CA11" s="145">
        <f t="shared" si="2"/>
        <v>46542</v>
      </c>
      <c r="CB11" s="146">
        <f t="shared" si="2"/>
        <v>46549</v>
      </c>
      <c r="CC11" s="146">
        <f t="shared" si="2"/>
        <v>46556</v>
      </c>
      <c r="CD11" s="147">
        <f t="shared" si="2"/>
        <v>46563</v>
      </c>
      <c r="CE11" s="146">
        <f t="shared" si="2"/>
        <v>46570</v>
      </c>
      <c r="CF11" s="146">
        <f t="shared" si="2"/>
        <v>46577</v>
      </c>
      <c r="CG11" s="146">
        <f t="shared" si="2"/>
        <v>46584</v>
      </c>
      <c r="CH11" s="146">
        <f t="shared" ref="CH11:CZ11" si="3">CG11+7</f>
        <v>46591</v>
      </c>
      <c r="CI11" s="146">
        <f>CH11+7</f>
        <v>46598</v>
      </c>
      <c r="CJ11" s="145">
        <f>CI11+7</f>
        <v>46605</v>
      </c>
      <c r="CK11" s="146">
        <f>CJ11+7</f>
        <v>46612</v>
      </c>
      <c r="CL11" s="146">
        <f>CK11+7</f>
        <v>46619</v>
      </c>
      <c r="CM11" s="147">
        <f>CL11+7</f>
        <v>46626</v>
      </c>
      <c r="CN11" s="147">
        <f>CL11+7</f>
        <v>46626</v>
      </c>
      <c r="CO11" s="147">
        <f t="shared" si="3"/>
        <v>46633</v>
      </c>
      <c r="CP11" s="147">
        <f t="shared" si="3"/>
        <v>46640</v>
      </c>
      <c r="CQ11" s="147">
        <f t="shared" si="3"/>
        <v>46647</v>
      </c>
      <c r="CR11" s="147">
        <f t="shared" si="3"/>
        <v>46654</v>
      </c>
      <c r="CS11" s="147">
        <f t="shared" si="3"/>
        <v>46661</v>
      </c>
      <c r="CT11" s="147">
        <f t="shared" si="3"/>
        <v>46668</v>
      </c>
      <c r="CU11" s="147">
        <f t="shared" si="3"/>
        <v>46675</v>
      </c>
      <c r="CV11" s="147">
        <f t="shared" si="3"/>
        <v>46682</v>
      </c>
      <c r="CW11" s="147">
        <f t="shared" si="3"/>
        <v>46689</v>
      </c>
      <c r="CX11" s="147">
        <f t="shared" si="3"/>
        <v>46696</v>
      </c>
      <c r="CY11" s="147">
        <f t="shared" si="3"/>
        <v>46703</v>
      </c>
      <c r="CZ11" s="147">
        <f t="shared" si="3"/>
        <v>46710</v>
      </c>
      <c r="DA11" s="90"/>
      <c r="DB11" s="90"/>
    </row>
    <row r="12" spans="1:106" ht="24.95" customHeight="1" x14ac:dyDescent="0.55000000000000004">
      <c r="A12" s="357"/>
      <c r="B12" s="175"/>
      <c r="C12" s="359" t="s">
        <v>85</v>
      </c>
      <c r="D12" s="161"/>
      <c r="E12" s="39">
        <v>750000000</v>
      </c>
      <c r="F12" s="40">
        <f>E12</f>
        <v>750000000</v>
      </c>
      <c r="G12" s="225" t="s">
        <v>86</v>
      </c>
      <c r="H12" s="226">
        <f>SUM(J12:CZ12)</f>
        <v>0</v>
      </c>
      <c r="I12" s="206"/>
      <c r="J12" s="231"/>
      <c r="K12" s="232"/>
      <c r="L12" s="232"/>
      <c r="M12" s="233"/>
      <c r="N12" s="234"/>
      <c r="O12" s="232"/>
      <c r="P12" s="232"/>
      <c r="Q12" s="233"/>
      <c r="R12" s="235"/>
      <c r="S12" s="232"/>
      <c r="T12" s="232"/>
      <c r="U12" s="233"/>
      <c r="V12" s="234"/>
      <c r="W12" s="232"/>
      <c r="X12" s="232"/>
      <c r="Y12" s="236"/>
      <c r="Z12" s="237"/>
      <c r="AA12" s="234"/>
      <c r="AB12" s="232"/>
      <c r="AC12" s="232"/>
      <c r="AD12" s="233"/>
      <c r="AE12" s="235"/>
      <c r="AF12" s="232"/>
      <c r="AG12" s="232"/>
      <c r="AH12" s="238"/>
      <c r="AI12" s="239"/>
      <c r="AJ12" s="234"/>
      <c r="AK12" s="232"/>
      <c r="AL12" s="232"/>
      <c r="AM12" s="233"/>
      <c r="AN12" s="234"/>
      <c r="AO12" s="232"/>
      <c r="AP12" s="232"/>
      <c r="AQ12" s="233"/>
      <c r="AR12" s="234"/>
      <c r="AS12" s="232"/>
      <c r="AT12" s="232"/>
      <c r="AU12" s="238"/>
      <c r="AV12" s="239"/>
      <c r="AW12" s="234"/>
      <c r="AX12" s="232"/>
      <c r="AY12" s="232"/>
      <c r="AZ12" s="236"/>
      <c r="BA12" s="234"/>
      <c r="BB12" s="232"/>
      <c r="BC12" s="232"/>
      <c r="BD12" s="233"/>
      <c r="BE12" s="234"/>
      <c r="BF12" s="232"/>
      <c r="BG12" s="232"/>
      <c r="BH12" s="238"/>
      <c r="BI12" s="239"/>
      <c r="BJ12" s="234"/>
      <c r="BK12" s="232"/>
      <c r="BL12" s="232"/>
      <c r="BM12" s="233"/>
      <c r="BN12" s="234"/>
      <c r="BO12" s="240"/>
      <c r="BP12" s="240"/>
      <c r="BQ12" s="241"/>
      <c r="BR12" s="242"/>
      <c r="BS12" s="240"/>
      <c r="BT12" s="240"/>
      <c r="BU12" s="243"/>
      <c r="BV12" s="244"/>
      <c r="BW12" s="242"/>
      <c r="BX12" s="240"/>
      <c r="BY12" s="240"/>
      <c r="BZ12" s="241"/>
      <c r="CA12" s="242"/>
      <c r="CB12" s="240"/>
      <c r="CC12" s="240"/>
      <c r="CD12" s="241"/>
      <c r="CE12" s="242"/>
      <c r="CF12" s="240"/>
      <c r="CG12" s="240"/>
      <c r="CH12" s="245"/>
      <c r="CI12" s="244"/>
      <c r="CJ12" s="242"/>
      <c r="CK12" s="240"/>
      <c r="CL12" s="240"/>
      <c r="CM12" s="241"/>
      <c r="CN12" s="246"/>
      <c r="CO12" s="245"/>
      <c r="CP12" s="245"/>
      <c r="CQ12" s="247"/>
      <c r="CR12" s="246"/>
      <c r="CS12" s="245"/>
      <c r="CT12" s="245"/>
      <c r="CU12" s="247"/>
      <c r="CV12" s="246"/>
      <c r="CW12" s="245"/>
      <c r="CX12" s="245"/>
      <c r="CY12" s="247"/>
      <c r="CZ12" s="101"/>
      <c r="DA12" s="102"/>
      <c r="DB12" s="102"/>
    </row>
    <row r="13" spans="1:106" ht="24.95" customHeight="1" x14ac:dyDescent="0.55000000000000004">
      <c r="A13" s="358"/>
      <c r="B13" s="175"/>
      <c r="C13" s="360"/>
      <c r="D13" s="161"/>
      <c r="E13" s="41"/>
      <c r="F13" s="42">
        <f>E12</f>
        <v>750000000</v>
      </c>
      <c r="G13" s="227" t="s">
        <v>87</v>
      </c>
      <c r="H13" s="228">
        <f>SUM(J13:CZ13)</f>
        <v>0</v>
      </c>
      <c r="I13" s="206"/>
      <c r="J13" s="248"/>
      <c r="K13" s="249"/>
      <c r="L13" s="249"/>
      <c r="M13" s="250"/>
      <c r="N13" s="251"/>
      <c r="O13" s="249"/>
      <c r="P13" s="249"/>
      <c r="Q13" s="250"/>
      <c r="R13" s="252"/>
      <c r="S13" s="249"/>
      <c r="T13" s="249"/>
      <c r="U13" s="250"/>
      <c r="V13" s="251"/>
      <c r="W13" s="249"/>
      <c r="X13" s="249"/>
      <c r="Y13" s="253"/>
      <c r="Z13" s="250"/>
      <c r="AA13" s="251"/>
      <c r="AB13" s="249"/>
      <c r="AC13" s="249"/>
      <c r="AD13" s="250"/>
      <c r="AE13" s="252"/>
      <c r="AF13" s="249"/>
      <c r="AG13" s="249"/>
      <c r="AH13" s="249"/>
      <c r="AI13" s="254"/>
      <c r="AJ13" s="251"/>
      <c r="AK13" s="249"/>
      <c r="AL13" s="249"/>
      <c r="AM13" s="250"/>
      <c r="AN13" s="251"/>
      <c r="AO13" s="249"/>
      <c r="AP13" s="249"/>
      <c r="AQ13" s="250"/>
      <c r="AR13" s="251"/>
      <c r="AS13" s="249"/>
      <c r="AT13" s="249"/>
      <c r="AU13" s="249"/>
      <c r="AV13" s="254"/>
      <c r="AW13" s="251"/>
      <c r="AX13" s="249"/>
      <c r="AY13" s="249"/>
      <c r="AZ13" s="253"/>
      <c r="BA13" s="251"/>
      <c r="BB13" s="249"/>
      <c r="BC13" s="249"/>
      <c r="BD13" s="250"/>
      <c r="BE13" s="251"/>
      <c r="BF13" s="249"/>
      <c r="BG13" s="249"/>
      <c r="BH13" s="249"/>
      <c r="BI13" s="254"/>
      <c r="BJ13" s="251"/>
      <c r="BK13" s="249"/>
      <c r="BL13" s="249"/>
      <c r="BM13" s="250"/>
      <c r="BN13" s="251"/>
      <c r="BO13" s="249"/>
      <c r="BP13" s="249"/>
      <c r="BQ13" s="250"/>
      <c r="BR13" s="251"/>
      <c r="BS13" s="249"/>
      <c r="BT13" s="249"/>
      <c r="BU13" s="253"/>
      <c r="BV13" s="254"/>
      <c r="BW13" s="251"/>
      <c r="BX13" s="249"/>
      <c r="BY13" s="249"/>
      <c r="BZ13" s="250"/>
      <c r="CA13" s="251"/>
      <c r="CB13" s="249"/>
      <c r="CC13" s="249"/>
      <c r="CD13" s="250"/>
      <c r="CE13" s="251"/>
      <c r="CF13" s="249"/>
      <c r="CG13" s="249"/>
      <c r="CH13" s="249"/>
      <c r="CI13" s="254"/>
      <c r="CJ13" s="251"/>
      <c r="CK13" s="249"/>
      <c r="CL13" s="249"/>
      <c r="CM13" s="250"/>
      <c r="CN13" s="251"/>
      <c r="CO13" s="249"/>
      <c r="CP13" s="249"/>
      <c r="CQ13" s="250"/>
      <c r="CR13" s="251"/>
      <c r="CS13" s="249"/>
      <c r="CT13" s="249"/>
      <c r="CU13" s="250"/>
      <c r="CV13" s="251"/>
      <c r="CW13" s="249"/>
      <c r="CX13" s="249"/>
      <c r="CY13" s="250"/>
      <c r="CZ13" s="103"/>
      <c r="DA13" s="102"/>
      <c r="DB13" s="102"/>
    </row>
    <row r="14" spans="1:106" ht="24.95" customHeight="1" x14ac:dyDescent="0.55000000000000004">
      <c r="A14" s="361">
        <v>1</v>
      </c>
      <c r="B14" s="176">
        <f>A14</f>
        <v>1</v>
      </c>
      <c r="C14" s="363" t="s">
        <v>19</v>
      </c>
      <c r="D14" s="160" t="str">
        <f>C14</f>
        <v xml:space="preserve">   งานก่อสร้างอาคาร Ratchadamnoen Center 2</v>
      </c>
      <c r="E14" s="43">
        <f>E16+E18+E48+E58+E80+E82+E104+E112+E126</f>
        <v>141282693.27633795</v>
      </c>
      <c r="F14" s="44">
        <f t="shared" ref="F14" si="4">E14</f>
        <v>141282693.27633795</v>
      </c>
      <c r="G14" s="223" t="s">
        <v>86</v>
      </c>
      <c r="H14" s="229">
        <f>SUM(J14:CZ14)</f>
        <v>0</v>
      </c>
      <c r="I14" s="206">
        <f>I16+I18+I48+I58+I80+I82+I104+I112+I126</f>
        <v>141262627.15794361</v>
      </c>
      <c r="J14" s="258"/>
      <c r="K14" s="259"/>
      <c r="L14" s="259"/>
      <c r="M14" s="260"/>
      <c r="N14" s="261"/>
      <c r="O14" s="259"/>
      <c r="P14" s="259"/>
      <c r="Q14" s="260"/>
      <c r="R14" s="262"/>
      <c r="S14" s="259"/>
      <c r="T14" s="259"/>
      <c r="U14" s="260"/>
      <c r="V14" s="261"/>
      <c r="W14" s="259"/>
      <c r="X14" s="259"/>
      <c r="Y14" s="263"/>
      <c r="Z14" s="260"/>
      <c r="AA14" s="261"/>
      <c r="AB14" s="259"/>
      <c r="AC14" s="259"/>
      <c r="AD14" s="260"/>
      <c r="AE14" s="262"/>
      <c r="AF14" s="259"/>
      <c r="AG14" s="259"/>
      <c r="AH14" s="259"/>
      <c r="AI14" s="264"/>
      <c r="AJ14" s="261"/>
      <c r="AK14" s="259"/>
      <c r="AL14" s="259"/>
      <c r="AM14" s="260"/>
      <c r="AN14" s="261"/>
      <c r="AO14" s="259"/>
      <c r="AP14" s="259"/>
      <c r="AQ14" s="260"/>
      <c r="AR14" s="261"/>
      <c r="AS14" s="259"/>
      <c r="AT14" s="259"/>
      <c r="AU14" s="259"/>
      <c r="AV14" s="264"/>
      <c r="AW14" s="261"/>
      <c r="AX14" s="259"/>
      <c r="AY14" s="259"/>
      <c r="AZ14" s="263"/>
      <c r="BA14" s="261"/>
      <c r="BB14" s="259"/>
      <c r="BC14" s="259"/>
      <c r="BD14" s="260"/>
      <c r="BE14" s="261"/>
      <c r="BF14" s="259"/>
      <c r="BG14" s="259"/>
      <c r="BH14" s="259"/>
      <c r="BI14" s="264"/>
      <c r="BJ14" s="261"/>
      <c r="BK14" s="259"/>
      <c r="BL14" s="259"/>
      <c r="BM14" s="260"/>
      <c r="BN14" s="261"/>
      <c r="BO14" s="259"/>
      <c r="BP14" s="259"/>
      <c r="BQ14" s="260"/>
      <c r="BR14" s="261"/>
      <c r="BS14" s="259"/>
      <c r="BT14" s="259"/>
      <c r="BU14" s="263"/>
      <c r="BV14" s="264"/>
      <c r="BW14" s="261"/>
      <c r="BX14" s="259"/>
      <c r="BY14" s="259"/>
      <c r="BZ14" s="260"/>
      <c r="CA14" s="261"/>
      <c r="CB14" s="259"/>
      <c r="CC14" s="259"/>
      <c r="CD14" s="260"/>
      <c r="CE14" s="261"/>
      <c r="CF14" s="259"/>
      <c r="CG14" s="259"/>
      <c r="CH14" s="259"/>
      <c r="CI14" s="264"/>
      <c r="CJ14" s="261"/>
      <c r="CK14" s="259"/>
      <c r="CL14" s="259"/>
      <c r="CM14" s="260"/>
      <c r="CN14" s="257"/>
      <c r="CO14" s="255"/>
      <c r="CP14" s="255"/>
      <c r="CQ14" s="256"/>
      <c r="CR14" s="257"/>
      <c r="CS14" s="255"/>
      <c r="CT14" s="255"/>
      <c r="CU14" s="256"/>
      <c r="CV14" s="257"/>
      <c r="CW14" s="255"/>
      <c r="CX14" s="255"/>
      <c r="CY14" s="256"/>
      <c r="CZ14" s="105"/>
      <c r="DA14" s="102"/>
      <c r="DB14" s="102"/>
    </row>
    <row r="15" spans="1:106" ht="24.95" customHeight="1" x14ac:dyDescent="0.55000000000000004">
      <c r="A15" s="362"/>
      <c r="B15" s="177">
        <f>B14</f>
        <v>1</v>
      </c>
      <c r="C15" s="364"/>
      <c r="D15" s="160" t="str">
        <f>D14</f>
        <v xml:space="preserve">   งานก่อสร้างอาคาร Ratchadamnoen Center 2</v>
      </c>
      <c r="E15" s="43"/>
      <c r="F15" s="44">
        <f t="shared" ref="F15" si="5">E14</f>
        <v>141282693.27633795</v>
      </c>
      <c r="G15" s="224" t="s">
        <v>87</v>
      </c>
      <c r="H15" s="230">
        <f>SUM(J15:CZ15)</f>
        <v>0</v>
      </c>
      <c r="I15" s="206">
        <f>I17+I19+I49+I59+I81+I83+I105+I113+I127</f>
        <v>272275.04914390395</v>
      </c>
      <c r="J15" s="265"/>
      <c r="K15" s="266"/>
      <c r="L15" s="266"/>
      <c r="M15" s="267"/>
      <c r="N15" s="268"/>
      <c r="O15" s="266"/>
      <c r="P15" s="266"/>
      <c r="Q15" s="267"/>
      <c r="R15" s="269"/>
      <c r="S15" s="266"/>
      <c r="T15" s="266"/>
      <c r="U15" s="267"/>
      <c r="V15" s="268"/>
      <c r="W15" s="266"/>
      <c r="X15" s="266"/>
      <c r="Y15" s="270"/>
      <c r="Z15" s="267"/>
      <c r="AA15" s="268"/>
      <c r="AB15" s="266"/>
      <c r="AC15" s="266"/>
      <c r="AD15" s="267"/>
      <c r="AE15" s="269"/>
      <c r="AF15" s="266"/>
      <c r="AG15" s="266"/>
      <c r="AH15" s="266"/>
      <c r="AI15" s="271"/>
      <c r="AJ15" s="268"/>
      <c r="AK15" s="266"/>
      <c r="AL15" s="266"/>
      <c r="AM15" s="267"/>
      <c r="AN15" s="268"/>
      <c r="AO15" s="266"/>
      <c r="AP15" s="266"/>
      <c r="AQ15" s="267"/>
      <c r="AR15" s="268"/>
      <c r="AS15" s="266"/>
      <c r="AT15" s="266"/>
      <c r="AU15" s="266"/>
      <c r="AV15" s="271"/>
      <c r="AW15" s="268"/>
      <c r="AX15" s="266"/>
      <c r="AY15" s="266"/>
      <c r="AZ15" s="270"/>
      <c r="BA15" s="268"/>
      <c r="BB15" s="266"/>
      <c r="BC15" s="266"/>
      <c r="BD15" s="267"/>
      <c r="BE15" s="268"/>
      <c r="BF15" s="266"/>
      <c r="BG15" s="266"/>
      <c r="BH15" s="266"/>
      <c r="BI15" s="271"/>
      <c r="BJ15" s="268"/>
      <c r="BK15" s="266"/>
      <c r="BL15" s="266"/>
      <c r="BM15" s="267"/>
      <c r="BN15" s="268"/>
      <c r="BO15" s="266"/>
      <c r="BP15" s="266"/>
      <c r="BQ15" s="267"/>
      <c r="BR15" s="268"/>
      <c r="BS15" s="266"/>
      <c r="BT15" s="266"/>
      <c r="BU15" s="270"/>
      <c r="BV15" s="271"/>
      <c r="BW15" s="268"/>
      <c r="BX15" s="266"/>
      <c r="BY15" s="266"/>
      <c r="BZ15" s="267"/>
      <c r="CA15" s="268"/>
      <c r="CB15" s="266"/>
      <c r="CC15" s="266"/>
      <c r="CD15" s="267"/>
      <c r="CE15" s="268"/>
      <c r="CF15" s="266"/>
      <c r="CG15" s="266"/>
      <c r="CH15" s="266"/>
      <c r="CI15" s="271"/>
      <c r="CJ15" s="268"/>
      <c r="CK15" s="266"/>
      <c r="CL15" s="266"/>
      <c r="CM15" s="267"/>
      <c r="CN15" s="251"/>
      <c r="CO15" s="249"/>
      <c r="CP15" s="249"/>
      <c r="CQ15" s="250"/>
      <c r="CR15" s="251"/>
      <c r="CS15" s="249"/>
      <c r="CT15" s="249"/>
      <c r="CU15" s="250"/>
      <c r="CV15" s="251"/>
      <c r="CW15" s="249"/>
      <c r="CX15" s="249"/>
      <c r="CY15" s="250"/>
      <c r="CZ15" s="103"/>
      <c r="DA15" s="102"/>
      <c r="DB15" s="102"/>
    </row>
    <row r="16" spans="1:106" ht="24.95" customHeight="1" x14ac:dyDescent="0.55000000000000004">
      <c r="A16" s="400">
        <v>1.1000000000000001</v>
      </c>
      <c r="B16" s="178">
        <f t="shared" ref="B16" si="6">A16</f>
        <v>1.1000000000000001</v>
      </c>
      <c r="C16" s="340" t="s">
        <v>20</v>
      </c>
      <c r="D16" s="165" t="str">
        <f t="shared" ref="D16" si="7">C16</f>
        <v xml:space="preserve">      งานรื้อถอนโครงสร้างและสถาปัตยกรรมอาคารเดิม</v>
      </c>
      <c r="E16" s="83">
        <v>358256.64361039997</v>
      </c>
      <c r="F16" s="46">
        <f t="shared" ref="F16" si="8">E16</f>
        <v>358256.64361039997</v>
      </c>
      <c r="G16" s="208" t="s">
        <v>86</v>
      </c>
      <c r="H16" s="218">
        <f>SUM(J16:CZ16)</f>
        <v>1</v>
      </c>
      <c r="I16" s="209">
        <f>H16*F16</f>
        <v>358256.64361039997</v>
      </c>
      <c r="J16" s="258"/>
      <c r="K16" s="259"/>
      <c r="L16" s="259"/>
      <c r="M16" s="260"/>
      <c r="N16" s="261">
        <v>0.05</v>
      </c>
      <c r="O16" s="259">
        <v>7.0000000000000007E-2</v>
      </c>
      <c r="P16" s="259">
        <v>7.0000000000000007E-2</v>
      </c>
      <c r="Q16" s="260">
        <v>0.08</v>
      </c>
      <c r="R16" s="262">
        <v>0.1</v>
      </c>
      <c r="S16" s="259">
        <v>0.1</v>
      </c>
      <c r="T16" s="259">
        <v>0.15</v>
      </c>
      <c r="U16" s="260">
        <v>0.1</v>
      </c>
      <c r="V16" s="261">
        <v>0.08</v>
      </c>
      <c r="W16" s="259">
        <v>0.08</v>
      </c>
      <c r="X16" s="259">
        <v>0.03</v>
      </c>
      <c r="Y16" s="263">
        <v>0.03</v>
      </c>
      <c r="Z16" s="260">
        <v>0.03</v>
      </c>
      <c r="AA16" s="261">
        <v>0.03</v>
      </c>
      <c r="AB16" s="259"/>
      <c r="AC16" s="259"/>
      <c r="AD16" s="260"/>
      <c r="AE16" s="262"/>
      <c r="AF16" s="259"/>
      <c r="AG16" s="259"/>
      <c r="AH16" s="259"/>
      <c r="AI16" s="264"/>
      <c r="AJ16" s="261"/>
      <c r="AK16" s="259"/>
      <c r="AL16" s="259"/>
      <c r="AM16" s="260"/>
      <c r="AN16" s="261"/>
      <c r="AO16" s="259"/>
      <c r="AP16" s="259"/>
      <c r="AQ16" s="260"/>
      <c r="AR16" s="261"/>
      <c r="AS16" s="259"/>
      <c r="AT16" s="259"/>
      <c r="AU16" s="259"/>
      <c r="AV16" s="264"/>
      <c r="AW16" s="261"/>
      <c r="AX16" s="259"/>
      <c r="AY16" s="259"/>
      <c r="AZ16" s="263"/>
      <c r="BA16" s="261"/>
      <c r="BB16" s="259"/>
      <c r="BC16" s="259"/>
      <c r="BD16" s="260"/>
      <c r="BE16" s="261"/>
      <c r="BF16" s="259"/>
      <c r="BG16" s="259"/>
      <c r="BH16" s="259"/>
      <c r="BI16" s="264"/>
      <c r="BJ16" s="261"/>
      <c r="BK16" s="259"/>
      <c r="BL16" s="259"/>
      <c r="BM16" s="260"/>
      <c r="BN16" s="261"/>
      <c r="BO16" s="259"/>
      <c r="BP16" s="259"/>
      <c r="BQ16" s="260"/>
      <c r="BR16" s="261"/>
      <c r="BS16" s="259"/>
      <c r="BT16" s="259"/>
      <c r="BU16" s="263"/>
      <c r="BV16" s="264"/>
      <c r="BW16" s="261"/>
      <c r="BX16" s="259"/>
      <c r="BY16" s="259"/>
      <c r="BZ16" s="260"/>
      <c r="CA16" s="261"/>
      <c r="CB16" s="259"/>
      <c r="CC16" s="259"/>
      <c r="CD16" s="260"/>
      <c r="CE16" s="261"/>
      <c r="CF16" s="259"/>
      <c r="CG16" s="259"/>
      <c r="CH16" s="259"/>
      <c r="CI16" s="264"/>
      <c r="CJ16" s="261"/>
      <c r="CK16" s="259"/>
      <c r="CL16" s="259"/>
      <c r="CM16" s="260"/>
      <c r="CN16" s="257"/>
      <c r="CO16" s="255"/>
      <c r="CP16" s="255"/>
      <c r="CQ16" s="256"/>
      <c r="CR16" s="257"/>
      <c r="CS16" s="255"/>
      <c r="CT16" s="255"/>
      <c r="CU16" s="256"/>
      <c r="CV16" s="257"/>
      <c r="CW16" s="255"/>
      <c r="CX16" s="255"/>
      <c r="CY16" s="256"/>
      <c r="CZ16" s="105"/>
      <c r="DA16" s="102"/>
      <c r="DB16" s="102"/>
    </row>
    <row r="17" spans="1:106" ht="24.95" customHeight="1" x14ac:dyDescent="0.55000000000000004">
      <c r="A17" s="400"/>
      <c r="B17" s="178">
        <f t="shared" ref="B17" si="9">B16</f>
        <v>1.1000000000000001</v>
      </c>
      <c r="C17" s="340"/>
      <c r="D17" s="165" t="str">
        <f t="shared" ref="D17" si="10">D16</f>
        <v xml:space="preserve">      งานรื้อถอนโครงสร้างและสถาปัตยกรรมอาคารเดิม</v>
      </c>
      <c r="E17" s="45"/>
      <c r="F17" s="46">
        <f t="shared" ref="F17" si="11">E16</f>
        <v>358256.64361039997</v>
      </c>
      <c r="G17" s="210" t="s">
        <v>87</v>
      </c>
      <c r="H17" s="219">
        <f>SUM(J17:CZ17)</f>
        <v>0.7599999999999999</v>
      </c>
      <c r="I17" s="211">
        <f t="shared" ref="I17:I80" si="12">H17*F17</f>
        <v>272275.04914390395</v>
      </c>
      <c r="J17" s="265"/>
      <c r="K17" s="266"/>
      <c r="L17" s="266"/>
      <c r="M17" s="267"/>
      <c r="N17" s="268"/>
      <c r="O17" s="266"/>
      <c r="P17" s="266"/>
      <c r="Q17" s="267"/>
      <c r="R17" s="269">
        <v>0.02</v>
      </c>
      <c r="S17" s="266">
        <v>0.05</v>
      </c>
      <c r="T17" s="266">
        <v>0.05</v>
      </c>
      <c r="U17" s="267">
        <v>0.08</v>
      </c>
      <c r="V17" s="268">
        <v>0.08</v>
      </c>
      <c r="W17" s="266">
        <v>0.05</v>
      </c>
      <c r="X17" s="266">
        <v>0.05</v>
      </c>
      <c r="Y17" s="270">
        <v>0.05</v>
      </c>
      <c r="Z17" s="267">
        <v>0.05</v>
      </c>
      <c r="AA17" s="268">
        <v>0.08</v>
      </c>
      <c r="AB17" s="266">
        <v>0.08</v>
      </c>
      <c r="AC17" s="266">
        <v>0.08</v>
      </c>
      <c r="AD17" s="267">
        <v>0.04</v>
      </c>
      <c r="AE17" s="269"/>
      <c r="AF17" s="266"/>
      <c r="AG17" s="266"/>
      <c r="AH17" s="266"/>
      <c r="AI17" s="271"/>
      <c r="AJ17" s="268"/>
      <c r="AK17" s="266"/>
      <c r="AL17" s="266"/>
      <c r="AM17" s="267"/>
      <c r="AN17" s="268"/>
      <c r="AO17" s="266"/>
      <c r="AP17" s="266"/>
      <c r="AQ17" s="267"/>
      <c r="AR17" s="268"/>
      <c r="AS17" s="266"/>
      <c r="AT17" s="266"/>
      <c r="AU17" s="266"/>
      <c r="AV17" s="271"/>
      <c r="AW17" s="268"/>
      <c r="AX17" s="266"/>
      <c r="AY17" s="266"/>
      <c r="AZ17" s="270"/>
      <c r="BA17" s="268"/>
      <c r="BB17" s="266"/>
      <c r="BC17" s="266"/>
      <c r="BD17" s="267"/>
      <c r="BE17" s="268"/>
      <c r="BF17" s="266"/>
      <c r="BG17" s="266"/>
      <c r="BH17" s="266"/>
      <c r="BI17" s="271"/>
      <c r="BJ17" s="268"/>
      <c r="BK17" s="266"/>
      <c r="BL17" s="266"/>
      <c r="BM17" s="267"/>
      <c r="BN17" s="268"/>
      <c r="BO17" s="266"/>
      <c r="BP17" s="266"/>
      <c r="BQ17" s="267"/>
      <c r="BR17" s="268"/>
      <c r="BS17" s="266"/>
      <c r="BT17" s="266"/>
      <c r="BU17" s="270"/>
      <c r="BV17" s="271"/>
      <c r="BW17" s="268"/>
      <c r="BX17" s="266"/>
      <c r="BY17" s="266"/>
      <c r="BZ17" s="267"/>
      <c r="CA17" s="268"/>
      <c r="CB17" s="266"/>
      <c r="CC17" s="266"/>
      <c r="CD17" s="267"/>
      <c r="CE17" s="268"/>
      <c r="CF17" s="266"/>
      <c r="CG17" s="266"/>
      <c r="CH17" s="266"/>
      <c r="CI17" s="271"/>
      <c r="CJ17" s="268"/>
      <c r="CK17" s="266"/>
      <c r="CL17" s="266"/>
      <c r="CM17" s="267"/>
      <c r="CN17" s="251"/>
      <c r="CO17" s="249"/>
      <c r="CP17" s="249"/>
      <c r="CQ17" s="250"/>
      <c r="CR17" s="251"/>
      <c r="CS17" s="249"/>
      <c r="CT17" s="249"/>
      <c r="CU17" s="250"/>
      <c r="CV17" s="251"/>
      <c r="CW17" s="249"/>
      <c r="CX17" s="249"/>
      <c r="CY17" s="250"/>
      <c r="CZ17" s="103"/>
      <c r="DA17" s="102"/>
      <c r="DB17" s="102"/>
    </row>
    <row r="18" spans="1:106" ht="24.95" customHeight="1" x14ac:dyDescent="0.55000000000000004">
      <c r="A18" s="400">
        <v>1.2</v>
      </c>
      <c r="B18" s="178">
        <f t="shared" ref="B18" si="13">A18</f>
        <v>1.2</v>
      </c>
      <c r="C18" s="340" t="s">
        <v>1</v>
      </c>
      <c r="D18" s="165" t="str">
        <f t="shared" ref="D18" si="14">C18</f>
        <v xml:space="preserve">      งานโครงสร้าง</v>
      </c>
      <c r="E18" s="83">
        <f>SUM(E20:E47)</f>
        <v>15467541.048800001</v>
      </c>
      <c r="F18" s="46">
        <f t="shared" ref="F18" si="15">E18</f>
        <v>15467541.048800001</v>
      </c>
      <c r="G18" s="208" t="s">
        <v>86</v>
      </c>
      <c r="H18" s="218">
        <f>SUM(J18:CZ18)</f>
        <v>0</v>
      </c>
      <c r="I18" s="209">
        <f>I20+I22+I24+I26+I28+I30+I32+I34+I36+I38+I40+I42+I46</f>
        <v>15467541.048800001</v>
      </c>
      <c r="J18" s="258"/>
      <c r="K18" s="259"/>
      <c r="L18" s="259"/>
      <c r="M18" s="260"/>
      <c r="N18" s="261"/>
      <c r="O18" s="259"/>
      <c r="P18" s="259"/>
      <c r="Q18" s="260"/>
      <c r="R18" s="262"/>
      <c r="S18" s="259"/>
      <c r="T18" s="259"/>
      <c r="U18" s="260"/>
      <c r="V18" s="261"/>
      <c r="W18" s="259"/>
      <c r="X18" s="259"/>
      <c r="Y18" s="263"/>
      <c r="Z18" s="260"/>
      <c r="AA18" s="261"/>
      <c r="AB18" s="259"/>
      <c r="AC18" s="259"/>
      <c r="AD18" s="260"/>
      <c r="AE18" s="262"/>
      <c r="AF18" s="259"/>
      <c r="AG18" s="259"/>
      <c r="AH18" s="259"/>
      <c r="AI18" s="264"/>
      <c r="AJ18" s="261"/>
      <c r="AK18" s="259"/>
      <c r="AL18" s="259"/>
      <c r="AM18" s="260"/>
      <c r="AN18" s="261"/>
      <c r="AO18" s="259"/>
      <c r="AP18" s="259"/>
      <c r="AQ18" s="260"/>
      <c r="AR18" s="261"/>
      <c r="AS18" s="259"/>
      <c r="AT18" s="259"/>
      <c r="AU18" s="259"/>
      <c r="AV18" s="264"/>
      <c r="AW18" s="261"/>
      <c r="AX18" s="259"/>
      <c r="AY18" s="259"/>
      <c r="AZ18" s="263"/>
      <c r="BA18" s="261"/>
      <c r="BB18" s="259"/>
      <c r="BC18" s="259"/>
      <c r="BD18" s="260"/>
      <c r="BE18" s="261"/>
      <c r="BF18" s="259"/>
      <c r="BG18" s="259"/>
      <c r="BH18" s="259"/>
      <c r="BI18" s="264"/>
      <c r="BJ18" s="261"/>
      <c r="BK18" s="259"/>
      <c r="BL18" s="259"/>
      <c r="BM18" s="260"/>
      <c r="BN18" s="261"/>
      <c r="BO18" s="259"/>
      <c r="BP18" s="259"/>
      <c r="BQ18" s="260"/>
      <c r="BR18" s="261"/>
      <c r="BS18" s="259"/>
      <c r="BT18" s="259"/>
      <c r="BU18" s="263"/>
      <c r="BV18" s="264"/>
      <c r="BW18" s="261"/>
      <c r="BX18" s="259"/>
      <c r="BY18" s="259"/>
      <c r="BZ18" s="260"/>
      <c r="CA18" s="261"/>
      <c r="CB18" s="259"/>
      <c r="CC18" s="259"/>
      <c r="CD18" s="260"/>
      <c r="CE18" s="261"/>
      <c r="CF18" s="259"/>
      <c r="CG18" s="259"/>
      <c r="CH18" s="259"/>
      <c r="CI18" s="264"/>
      <c r="CJ18" s="261"/>
      <c r="CK18" s="259"/>
      <c r="CL18" s="259"/>
      <c r="CM18" s="260"/>
      <c r="CN18" s="257"/>
      <c r="CO18" s="255"/>
      <c r="CP18" s="255"/>
      <c r="CQ18" s="256"/>
      <c r="CR18" s="257"/>
      <c r="CS18" s="255"/>
      <c r="CT18" s="255"/>
      <c r="CU18" s="256"/>
      <c r="CV18" s="257"/>
      <c r="CW18" s="255"/>
      <c r="CX18" s="255"/>
      <c r="CY18" s="256"/>
      <c r="CZ18" s="105"/>
      <c r="DA18" s="102"/>
      <c r="DB18" s="102"/>
    </row>
    <row r="19" spans="1:106" ht="24.95" customHeight="1" x14ac:dyDescent="0.55000000000000004">
      <c r="A19" s="400"/>
      <c r="B19" s="178">
        <f t="shared" ref="B19" si="16">B18</f>
        <v>1.2</v>
      </c>
      <c r="C19" s="340"/>
      <c r="D19" s="165" t="str">
        <f t="shared" ref="D19" si="17">D18</f>
        <v xml:space="preserve">      งานโครงสร้าง</v>
      </c>
      <c r="E19" s="45"/>
      <c r="F19" s="46">
        <f t="shared" ref="F19" si="18">E18</f>
        <v>15467541.048800001</v>
      </c>
      <c r="G19" s="210" t="s">
        <v>87</v>
      </c>
      <c r="H19" s="219">
        <f>SUM(J19:CZ19)</f>
        <v>0</v>
      </c>
      <c r="I19" s="211">
        <f>I21+I23+I25+I27+I29+I31+I33+I35+I37+I39+I41+I43+I47</f>
        <v>0</v>
      </c>
      <c r="J19" s="265"/>
      <c r="K19" s="266"/>
      <c r="L19" s="266"/>
      <c r="M19" s="267"/>
      <c r="N19" s="268"/>
      <c r="O19" s="266"/>
      <c r="P19" s="266"/>
      <c r="Q19" s="267"/>
      <c r="R19" s="269"/>
      <c r="S19" s="266"/>
      <c r="T19" s="266"/>
      <c r="U19" s="267"/>
      <c r="V19" s="268"/>
      <c r="W19" s="266"/>
      <c r="X19" s="266"/>
      <c r="Y19" s="270"/>
      <c r="Z19" s="267"/>
      <c r="AA19" s="268"/>
      <c r="AB19" s="266"/>
      <c r="AC19" s="266"/>
      <c r="AD19" s="267"/>
      <c r="AE19" s="269"/>
      <c r="AF19" s="266"/>
      <c r="AG19" s="266"/>
      <c r="AH19" s="266"/>
      <c r="AI19" s="271"/>
      <c r="AJ19" s="268"/>
      <c r="AK19" s="266"/>
      <c r="AL19" s="266"/>
      <c r="AM19" s="267"/>
      <c r="AN19" s="268"/>
      <c r="AO19" s="266"/>
      <c r="AP19" s="266"/>
      <c r="AQ19" s="267"/>
      <c r="AR19" s="268"/>
      <c r="AS19" s="266"/>
      <c r="AT19" s="266"/>
      <c r="AU19" s="266"/>
      <c r="AV19" s="271"/>
      <c r="AW19" s="268"/>
      <c r="AX19" s="266"/>
      <c r="AY19" s="266"/>
      <c r="AZ19" s="270"/>
      <c r="BA19" s="268"/>
      <c r="BB19" s="266"/>
      <c r="BC19" s="266"/>
      <c r="BD19" s="267"/>
      <c r="BE19" s="268"/>
      <c r="BF19" s="266"/>
      <c r="BG19" s="266"/>
      <c r="BH19" s="266"/>
      <c r="BI19" s="271"/>
      <c r="BJ19" s="268"/>
      <c r="BK19" s="266"/>
      <c r="BL19" s="266"/>
      <c r="BM19" s="267"/>
      <c r="BN19" s="268"/>
      <c r="BO19" s="266"/>
      <c r="BP19" s="266"/>
      <c r="BQ19" s="267"/>
      <c r="BR19" s="268"/>
      <c r="BS19" s="266"/>
      <c r="BT19" s="266"/>
      <c r="BU19" s="270"/>
      <c r="BV19" s="271"/>
      <c r="BW19" s="268"/>
      <c r="BX19" s="266"/>
      <c r="BY19" s="266"/>
      <c r="BZ19" s="267"/>
      <c r="CA19" s="268"/>
      <c r="CB19" s="266"/>
      <c r="CC19" s="266"/>
      <c r="CD19" s="267"/>
      <c r="CE19" s="268"/>
      <c r="CF19" s="266"/>
      <c r="CG19" s="266"/>
      <c r="CH19" s="266"/>
      <c r="CI19" s="271"/>
      <c r="CJ19" s="268"/>
      <c r="CK19" s="266"/>
      <c r="CL19" s="266"/>
      <c r="CM19" s="267"/>
      <c r="CN19" s="251">
        <f t="shared" ref="CN19:CY19" si="19">SUMPRODUCT(($G$20:$G$47="A")*$F$20:$F$47*CN20:CN47)/$F$18</f>
        <v>0</v>
      </c>
      <c r="CO19" s="249">
        <f t="shared" si="19"/>
        <v>0</v>
      </c>
      <c r="CP19" s="249">
        <f t="shared" si="19"/>
        <v>0</v>
      </c>
      <c r="CQ19" s="250">
        <f t="shared" si="19"/>
        <v>0</v>
      </c>
      <c r="CR19" s="251">
        <f t="shared" si="19"/>
        <v>0</v>
      </c>
      <c r="CS19" s="249">
        <f t="shared" si="19"/>
        <v>0</v>
      </c>
      <c r="CT19" s="249">
        <f t="shared" si="19"/>
        <v>0</v>
      </c>
      <c r="CU19" s="250">
        <f t="shared" si="19"/>
        <v>0</v>
      </c>
      <c r="CV19" s="251">
        <f t="shared" si="19"/>
        <v>0</v>
      </c>
      <c r="CW19" s="249">
        <f t="shared" si="19"/>
        <v>0</v>
      </c>
      <c r="CX19" s="249">
        <f t="shared" si="19"/>
        <v>0</v>
      </c>
      <c r="CY19" s="250">
        <f t="shared" si="19"/>
        <v>0</v>
      </c>
      <c r="CZ19" s="103"/>
      <c r="DA19" s="102"/>
      <c r="DB19" s="102"/>
    </row>
    <row r="20" spans="1:106" ht="24.95" customHeight="1" outlineLevel="1" x14ac:dyDescent="0.55000000000000004">
      <c r="A20" s="326" t="s">
        <v>93</v>
      </c>
      <c r="B20" s="179" t="str">
        <f t="shared" ref="B20" si="20">A20</f>
        <v>1.2.1</v>
      </c>
      <c r="C20" s="343" t="s">
        <v>21</v>
      </c>
      <c r="D20" s="166" t="str">
        <f t="shared" ref="D20" si="21">C20</f>
        <v xml:space="preserve">         งานโครงสร้างลิฟต์</v>
      </c>
      <c r="E20" s="47">
        <v>1038486.6489</v>
      </c>
      <c r="F20" s="48">
        <f t="shared" ref="F20" si="22">E20</f>
        <v>1038486.6489</v>
      </c>
      <c r="G20" s="104" t="s">
        <v>86</v>
      </c>
      <c r="H20" s="216">
        <f>SUM(J20:CZ20)</f>
        <v>1</v>
      </c>
      <c r="I20" s="206">
        <f t="shared" si="12"/>
        <v>1038486.6489</v>
      </c>
      <c r="J20" s="258"/>
      <c r="K20" s="259"/>
      <c r="L20" s="259"/>
      <c r="M20" s="260"/>
      <c r="N20" s="261"/>
      <c r="O20" s="259"/>
      <c r="P20" s="259"/>
      <c r="Q20" s="260"/>
      <c r="R20" s="272">
        <v>0.02</v>
      </c>
      <c r="S20" s="273">
        <v>0.02</v>
      </c>
      <c r="T20" s="273">
        <v>0.04</v>
      </c>
      <c r="U20" s="274">
        <v>0.04</v>
      </c>
      <c r="V20" s="275">
        <v>0.09</v>
      </c>
      <c r="W20" s="273">
        <v>0.1</v>
      </c>
      <c r="X20" s="273">
        <v>0.1</v>
      </c>
      <c r="Y20" s="276">
        <v>0.1</v>
      </c>
      <c r="Z20" s="274">
        <v>0.1</v>
      </c>
      <c r="AA20" s="275">
        <v>0.1</v>
      </c>
      <c r="AB20" s="273">
        <v>0.1</v>
      </c>
      <c r="AC20" s="273">
        <v>0.1</v>
      </c>
      <c r="AD20" s="274">
        <v>0.05</v>
      </c>
      <c r="AE20" s="272">
        <v>0.04</v>
      </c>
      <c r="AF20" s="277">
        <v>0</v>
      </c>
      <c r="AG20" s="277"/>
      <c r="AH20" s="277"/>
      <c r="AI20" s="278"/>
      <c r="AJ20" s="279"/>
      <c r="AK20" s="280"/>
      <c r="AL20" s="280"/>
      <c r="AM20" s="281"/>
      <c r="AN20" s="279"/>
      <c r="AO20" s="280"/>
      <c r="AP20" s="280"/>
      <c r="AQ20" s="281"/>
      <c r="AR20" s="261"/>
      <c r="AS20" s="259"/>
      <c r="AT20" s="259"/>
      <c r="AU20" s="259"/>
      <c r="AV20" s="264"/>
      <c r="AW20" s="261"/>
      <c r="AX20" s="259"/>
      <c r="AY20" s="259"/>
      <c r="AZ20" s="263"/>
      <c r="BA20" s="261"/>
      <c r="BB20" s="259"/>
      <c r="BC20" s="259"/>
      <c r="BD20" s="260"/>
      <c r="BE20" s="261"/>
      <c r="BF20" s="259"/>
      <c r="BG20" s="259"/>
      <c r="BH20" s="259"/>
      <c r="BI20" s="264"/>
      <c r="BJ20" s="261"/>
      <c r="BK20" s="259"/>
      <c r="BL20" s="259"/>
      <c r="BM20" s="260"/>
      <c r="BN20" s="261"/>
      <c r="BO20" s="259"/>
      <c r="BP20" s="259"/>
      <c r="BQ20" s="260"/>
      <c r="BR20" s="261"/>
      <c r="BS20" s="259"/>
      <c r="BT20" s="259"/>
      <c r="BU20" s="263"/>
      <c r="BV20" s="264"/>
      <c r="BW20" s="261"/>
      <c r="BX20" s="259"/>
      <c r="BY20" s="259"/>
      <c r="BZ20" s="260"/>
      <c r="CA20" s="261"/>
      <c r="CB20" s="259"/>
      <c r="CC20" s="259"/>
      <c r="CD20" s="260"/>
      <c r="CE20" s="261"/>
      <c r="CF20" s="259"/>
      <c r="CG20" s="259"/>
      <c r="CH20" s="259"/>
      <c r="CI20" s="264"/>
      <c r="CJ20" s="261"/>
      <c r="CK20" s="259"/>
      <c r="CL20" s="259"/>
      <c r="CM20" s="260"/>
      <c r="CN20" s="257"/>
      <c r="CO20" s="255"/>
      <c r="CP20" s="255"/>
      <c r="CQ20" s="256"/>
      <c r="CR20" s="257"/>
      <c r="CS20" s="255"/>
      <c r="CT20" s="255"/>
      <c r="CU20" s="256"/>
      <c r="CV20" s="257"/>
      <c r="CW20" s="255"/>
      <c r="CX20" s="255"/>
      <c r="CY20" s="256"/>
      <c r="CZ20" s="105"/>
      <c r="DA20" s="102"/>
      <c r="DB20" s="102"/>
    </row>
    <row r="21" spans="1:106" ht="24.95" customHeight="1" outlineLevel="1" x14ac:dyDescent="0.55000000000000004">
      <c r="A21" s="326"/>
      <c r="B21" s="179" t="str">
        <f t="shared" ref="B21" si="23">B20</f>
        <v>1.2.1</v>
      </c>
      <c r="C21" s="343"/>
      <c r="D21" s="166" t="str">
        <f t="shared" ref="D21" si="24">D20</f>
        <v xml:space="preserve">         งานโครงสร้างลิฟต์</v>
      </c>
      <c r="E21" s="47"/>
      <c r="F21" s="48">
        <f t="shared" ref="F21" si="25">E20</f>
        <v>1038486.6489</v>
      </c>
      <c r="G21" s="106" t="s">
        <v>87</v>
      </c>
      <c r="H21" s="217">
        <f>SUM(J21:CZ21)</f>
        <v>0</v>
      </c>
      <c r="I21" s="207">
        <f t="shared" si="12"/>
        <v>0</v>
      </c>
      <c r="J21" s="265"/>
      <c r="K21" s="266"/>
      <c r="L21" s="266"/>
      <c r="M21" s="267"/>
      <c r="N21" s="268"/>
      <c r="O21" s="282"/>
      <c r="P21" s="266"/>
      <c r="Q21" s="267"/>
      <c r="R21" s="269"/>
      <c r="S21" s="266"/>
      <c r="T21" s="266"/>
      <c r="U21" s="267"/>
      <c r="V21" s="268"/>
      <c r="W21" s="266"/>
      <c r="X21" s="266"/>
      <c r="Y21" s="270"/>
      <c r="Z21" s="267"/>
      <c r="AA21" s="268"/>
      <c r="AB21" s="266"/>
      <c r="AC21" s="266"/>
      <c r="AD21" s="267"/>
      <c r="AE21" s="269"/>
      <c r="AF21" s="266"/>
      <c r="AG21" s="266"/>
      <c r="AH21" s="266"/>
      <c r="AI21" s="271"/>
      <c r="AJ21" s="268"/>
      <c r="AK21" s="266"/>
      <c r="AL21" s="266"/>
      <c r="AM21" s="267"/>
      <c r="AN21" s="268"/>
      <c r="AO21" s="266"/>
      <c r="AP21" s="266"/>
      <c r="AQ21" s="267"/>
      <c r="AR21" s="268"/>
      <c r="AS21" s="266"/>
      <c r="AT21" s="266"/>
      <c r="AU21" s="266"/>
      <c r="AV21" s="271"/>
      <c r="AW21" s="268"/>
      <c r="AX21" s="266"/>
      <c r="AY21" s="266"/>
      <c r="AZ21" s="270"/>
      <c r="BA21" s="268"/>
      <c r="BB21" s="266"/>
      <c r="BC21" s="266"/>
      <c r="BD21" s="267"/>
      <c r="BE21" s="268"/>
      <c r="BF21" s="266"/>
      <c r="BG21" s="266"/>
      <c r="BH21" s="266"/>
      <c r="BI21" s="271"/>
      <c r="BJ21" s="268"/>
      <c r="BK21" s="266"/>
      <c r="BL21" s="266"/>
      <c r="BM21" s="267"/>
      <c r="BN21" s="268"/>
      <c r="BO21" s="266"/>
      <c r="BP21" s="266"/>
      <c r="BQ21" s="267"/>
      <c r="BR21" s="268"/>
      <c r="BS21" s="266"/>
      <c r="BT21" s="266"/>
      <c r="BU21" s="270"/>
      <c r="BV21" s="271"/>
      <c r="BW21" s="268"/>
      <c r="BX21" s="266"/>
      <c r="BY21" s="266"/>
      <c r="BZ21" s="267"/>
      <c r="CA21" s="268"/>
      <c r="CB21" s="266"/>
      <c r="CC21" s="266"/>
      <c r="CD21" s="267"/>
      <c r="CE21" s="268"/>
      <c r="CF21" s="266"/>
      <c r="CG21" s="266"/>
      <c r="CH21" s="266"/>
      <c r="CI21" s="271"/>
      <c r="CJ21" s="268"/>
      <c r="CK21" s="266"/>
      <c r="CL21" s="266"/>
      <c r="CM21" s="267"/>
      <c r="CN21" s="251"/>
      <c r="CO21" s="249"/>
      <c r="CP21" s="249"/>
      <c r="CQ21" s="250"/>
      <c r="CR21" s="251"/>
      <c r="CS21" s="249"/>
      <c r="CT21" s="249"/>
      <c r="CU21" s="250"/>
      <c r="CV21" s="251"/>
      <c r="CW21" s="249"/>
      <c r="CX21" s="249"/>
      <c r="CY21" s="250"/>
      <c r="CZ21" s="103"/>
      <c r="DA21" s="102"/>
      <c r="DB21" s="102"/>
    </row>
    <row r="22" spans="1:106" ht="24.95" customHeight="1" outlineLevel="1" x14ac:dyDescent="0.55000000000000004">
      <c r="A22" s="326" t="s">
        <v>94</v>
      </c>
      <c r="B22" s="179" t="str">
        <f t="shared" ref="B22" si="26">A22</f>
        <v>1.2.2</v>
      </c>
      <c r="C22" s="343" t="s">
        <v>22</v>
      </c>
      <c r="D22" s="166" t="str">
        <f t="shared" ref="D22" si="27">C22</f>
        <v xml:space="preserve">         งานโครงชั้นหลังคา (FL. +18.95 m. )</v>
      </c>
      <c r="E22" s="47">
        <v>4195354.6218999997</v>
      </c>
      <c r="F22" s="48">
        <f t="shared" ref="F22" si="28">E22</f>
        <v>4195354.6218999997</v>
      </c>
      <c r="G22" s="104" t="s">
        <v>86</v>
      </c>
      <c r="H22" s="216">
        <f>SUM(J22:CZ22)</f>
        <v>1</v>
      </c>
      <c r="I22" s="206">
        <f t="shared" si="12"/>
        <v>4195354.6218999997</v>
      </c>
      <c r="J22" s="258"/>
      <c r="K22" s="259"/>
      <c r="L22" s="259"/>
      <c r="M22" s="260"/>
      <c r="N22" s="261"/>
      <c r="O22" s="259"/>
      <c r="P22" s="259"/>
      <c r="Q22" s="260"/>
      <c r="R22" s="283">
        <v>0.1</v>
      </c>
      <c r="S22" s="277">
        <v>0.21</v>
      </c>
      <c r="T22" s="277">
        <v>0.25</v>
      </c>
      <c r="U22" s="284">
        <v>0.22</v>
      </c>
      <c r="V22" s="285">
        <v>0.1</v>
      </c>
      <c r="W22" s="277">
        <v>0.05</v>
      </c>
      <c r="X22" s="277">
        <v>0.03</v>
      </c>
      <c r="Y22" s="286">
        <v>0.02</v>
      </c>
      <c r="Z22" s="284">
        <v>0.02</v>
      </c>
      <c r="AA22" s="261"/>
      <c r="AB22" s="259"/>
      <c r="AC22" s="259"/>
      <c r="AD22" s="260"/>
      <c r="AE22" s="262"/>
      <c r="AF22" s="259"/>
      <c r="AG22" s="259"/>
      <c r="AH22" s="280"/>
      <c r="AI22" s="287"/>
      <c r="AJ22" s="279"/>
      <c r="AK22" s="280"/>
      <c r="AL22" s="280"/>
      <c r="AM22" s="281"/>
      <c r="AN22" s="279"/>
      <c r="AO22" s="280"/>
      <c r="AP22" s="280"/>
      <c r="AQ22" s="281"/>
      <c r="AR22" s="279"/>
      <c r="AS22" s="280"/>
      <c r="AT22" s="259"/>
      <c r="AU22" s="259"/>
      <c r="AV22" s="264"/>
      <c r="AW22" s="261"/>
      <c r="AX22" s="259"/>
      <c r="AY22" s="259"/>
      <c r="AZ22" s="263"/>
      <c r="BA22" s="261"/>
      <c r="BB22" s="259"/>
      <c r="BC22" s="259"/>
      <c r="BD22" s="260"/>
      <c r="BE22" s="261"/>
      <c r="BF22" s="259"/>
      <c r="BG22" s="259"/>
      <c r="BH22" s="259"/>
      <c r="BI22" s="264"/>
      <c r="BJ22" s="261"/>
      <c r="BK22" s="259"/>
      <c r="BL22" s="259"/>
      <c r="BM22" s="260"/>
      <c r="BN22" s="261"/>
      <c r="BO22" s="259"/>
      <c r="BP22" s="259"/>
      <c r="BQ22" s="260"/>
      <c r="BR22" s="261"/>
      <c r="BS22" s="259"/>
      <c r="BT22" s="259"/>
      <c r="BU22" s="263"/>
      <c r="BV22" s="264"/>
      <c r="BW22" s="261"/>
      <c r="BX22" s="259"/>
      <c r="BY22" s="259"/>
      <c r="BZ22" s="260"/>
      <c r="CA22" s="261"/>
      <c r="CB22" s="259"/>
      <c r="CC22" s="259"/>
      <c r="CD22" s="260"/>
      <c r="CE22" s="261"/>
      <c r="CF22" s="259"/>
      <c r="CG22" s="259"/>
      <c r="CH22" s="259"/>
      <c r="CI22" s="264"/>
      <c r="CJ22" s="261"/>
      <c r="CK22" s="259"/>
      <c r="CL22" s="259"/>
      <c r="CM22" s="260"/>
      <c r="CN22" s="257"/>
      <c r="CO22" s="255"/>
      <c r="CP22" s="255"/>
      <c r="CQ22" s="256"/>
      <c r="CR22" s="257"/>
      <c r="CS22" s="255"/>
      <c r="CT22" s="255"/>
      <c r="CU22" s="256"/>
      <c r="CV22" s="257"/>
      <c r="CW22" s="255"/>
      <c r="CX22" s="255"/>
      <c r="CY22" s="256"/>
      <c r="CZ22" s="105"/>
      <c r="DA22" s="102"/>
      <c r="DB22" s="102"/>
    </row>
    <row r="23" spans="1:106" ht="24.95" customHeight="1" outlineLevel="1" x14ac:dyDescent="0.55000000000000004">
      <c r="A23" s="326"/>
      <c r="B23" s="179" t="str">
        <f t="shared" ref="B23" si="29">B22</f>
        <v>1.2.2</v>
      </c>
      <c r="C23" s="343"/>
      <c r="D23" s="166" t="str">
        <f t="shared" ref="D23" si="30">D22</f>
        <v xml:space="preserve">         งานโครงชั้นหลังคา (FL. +18.95 m. )</v>
      </c>
      <c r="E23" s="47"/>
      <c r="F23" s="48">
        <f t="shared" ref="F23" si="31">E22</f>
        <v>4195354.6218999997</v>
      </c>
      <c r="G23" s="106" t="s">
        <v>87</v>
      </c>
      <c r="H23" s="217">
        <f>SUM(J23:CZ23)</f>
        <v>0</v>
      </c>
      <c r="I23" s="207">
        <f t="shared" si="12"/>
        <v>0</v>
      </c>
      <c r="J23" s="265"/>
      <c r="K23" s="266"/>
      <c r="L23" s="266"/>
      <c r="M23" s="267"/>
      <c r="N23" s="268"/>
      <c r="O23" s="282"/>
      <c r="P23" s="266"/>
      <c r="Q23" s="267"/>
      <c r="R23" s="269"/>
      <c r="S23" s="266"/>
      <c r="T23" s="266"/>
      <c r="U23" s="267"/>
      <c r="V23" s="268"/>
      <c r="W23" s="266"/>
      <c r="X23" s="266"/>
      <c r="Y23" s="270"/>
      <c r="Z23" s="267"/>
      <c r="AA23" s="268"/>
      <c r="AB23" s="266"/>
      <c r="AC23" s="266"/>
      <c r="AD23" s="267"/>
      <c r="AE23" s="269"/>
      <c r="AF23" s="266"/>
      <c r="AG23" s="266"/>
      <c r="AH23" s="266"/>
      <c r="AI23" s="271"/>
      <c r="AJ23" s="268"/>
      <c r="AK23" s="266"/>
      <c r="AL23" s="266"/>
      <c r="AM23" s="267"/>
      <c r="AN23" s="268"/>
      <c r="AO23" s="266"/>
      <c r="AP23" s="266"/>
      <c r="AQ23" s="267"/>
      <c r="AR23" s="268"/>
      <c r="AS23" s="266"/>
      <c r="AT23" s="266"/>
      <c r="AU23" s="266"/>
      <c r="AV23" s="271"/>
      <c r="AW23" s="268"/>
      <c r="AX23" s="266"/>
      <c r="AY23" s="266"/>
      <c r="AZ23" s="270"/>
      <c r="BA23" s="268"/>
      <c r="BB23" s="266"/>
      <c r="BC23" s="266"/>
      <c r="BD23" s="267"/>
      <c r="BE23" s="268"/>
      <c r="BF23" s="266"/>
      <c r="BG23" s="266"/>
      <c r="BH23" s="266"/>
      <c r="BI23" s="271"/>
      <c r="BJ23" s="268"/>
      <c r="BK23" s="266"/>
      <c r="BL23" s="266"/>
      <c r="BM23" s="267"/>
      <c r="BN23" s="268"/>
      <c r="BO23" s="266"/>
      <c r="BP23" s="266"/>
      <c r="BQ23" s="267"/>
      <c r="BR23" s="268"/>
      <c r="BS23" s="266"/>
      <c r="BT23" s="266"/>
      <c r="BU23" s="270"/>
      <c r="BV23" s="271"/>
      <c r="BW23" s="268"/>
      <c r="BX23" s="266"/>
      <c r="BY23" s="266"/>
      <c r="BZ23" s="267"/>
      <c r="CA23" s="268"/>
      <c r="CB23" s="266"/>
      <c r="CC23" s="266"/>
      <c r="CD23" s="267"/>
      <c r="CE23" s="268"/>
      <c r="CF23" s="266"/>
      <c r="CG23" s="266"/>
      <c r="CH23" s="266"/>
      <c r="CI23" s="271"/>
      <c r="CJ23" s="268"/>
      <c r="CK23" s="266"/>
      <c r="CL23" s="266"/>
      <c r="CM23" s="267"/>
      <c r="CN23" s="251"/>
      <c r="CO23" s="249"/>
      <c r="CP23" s="249"/>
      <c r="CQ23" s="250"/>
      <c r="CR23" s="251"/>
      <c r="CS23" s="249"/>
      <c r="CT23" s="249"/>
      <c r="CU23" s="250"/>
      <c r="CV23" s="251"/>
      <c r="CW23" s="249"/>
      <c r="CX23" s="249"/>
      <c r="CY23" s="250"/>
      <c r="CZ23" s="103"/>
      <c r="DA23" s="102"/>
      <c r="DB23" s="102"/>
    </row>
    <row r="24" spans="1:106" ht="24.95" customHeight="1" outlineLevel="1" x14ac:dyDescent="0.55000000000000004">
      <c r="A24" s="326" t="s">
        <v>95</v>
      </c>
      <c r="B24" s="179" t="str">
        <f t="shared" ref="B24" si="32">A24</f>
        <v>1.2.3</v>
      </c>
      <c r="C24" s="343" t="s">
        <v>160</v>
      </c>
      <c r="D24" s="167" t="str">
        <f t="shared" ref="D24" si="33">C24</f>
        <v xml:space="preserve">          งานโครงหลังคาห้องสนามหลวง ห้องศาสนา</v>
      </c>
      <c r="E24" s="47">
        <v>1034941.9422</v>
      </c>
      <c r="F24" s="48">
        <f t="shared" ref="F24" si="34">E24</f>
        <v>1034941.9422</v>
      </c>
      <c r="G24" s="104" t="s">
        <v>86</v>
      </c>
      <c r="H24" s="216">
        <f>SUM(J24:CZ24)</f>
        <v>1</v>
      </c>
      <c r="I24" s="206">
        <f t="shared" si="12"/>
        <v>1034941.9422</v>
      </c>
      <c r="J24" s="258"/>
      <c r="K24" s="259"/>
      <c r="L24" s="259"/>
      <c r="M24" s="260"/>
      <c r="N24" s="261"/>
      <c r="O24" s="259"/>
      <c r="P24" s="259"/>
      <c r="Q24" s="260"/>
      <c r="R24" s="262"/>
      <c r="S24" s="259"/>
      <c r="T24" s="259"/>
      <c r="U24" s="260"/>
      <c r="V24" s="285">
        <v>0.1</v>
      </c>
      <c r="W24" s="277">
        <v>0.21</v>
      </c>
      <c r="X24" s="277">
        <v>0.25</v>
      </c>
      <c r="Y24" s="286">
        <v>0.15</v>
      </c>
      <c r="Z24" s="284">
        <v>0.1</v>
      </c>
      <c r="AA24" s="285">
        <v>0.1</v>
      </c>
      <c r="AB24" s="277">
        <v>0.09</v>
      </c>
      <c r="AC24" s="277"/>
      <c r="AD24" s="284"/>
      <c r="AE24" s="262"/>
      <c r="AF24" s="259"/>
      <c r="AG24" s="259"/>
      <c r="AH24" s="259"/>
      <c r="AI24" s="264"/>
      <c r="AJ24" s="261"/>
      <c r="AK24" s="259"/>
      <c r="AL24" s="259"/>
      <c r="AM24" s="260"/>
      <c r="AN24" s="261"/>
      <c r="AO24" s="280"/>
      <c r="AP24" s="280"/>
      <c r="AQ24" s="281"/>
      <c r="AR24" s="279"/>
      <c r="AS24" s="280"/>
      <c r="AT24" s="259"/>
      <c r="AU24" s="259"/>
      <c r="AV24" s="264"/>
      <c r="AW24" s="261"/>
      <c r="AX24" s="259"/>
      <c r="AY24" s="259"/>
      <c r="AZ24" s="263"/>
      <c r="BA24" s="261"/>
      <c r="BB24" s="259"/>
      <c r="BC24" s="259"/>
      <c r="BD24" s="260"/>
      <c r="BE24" s="261"/>
      <c r="BF24" s="259"/>
      <c r="BG24" s="259"/>
      <c r="BH24" s="259"/>
      <c r="BI24" s="264"/>
      <c r="BJ24" s="261"/>
      <c r="BK24" s="259"/>
      <c r="BL24" s="259"/>
      <c r="BM24" s="260"/>
      <c r="BN24" s="261"/>
      <c r="BO24" s="259"/>
      <c r="BP24" s="259"/>
      <c r="BQ24" s="260"/>
      <c r="BR24" s="261"/>
      <c r="BS24" s="259"/>
      <c r="BT24" s="259"/>
      <c r="BU24" s="263"/>
      <c r="BV24" s="264"/>
      <c r="BW24" s="261"/>
      <c r="BX24" s="259"/>
      <c r="BY24" s="259"/>
      <c r="BZ24" s="260"/>
      <c r="CA24" s="261"/>
      <c r="CB24" s="259"/>
      <c r="CC24" s="259"/>
      <c r="CD24" s="260"/>
      <c r="CE24" s="261"/>
      <c r="CF24" s="259"/>
      <c r="CG24" s="259"/>
      <c r="CH24" s="259"/>
      <c r="CI24" s="264"/>
      <c r="CJ24" s="261"/>
      <c r="CK24" s="259"/>
      <c r="CL24" s="259"/>
      <c r="CM24" s="260"/>
      <c r="CN24" s="257"/>
      <c r="CO24" s="255"/>
      <c r="CP24" s="255"/>
      <c r="CQ24" s="256"/>
      <c r="CR24" s="257"/>
      <c r="CS24" s="255"/>
      <c r="CT24" s="255"/>
      <c r="CU24" s="256"/>
      <c r="CV24" s="257"/>
      <c r="CW24" s="255"/>
      <c r="CX24" s="255"/>
      <c r="CY24" s="256"/>
      <c r="CZ24" s="105"/>
      <c r="DA24" s="102"/>
      <c r="DB24" s="102"/>
    </row>
    <row r="25" spans="1:106" ht="24.95" customHeight="1" outlineLevel="1" x14ac:dyDescent="0.55000000000000004">
      <c r="A25" s="326"/>
      <c r="B25" s="179" t="str">
        <f t="shared" ref="B25" si="35">B24</f>
        <v>1.2.3</v>
      </c>
      <c r="C25" s="343"/>
      <c r="D25" s="167" t="str">
        <f t="shared" ref="D25" si="36">D24</f>
        <v xml:space="preserve">          งานโครงหลังคาห้องสนามหลวง ห้องศาสนา</v>
      </c>
      <c r="E25" s="47"/>
      <c r="F25" s="48">
        <f t="shared" ref="F25" si="37">E24</f>
        <v>1034941.9422</v>
      </c>
      <c r="G25" s="106" t="s">
        <v>87</v>
      </c>
      <c r="H25" s="217">
        <f>SUM(J25:CZ25)</f>
        <v>0</v>
      </c>
      <c r="I25" s="207">
        <f t="shared" si="12"/>
        <v>0</v>
      </c>
      <c r="J25" s="265"/>
      <c r="K25" s="266"/>
      <c r="L25" s="266"/>
      <c r="M25" s="267"/>
      <c r="N25" s="268"/>
      <c r="O25" s="282"/>
      <c r="P25" s="266"/>
      <c r="Q25" s="267"/>
      <c r="R25" s="269"/>
      <c r="S25" s="266"/>
      <c r="T25" s="266"/>
      <c r="U25" s="267"/>
      <c r="V25" s="268"/>
      <c r="W25" s="266"/>
      <c r="X25" s="266"/>
      <c r="Y25" s="270"/>
      <c r="Z25" s="267"/>
      <c r="AA25" s="268"/>
      <c r="AB25" s="266"/>
      <c r="AC25" s="266"/>
      <c r="AD25" s="267"/>
      <c r="AE25" s="269"/>
      <c r="AF25" s="266"/>
      <c r="AG25" s="266"/>
      <c r="AH25" s="266"/>
      <c r="AI25" s="271"/>
      <c r="AJ25" s="268"/>
      <c r="AK25" s="266"/>
      <c r="AL25" s="266"/>
      <c r="AM25" s="267"/>
      <c r="AN25" s="268"/>
      <c r="AO25" s="266"/>
      <c r="AP25" s="266"/>
      <c r="AQ25" s="267"/>
      <c r="AR25" s="268"/>
      <c r="AS25" s="266"/>
      <c r="AT25" s="266"/>
      <c r="AU25" s="266"/>
      <c r="AV25" s="271"/>
      <c r="AW25" s="268"/>
      <c r="AX25" s="266"/>
      <c r="AY25" s="266"/>
      <c r="AZ25" s="270"/>
      <c r="BA25" s="268"/>
      <c r="BB25" s="266"/>
      <c r="BC25" s="266"/>
      <c r="BD25" s="267"/>
      <c r="BE25" s="268"/>
      <c r="BF25" s="266"/>
      <c r="BG25" s="266"/>
      <c r="BH25" s="266"/>
      <c r="BI25" s="271"/>
      <c r="BJ25" s="268"/>
      <c r="BK25" s="266"/>
      <c r="BL25" s="266"/>
      <c r="BM25" s="267"/>
      <c r="BN25" s="268"/>
      <c r="BO25" s="266"/>
      <c r="BP25" s="266"/>
      <c r="BQ25" s="267"/>
      <c r="BR25" s="268"/>
      <c r="BS25" s="266"/>
      <c r="BT25" s="266"/>
      <c r="BU25" s="270"/>
      <c r="BV25" s="271"/>
      <c r="BW25" s="268"/>
      <c r="BX25" s="266"/>
      <c r="BY25" s="266"/>
      <c r="BZ25" s="267"/>
      <c r="CA25" s="268"/>
      <c r="CB25" s="266"/>
      <c r="CC25" s="266"/>
      <c r="CD25" s="267"/>
      <c r="CE25" s="268"/>
      <c r="CF25" s="266"/>
      <c r="CG25" s="266"/>
      <c r="CH25" s="266"/>
      <c r="CI25" s="271"/>
      <c r="CJ25" s="268"/>
      <c r="CK25" s="266"/>
      <c r="CL25" s="266"/>
      <c r="CM25" s="267"/>
      <c r="CN25" s="251"/>
      <c r="CO25" s="249"/>
      <c r="CP25" s="249"/>
      <c r="CQ25" s="250"/>
      <c r="CR25" s="251"/>
      <c r="CS25" s="249"/>
      <c r="CT25" s="249"/>
      <c r="CU25" s="250"/>
      <c r="CV25" s="251"/>
      <c r="CW25" s="249"/>
      <c r="CX25" s="249"/>
      <c r="CY25" s="250"/>
      <c r="CZ25" s="103"/>
      <c r="DA25" s="102"/>
      <c r="DB25" s="102"/>
    </row>
    <row r="26" spans="1:106" ht="24.95" customHeight="1" outlineLevel="1" x14ac:dyDescent="0.55000000000000004">
      <c r="A26" s="326" t="s">
        <v>96</v>
      </c>
      <c r="B26" s="179" t="str">
        <f t="shared" ref="B26" si="38">A26</f>
        <v>1.2.4</v>
      </c>
      <c r="C26" s="343" t="s">
        <v>23</v>
      </c>
      <c r="D26" s="166" t="str">
        <f t="shared" ref="D26" si="39">C26</f>
        <v xml:space="preserve">         งานซ่อมแซมโครงสร้างอาคารเดิม</v>
      </c>
      <c r="E26" s="47">
        <v>881401.58600000001</v>
      </c>
      <c r="F26" s="48">
        <f t="shared" ref="F26" si="40">E26</f>
        <v>881401.58600000001</v>
      </c>
      <c r="G26" s="104" t="s">
        <v>86</v>
      </c>
      <c r="H26" s="216">
        <f>SUM(J26:CZ26)</f>
        <v>1</v>
      </c>
      <c r="I26" s="206">
        <f t="shared" si="12"/>
        <v>881401.58600000001</v>
      </c>
      <c r="J26" s="258"/>
      <c r="K26" s="259"/>
      <c r="L26" s="259"/>
      <c r="M26" s="260"/>
      <c r="N26" s="261"/>
      <c r="O26" s="259"/>
      <c r="P26" s="259"/>
      <c r="Q26" s="260"/>
      <c r="R26" s="262"/>
      <c r="S26" s="259"/>
      <c r="T26" s="259"/>
      <c r="U26" s="260"/>
      <c r="V26" s="285"/>
      <c r="W26" s="277"/>
      <c r="X26" s="277"/>
      <c r="Y26" s="286">
        <v>0.05</v>
      </c>
      <c r="Z26" s="284">
        <v>0.05</v>
      </c>
      <c r="AA26" s="285">
        <v>0.1</v>
      </c>
      <c r="AB26" s="277">
        <v>0.1</v>
      </c>
      <c r="AC26" s="277">
        <v>0.15</v>
      </c>
      <c r="AD26" s="284">
        <v>0.15</v>
      </c>
      <c r="AE26" s="283">
        <v>0.15</v>
      </c>
      <c r="AF26" s="277">
        <v>0.1</v>
      </c>
      <c r="AG26" s="277">
        <v>0.1</v>
      </c>
      <c r="AH26" s="277">
        <v>0.05</v>
      </c>
      <c r="AI26" s="288"/>
      <c r="AJ26" s="289"/>
      <c r="AK26" s="290"/>
      <c r="AL26" s="277"/>
      <c r="AM26" s="284"/>
      <c r="AN26" s="261"/>
      <c r="AO26" s="259"/>
      <c r="AP26" s="259"/>
      <c r="AQ26" s="260"/>
      <c r="AR26" s="261"/>
      <c r="AS26" s="259"/>
      <c r="AT26" s="259"/>
      <c r="AU26" s="259"/>
      <c r="AV26" s="264"/>
      <c r="AW26" s="261"/>
      <c r="AX26" s="259"/>
      <c r="AY26" s="259"/>
      <c r="AZ26" s="263"/>
      <c r="BA26" s="261"/>
      <c r="BB26" s="259"/>
      <c r="BC26" s="259"/>
      <c r="BD26" s="260"/>
      <c r="BE26" s="261"/>
      <c r="BF26" s="259"/>
      <c r="BG26" s="259"/>
      <c r="BH26" s="259"/>
      <c r="BI26" s="264"/>
      <c r="BJ26" s="261"/>
      <c r="BK26" s="259"/>
      <c r="BL26" s="259"/>
      <c r="BM26" s="260"/>
      <c r="BN26" s="261"/>
      <c r="BO26" s="259"/>
      <c r="BP26" s="259"/>
      <c r="BQ26" s="260"/>
      <c r="BR26" s="261"/>
      <c r="BS26" s="259"/>
      <c r="BT26" s="259"/>
      <c r="BU26" s="263"/>
      <c r="BV26" s="264"/>
      <c r="BW26" s="261"/>
      <c r="BX26" s="259"/>
      <c r="BY26" s="259"/>
      <c r="BZ26" s="260"/>
      <c r="CA26" s="261"/>
      <c r="CB26" s="259"/>
      <c r="CC26" s="259"/>
      <c r="CD26" s="260"/>
      <c r="CE26" s="261"/>
      <c r="CF26" s="259"/>
      <c r="CG26" s="259"/>
      <c r="CH26" s="259"/>
      <c r="CI26" s="264"/>
      <c r="CJ26" s="261"/>
      <c r="CK26" s="259"/>
      <c r="CL26" s="259"/>
      <c r="CM26" s="260"/>
      <c r="CN26" s="257"/>
      <c r="CO26" s="255"/>
      <c r="CP26" s="255"/>
      <c r="CQ26" s="256"/>
      <c r="CR26" s="257"/>
      <c r="CS26" s="255"/>
      <c r="CT26" s="255"/>
      <c r="CU26" s="256"/>
      <c r="CV26" s="257"/>
      <c r="CW26" s="255"/>
      <c r="CX26" s="255"/>
      <c r="CY26" s="256"/>
      <c r="CZ26" s="105"/>
      <c r="DA26" s="102"/>
      <c r="DB26" s="102"/>
    </row>
    <row r="27" spans="1:106" ht="24.95" customHeight="1" outlineLevel="1" x14ac:dyDescent="0.55000000000000004">
      <c r="A27" s="326"/>
      <c r="B27" s="179" t="str">
        <f t="shared" ref="B27" si="41">B26</f>
        <v>1.2.4</v>
      </c>
      <c r="C27" s="343"/>
      <c r="D27" s="166" t="str">
        <f t="shared" ref="D27" si="42">D26</f>
        <v xml:space="preserve">         งานซ่อมแซมโครงสร้างอาคารเดิม</v>
      </c>
      <c r="E27" s="47"/>
      <c r="F27" s="48">
        <f t="shared" ref="F27" si="43">E26</f>
        <v>881401.58600000001</v>
      </c>
      <c r="G27" s="106" t="s">
        <v>87</v>
      </c>
      <c r="H27" s="217">
        <f>SUM(J27:CZ27)</f>
        <v>0</v>
      </c>
      <c r="I27" s="207">
        <f t="shared" si="12"/>
        <v>0</v>
      </c>
      <c r="J27" s="265"/>
      <c r="K27" s="291"/>
      <c r="L27" s="291"/>
      <c r="M27" s="292"/>
      <c r="N27" s="293"/>
      <c r="O27" s="291"/>
      <c r="P27" s="291"/>
      <c r="Q27" s="292"/>
      <c r="R27" s="294"/>
      <c r="S27" s="291"/>
      <c r="T27" s="291"/>
      <c r="U27" s="292"/>
      <c r="V27" s="293"/>
      <c r="W27" s="291"/>
      <c r="X27" s="291"/>
      <c r="Y27" s="295"/>
      <c r="Z27" s="292"/>
      <c r="AA27" s="293"/>
      <c r="AB27" s="291"/>
      <c r="AC27" s="291"/>
      <c r="AD27" s="292"/>
      <c r="AE27" s="294"/>
      <c r="AF27" s="291"/>
      <c r="AG27" s="291"/>
      <c r="AH27" s="291"/>
      <c r="AI27" s="296"/>
      <c r="AJ27" s="293"/>
      <c r="AK27" s="291"/>
      <c r="AL27" s="291"/>
      <c r="AM27" s="292"/>
      <c r="AN27" s="268"/>
      <c r="AO27" s="266"/>
      <c r="AP27" s="266"/>
      <c r="AQ27" s="267"/>
      <c r="AR27" s="268"/>
      <c r="AS27" s="266"/>
      <c r="AT27" s="266"/>
      <c r="AU27" s="266"/>
      <c r="AV27" s="271"/>
      <c r="AW27" s="268"/>
      <c r="AX27" s="266"/>
      <c r="AY27" s="266"/>
      <c r="AZ27" s="270"/>
      <c r="BA27" s="268"/>
      <c r="BB27" s="266"/>
      <c r="BC27" s="266"/>
      <c r="BD27" s="267"/>
      <c r="BE27" s="268"/>
      <c r="BF27" s="266"/>
      <c r="BG27" s="266"/>
      <c r="BH27" s="266"/>
      <c r="BI27" s="271"/>
      <c r="BJ27" s="268"/>
      <c r="BK27" s="266"/>
      <c r="BL27" s="266"/>
      <c r="BM27" s="267"/>
      <c r="BN27" s="268"/>
      <c r="BO27" s="266"/>
      <c r="BP27" s="266"/>
      <c r="BQ27" s="267"/>
      <c r="BR27" s="268"/>
      <c r="BS27" s="266"/>
      <c r="BT27" s="266"/>
      <c r="BU27" s="270"/>
      <c r="BV27" s="271"/>
      <c r="BW27" s="268"/>
      <c r="BX27" s="266"/>
      <c r="BY27" s="266"/>
      <c r="BZ27" s="267"/>
      <c r="CA27" s="268"/>
      <c r="CB27" s="266"/>
      <c r="CC27" s="266"/>
      <c r="CD27" s="267"/>
      <c r="CE27" s="268"/>
      <c r="CF27" s="266"/>
      <c r="CG27" s="266"/>
      <c r="CH27" s="266"/>
      <c r="CI27" s="271"/>
      <c r="CJ27" s="268"/>
      <c r="CK27" s="266"/>
      <c r="CL27" s="266"/>
      <c r="CM27" s="267"/>
      <c r="CN27" s="251"/>
      <c r="CO27" s="249"/>
      <c r="CP27" s="249"/>
      <c r="CQ27" s="250"/>
      <c r="CR27" s="251"/>
      <c r="CS27" s="249"/>
      <c r="CT27" s="249"/>
      <c r="CU27" s="250"/>
      <c r="CV27" s="251"/>
      <c r="CW27" s="249"/>
      <c r="CX27" s="249"/>
      <c r="CY27" s="250"/>
      <c r="CZ27" s="103"/>
      <c r="DA27" s="102"/>
      <c r="DB27" s="102"/>
    </row>
    <row r="28" spans="1:106" ht="24.95" customHeight="1" outlineLevel="1" x14ac:dyDescent="0.55000000000000004">
      <c r="A28" s="326" t="s">
        <v>97</v>
      </c>
      <c r="B28" s="179" t="str">
        <f t="shared" ref="B28" si="44">A28</f>
        <v>1.2.5</v>
      </c>
      <c r="C28" s="343" t="s">
        <v>24</v>
      </c>
      <c r="D28" s="166" t="str">
        <f t="shared" ref="D28" si="45">C28</f>
        <v xml:space="preserve">         ห้องน้ำและห้องเตรียมอาหาร </v>
      </c>
      <c r="E28" s="47">
        <v>3388363.6713999999</v>
      </c>
      <c r="F28" s="48">
        <f t="shared" ref="F28" si="46">E28</f>
        <v>3388363.6713999999</v>
      </c>
      <c r="G28" s="104" t="s">
        <v>86</v>
      </c>
      <c r="H28" s="216">
        <f>SUM(J28:CZ28)</f>
        <v>0.99999999999999989</v>
      </c>
      <c r="I28" s="206">
        <f t="shared" si="12"/>
        <v>3388363.6713999994</v>
      </c>
      <c r="J28" s="258"/>
      <c r="K28" s="259"/>
      <c r="L28" s="259"/>
      <c r="M28" s="260"/>
      <c r="N28" s="261"/>
      <c r="O28" s="259"/>
      <c r="P28" s="259"/>
      <c r="Q28" s="260"/>
      <c r="R28" s="262"/>
      <c r="S28" s="259"/>
      <c r="T28" s="259"/>
      <c r="U28" s="284">
        <v>0.05</v>
      </c>
      <c r="V28" s="285">
        <v>0.1</v>
      </c>
      <c r="W28" s="277">
        <v>0.1</v>
      </c>
      <c r="X28" s="277">
        <v>0.1</v>
      </c>
      <c r="Y28" s="286">
        <v>0.1</v>
      </c>
      <c r="Z28" s="284">
        <v>0.1</v>
      </c>
      <c r="AA28" s="285">
        <v>0.1</v>
      </c>
      <c r="AB28" s="277">
        <v>0.1</v>
      </c>
      <c r="AC28" s="277">
        <v>0.1</v>
      </c>
      <c r="AD28" s="284">
        <v>0.1</v>
      </c>
      <c r="AE28" s="283">
        <v>0.05</v>
      </c>
      <c r="AF28" s="277"/>
      <c r="AG28" s="277"/>
      <c r="AH28" s="290"/>
      <c r="AI28" s="288"/>
      <c r="AJ28" s="289"/>
      <c r="AK28" s="280"/>
      <c r="AL28" s="280"/>
      <c r="AM28" s="281"/>
      <c r="AN28" s="279"/>
      <c r="AO28" s="280"/>
      <c r="AP28" s="280"/>
      <c r="AQ28" s="281"/>
      <c r="AR28" s="279"/>
      <c r="AS28" s="280"/>
      <c r="AT28" s="259"/>
      <c r="AU28" s="259"/>
      <c r="AV28" s="264"/>
      <c r="AW28" s="261"/>
      <c r="AX28" s="259"/>
      <c r="AY28" s="259"/>
      <c r="AZ28" s="263"/>
      <c r="BA28" s="261"/>
      <c r="BB28" s="259"/>
      <c r="BC28" s="259"/>
      <c r="BD28" s="260"/>
      <c r="BE28" s="261"/>
      <c r="BF28" s="259"/>
      <c r="BG28" s="259"/>
      <c r="BH28" s="259"/>
      <c r="BI28" s="264"/>
      <c r="BJ28" s="261"/>
      <c r="BK28" s="259"/>
      <c r="BL28" s="259"/>
      <c r="BM28" s="260"/>
      <c r="BN28" s="261"/>
      <c r="BO28" s="259"/>
      <c r="BP28" s="259"/>
      <c r="BQ28" s="260"/>
      <c r="BR28" s="261"/>
      <c r="BS28" s="259"/>
      <c r="BT28" s="259"/>
      <c r="BU28" s="263"/>
      <c r="BV28" s="264"/>
      <c r="BW28" s="261"/>
      <c r="BX28" s="259"/>
      <c r="BY28" s="259"/>
      <c r="BZ28" s="260"/>
      <c r="CA28" s="261"/>
      <c r="CB28" s="259"/>
      <c r="CC28" s="259"/>
      <c r="CD28" s="260"/>
      <c r="CE28" s="261"/>
      <c r="CF28" s="259"/>
      <c r="CG28" s="259"/>
      <c r="CH28" s="259"/>
      <c r="CI28" s="264"/>
      <c r="CJ28" s="261"/>
      <c r="CK28" s="259"/>
      <c r="CL28" s="259"/>
      <c r="CM28" s="260"/>
      <c r="CN28" s="257"/>
      <c r="CO28" s="255"/>
      <c r="CP28" s="255"/>
      <c r="CQ28" s="256"/>
      <c r="CR28" s="257"/>
      <c r="CS28" s="255"/>
      <c r="CT28" s="255"/>
      <c r="CU28" s="256"/>
      <c r="CV28" s="257"/>
      <c r="CW28" s="255"/>
      <c r="CX28" s="255"/>
      <c r="CY28" s="256"/>
      <c r="CZ28" s="105"/>
      <c r="DA28" s="102"/>
      <c r="DB28" s="102"/>
    </row>
    <row r="29" spans="1:106" ht="24.95" customHeight="1" outlineLevel="1" x14ac:dyDescent="0.55000000000000004">
      <c r="A29" s="326"/>
      <c r="B29" s="179" t="str">
        <f t="shared" ref="B29" si="47">B28</f>
        <v>1.2.5</v>
      </c>
      <c r="C29" s="343"/>
      <c r="D29" s="166" t="str">
        <f t="shared" ref="D29" si="48">D28</f>
        <v xml:space="preserve">         ห้องน้ำและห้องเตรียมอาหาร </v>
      </c>
      <c r="E29" s="47"/>
      <c r="F29" s="48">
        <f t="shared" ref="F29" si="49">E28</f>
        <v>3388363.6713999999</v>
      </c>
      <c r="G29" s="106" t="s">
        <v>87</v>
      </c>
      <c r="H29" s="217">
        <f>SUM(J29:CZ29)</f>
        <v>0</v>
      </c>
      <c r="I29" s="207">
        <f t="shared" si="12"/>
        <v>0</v>
      </c>
      <c r="J29" s="265"/>
      <c r="K29" s="266"/>
      <c r="L29" s="266"/>
      <c r="M29" s="267"/>
      <c r="N29" s="268"/>
      <c r="O29" s="266"/>
      <c r="P29" s="266"/>
      <c r="Q29" s="267"/>
      <c r="R29" s="269"/>
      <c r="S29" s="266"/>
      <c r="T29" s="266"/>
      <c r="U29" s="267"/>
      <c r="V29" s="268"/>
      <c r="W29" s="266"/>
      <c r="X29" s="266"/>
      <c r="Y29" s="270"/>
      <c r="Z29" s="267"/>
      <c r="AA29" s="268"/>
      <c r="AB29" s="266"/>
      <c r="AC29" s="266"/>
      <c r="AD29" s="267"/>
      <c r="AE29" s="269"/>
      <c r="AF29" s="266"/>
      <c r="AG29" s="266"/>
      <c r="AH29" s="266"/>
      <c r="AI29" s="271"/>
      <c r="AJ29" s="268"/>
      <c r="AK29" s="266"/>
      <c r="AL29" s="266"/>
      <c r="AM29" s="267"/>
      <c r="AN29" s="268"/>
      <c r="AO29" s="266"/>
      <c r="AP29" s="266"/>
      <c r="AQ29" s="267"/>
      <c r="AR29" s="268"/>
      <c r="AS29" s="266"/>
      <c r="AT29" s="266"/>
      <c r="AU29" s="266"/>
      <c r="AV29" s="271"/>
      <c r="AW29" s="268"/>
      <c r="AX29" s="266"/>
      <c r="AY29" s="266"/>
      <c r="AZ29" s="270"/>
      <c r="BA29" s="268"/>
      <c r="BB29" s="266"/>
      <c r="BC29" s="266"/>
      <c r="BD29" s="267"/>
      <c r="BE29" s="268"/>
      <c r="BF29" s="266"/>
      <c r="BG29" s="266"/>
      <c r="BH29" s="266"/>
      <c r="BI29" s="271"/>
      <c r="BJ29" s="268"/>
      <c r="BK29" s="266"/>
      <c r="BL29" s="266"/>
      <c r="BM29" s="267"/>
      <c r="BN29" s="268"/>
      <c r="BO29" s="266"/>
      <c r="BP29" s="266"/>
      <c r="BQ29" s="267"/>
      <c r="BR29" s="268"/>
      <c r="BS29" s="266"/>
      <c r="BT29" s="266"/>
      <c r="BU29" s="270"/>
      <c r="BV29" s="271"/>
      <c r="BW29" s="268"/>
      <c r="BX29" s="266"/>
      <c r="BY29" s="266"/>
      <c r="BZ29" s="267"/>
      <c r="CA29" s="268"/>
      <c r="CB29" s="266"/>
      <c r="CC29" s="266"/>
      <c r="CD29" s="267"/>
      <c r="CE29" s="268"/>
      <c r="CF29" s="266"/>
      <c r="CG29" s="266"/>
      <c r="CH29" s="266"/>
      <c r="CI29" s="271"/>
      <c r="CJ29" s="268"/>
      <c r="CK29" s="266"/>
      <c r="CL29" s="266"/>
      <c r="CM29" s="267"/>
      <c r="CN29" s="251"/>
      <c r="CO29" s="249"/>
      <c r="CP29" s="249"/>
      <c r="CQ29" s="250"/>
      <c r="CR29" s="251"/>
      <c r="CS29" s="249"/>
      <c r="CT29" s="249"/>
      <c r="CU29" s="250"/>
      <c r="CV29" s="251"/>
      <c r="CW29" s="249"/>
      <c r="CX29" s="249"/>
      <c r="CY29" s="250"/>
      <c r="CZ29" s="103"/>
      <c r="DA29" s="102"/>
      <c r="DB29" s="102"/>
    </row>
    <row r="30" spans="1:106" ht="24.95" customHeight="1" outlineLevel="1" x14ac:dyDescent="0.55000000000000004">
      <c r="A30" s="326" t="s">
        <v>98</v>
      </c>
      <c r="B30" s="179" t="str">
        <f t="shared" ref="B30" si="50">A30</f>
        <v>1.2.6</v>
      </c>
      <c r="C30" s="343" t="s">
        <v>25</v>
      </c>
      <c r="D30" s="166" t="str">
        <f t="shared" ref="D30" si="51">C30</f>
        <v xml:space="preserve">         งานโครงสร้างชั้นลอย</v>
      </c>
      <c r="E30" s="47">
        <v>3778708.0174000002</v>
      </c>
      <c r="F30" s="48">
        <f t="shared" ref="F30" si="52">E30</f>
        <v>3778708.0174000002</v>
      </c>
      <c r="G30" s="104" t="s">
        <v>86</v>
      </c>
      <c r="H30" s="216">
        <f>SUM(J30:CZ30)</f>
        <v>1</v>
      </c>
      <c r="I30" s="206">
        <f t="shared" si="12"/>
        <v>3778708.0174000002</v>
      </c>
      <c r="J30" s="258"/>
      <c r="K30" s="259"/>
      <c r="L30" s="259"/>
      <c r="M30" s="260"/>
      <c r="N30" s="261"/>
      <c r="O30" s="259"/>
      <c r="P30" s="259"/>
      <c r="Q30" s="260"/>
      <c r="R30" s="262"/>
      <c r="S30" s="259"/>
      <c r="T30" s="259"/>
      <c r="U30" s="260"/>
      <c r="V30" s="285">
        <v>0.08</v>
      </c>
      <c r="W30" s="277">
        <v>0.1</v>
      </c>
      <c r="X30" s="277">
        <v>0.1</v>
      </c>
      <c r="Y30" s="286">
        <v>0.1</v>
      </c>
      <c r="Z30" s="284">
        <v>0.15</v>
      </c>
      <c r="AA30" s="285">
        <v>0.2</v>
      </c>
      <c r="AB30" s="277">
        <v>0.1</v>
      </c>
      <c r="AC30" s="277">
        <v>0.1</v>
      </c>
      <c r="AD30" s="284">
        <v>7.0000000000000007E-2</v>
      </c>
      <c r="AE30" s="283"/>
      <c r="AF30" s="277"/>
      <c r="AG30" s="277"/>
      <c r="AH30" s="277"/>
      <c r="AI30" s="278"/>
      <c r="AJ30" s="261"/>
      <c r="AK30" s="259"/>
      <c r="AL30" s="259"/>
      <c r="AM30" s="260"/>
      <c r="AN30" s="279"/>
      <c r="AO30" s="280"/>
      <c r="AP30" s="280"/>
      <c r="AQ30" s="281"/>
      <c r="AR30" s="279"/>
      <c r="AS30" s="280"/>
      <c r="AT30" s="280"/>
      <c r="AU30" s="280"/>
      <c r="AV30" s="287"/>
      <c r="AW30" s="279"/>
      <c r="AX30" s="280"/>
      <c r="AY30" s="280"/>
      <c r="AZ30" s="263"/>
      <c r="BA30" s="261"/>
      <c r="BB30" s="259"/>
      <c r="BC30" s="259"/>
      <c r="BD30" s="260"/>
      <c r="BE30" s="261"/>
      <c r="BF30" s="259"/>
      <c r="BG30" s="259"/>
      <c r="BH30" s="259"/>
      <c r="BI30" s="264"/>
      <c r="BJ30" s="261"/>
      <c r="BK30" s="259"/>
      <c r="BL30" s="259"/>
      <c r="BM30" s="260"/>
      <c r="BN30" s="261"/>
      <c r="BO30" s="259"/>
      <c r="BP30" s="259"/>
      <c r="BQ30" s="260"/>
      <c r="BR30" s="261"/>
      <c r="BS30" s="259"/>
      <c r="BT30" s="259"/>
      <c r="BU30" s="263"/>
      <c r="BV30" s="264"/>
      <c r="BW30" s="261"/>
      <c r="BX30" s="259"/>
      <c r="BY30" s="259"/>
      <c r="BZ30" s="260"/>
      <c r="CA30" s="261"/>
      <c r="CB30" s="259"/>
      <c r="CC30" s="259"/>
      <c r="CD30" s="260"/>
      <c r="CE30" s="261"/>
      <c r="CF30" s="259"/>
      <c r="CG30" s="259"/>
      <c r="CH30" s="259"/>
      <c r="CI30" s="264"/>
      <c r="CJ30" s="261"/>
      <c r="CK30" s="259"/>
      <c r="CL30" s="259"/>
      <c r="CM30" s="260"/>
      <c r="CN30" s="257"/>
      <c r="CO30" s="255"/>
      <c r="CP30" s="255"/>
      <c r="CQ30" s="256"/>
      <c r="CR30" s="257"/>
      <c r="CS30" s="255"/>
      <c r="CT30" s="255"/>
      <c r="CU30" s="256"/>
      <c r="CV30" s="257"/>
      <c r="CW30" s="255"/>
      <c r="CX30" s="255"/>
      <c r="CY30" s="256"/>
      <c r="CZ30" s="105"/>
      <c r="DA30" s="102"/>
      <c r="DB30" s="102"/>
    </row>
    <row r="31" spans="1:106" ht="24.95" customHeight="1" outlineLevel="1" x14ac:dyDescent="0.55000000000000004">
      <c r="A31" s="326"/>
      <c r="B31" s="179" t="str">
        <f t="shared" ref="B31" si="53">B30</f>
        <v>1.2.6</v>
      </c>
      <c r="C31" s="343"/>
      <c r="D31" s="166" t="str">
        <f t="shared" ref="D31" si="54">D30</f>
        <v xml:space="preserve">         งานโครงสร้างชั้นลอย</v>
      </c>
      <c r="E31" s="47"/>
      <c r="F31" s="48">
        <f t="shared" ref="F31" si="55">E30</f>
        <v>3778708.0174000002</v>
      </c>
      <c r="G31" s="106" t="s">
        <v>87</v>
      </c>
      <c r="H31" s="217">
        <f>SUM(J31:CZ31)</f>
        <v>0</v>
      </c>
      <c r="I31" s="207">
        <f t="shared" si="12"/>
        <v>0</v>
      </c>
      <c r="J31" s="265"/>
      <c r="K31" s="266"/>
      <c r="L31" s="266"/>
      <c r="M31" s="267"/>
      <c r="N31" s="268"/>
      <c r="O31" s="266"/>
      <c r="P31" s="291"/>
      <c r="Q31" s="267"/>
      <c r="R31" s="269"/>
      <c r="S31" s="266"/>
      <c r="T31" s="282"/>
      <c r="U31" s="292"/>
      <c r="V31" s="293"/>
      <c r="W31" s="291"/>
      <c r="X31" s="291"/>
      <c r="Y31" s="295"/>
      <c r="Z31" s="292"/>
      <c r="AA31" s="293"/>
      <c r="AB31" s="291"/>
      <c r="AC31" s="291"/>
      <c r="AD31" s="292"/>
      <c r="AE31" s="294"/>
      <c r="AF31" s="291"/>
      <c r="AG31" s="291"/>
      <c r="AH31" s="291"/>
      <c r="AI31" s="296"/>
      <c r="AJ31" s="293"/>
      <c r="AK31" s="266"/>
      <c r="AL31" s="266"/>
      <c r="AM31" s="267"/>
      <c r="AN31" s="268"/>
      <c r="AO31" s="266"/>
      <c r="AP31" s="266"/>
      <c r="AQ31" s="267"/>
      <c r="AR31" s="268"/>
      <c r="AS31" s="266"/>
      <c r="AT31" s="266"/>
      <c r="AU31" s="266"/>
      <c r="AV31" s="271"/>
      <c r="AW31" s="268"/>
      <c r="AX31" s="266"/>
      <c r="AY31" s="266"/>
      <c r="AZ31" s="270"/>
      <c r="BA31" s="268"/>
      <c r="BB31" s="266"/>
      <c r="BC31" s="266"/>
      <c r="BD31" s="267"/>
      <c r="BE31" s="268"/>
      <c r="BF31" s="266"/>
      <c r="BG31" s="266"/>
      <c r="BH31" s="266"/>
      <c r="BI31" s="271"/>
      <c r="BJ31" s="268"/>
      <c r="BK31" s="266"/>
      <c r="BL31" s="266"/>
      <c r="BM31" s="267"/>
      <c r="BN31" s="268"/>
      <c r="BO31" s="266"/>
      <c r="BP31" s="266"/>
      <c r="BQ31" s="267"/>
      <c r="BR31" s="268"/>
      <c r="BS31" s="266"/>
      <c r="BT31" s="266"/>
      <c r="BU31" s="270"/>
      <c r="BV31" s="271"/>
      <c r="BW31" s="268"/>
      <c r="BX31" s="266"/>
      <c r="BY31" s="266"/>
      <c r="BZ31" s="267"/>
      <c r="CA31" s="268"/>
      <c r="CB31" s="266"/>
      <c r="CC31" s="266"/>
      <c r="CD31" s="267"/>
      <c r="CE31" s="268"/>
      <c r="CF31" s="266"/>
      <c r="CG31" s="266"/>
      <c r="CH31" s="266"/>
      <c r="CI31" s="271"/>
      <c r="CJ31" s="268"/>
      <c r="CK31" s="266"/>
      <c r="CL31" s="266"/>
      <c r="CM31" s="267"/>
      <c r="CN31" s="251"/>
      <c r="CO31" s="249"/>
      <c r="CP31" s="249"/>
      <c r="CQ31" s="250"/>
      <c r="CR31" s="251"/>
      <c r="CS31" s="249"/>
      <c r="CT31" s="249"/>
      <c r="CU31" s="250"/>
      <c r="CV31" s="251"/>
      <c r="CW31" s="249"/>
      <c r="CX31" s="249"/>
      <c r="CY31" s="250"/>
      <c r="CZ31" s="103"/>
      <c r="DA31" s="102"/>
      <c r="DB31" s="102"/>
    </row>
    <row r="32" spans="1:106" ht="24.95" customHeight="1" outlineLevel="1" x14ac:dyDescent="0.55000000000000004">
      <c r="A32" s="326" t="s">
        <v>99</v>
      </c>
      <c r="B32" s="179" t="str">
        <f t="shared" ref="B32" si="56">A32</f>
        <v>1.2.7</v>
      </c>
      <c r="C32" s="343" t="s">
        <v>26</v>
      </c>
      <c r="D32" s="166" t="str">
        <f t="shared" ref="D32" si="57">C32</f>
        <v xml:space="preserve">         งานโครงสร้างต่อเติมพื้นชั้น 2 Area = 59.06 sq.m. ( GL.1-5/B-C &amp; GL.33-37/B-C )</v>
      </c>
      <c r="E32" s="47">
        <v>449323.23820000002</v>
      </c>
      <c r="F32" s="48">
        <f t="shared" ref="F32" si="58">E32</f>
        <v>449323.23820000002</v>
      </c>
      <c r="G32" s="104" t="s">
        <v>86</v>
      </c>
      <c r="H32" s="216">
        <f>SUM(J32:CZ32)</f>
        <v>1</v>
      </c>
      <c r="I32" s="206">
        <f t="shared" si="12"/>
        <v>449323.23820000002</v>
      </c>
      <c r="J32" s="258"/>
      <c r="K32" s="259"/>
      <c r="L32" s="259"/>
      <c r="M32" s="260"/>
      <c r="N32" s="261"/>
      <c r="O32" s="259"/>
      <c r="P32" s="259"/>
      <c r="Q32" s="260"/>
      <c r="R32" s="262"/>
      <c r="S32" s="259"/>
      <c r="T32" s="259"/>
      <c r="U32" s="260"/>
      <c r="V32" s="261"/>
      <c r="W32" s="259"/>
      <c r="X32" s="259"/>
      <c r="Y32" s="263"/>
      <c r="Z32" s="260"/>
      <c r="AA32" s="285">
        <v>0.1</v>
      </c>
      <c r="AB32" s="277">
        <v>0.35</v>
      </c>
      <c r="AC32" s="277">
        <v>0.3</v>
      </c>
      <c r="AD32" s="284">
        <v>0.25</v>
      </c>
      <c r="AE32" s="262"/>
      <c r="AF32" s="259"/>
      <c r="AG32" s="259"/>
      <c r="AH32" s="259"/>
      <c r="AI32" s="264"/>
      <c r="AJ32" s="261"/>
      <c r="AK32" s="259"/>
      <c r="AL32" s="259"/>
      <c r="AM32" s="260"/>
      <c r="AN32" s="261"/>
      <c r="AO32" s="259"/>
      <c r="AP32" s="259"/>
      <c r="AQ32" s="260"/>
      <c r="AR32" s="261"/>
      <c r="AS32" s="277"/>
      <c r="AT32" s="290"/>
      <c r="AU32" s="290"/>
      <c r="AV32" s="288"/>
      <c r="AW32" s="289"/>
      <c r="AX32" s="290"/>
      <c r="AY32" s="277"/>
      <c r="AZ32" s="263"/>
      <c r="BA32" s="261"/>
      <c r="BB32" s="259"/>
      <c r="BC32" s="259"/>
      <c r="BD32" s="260"/>
      <c r="BE32" s="261"/>
      <c r="BF32" s="259"/>
      <c r="BG32" s="259"/>
      <c r="BH32" s="259"/>
      <c r="BI32" s="264"/>
      <c r="BJ32" s="261"/>
      <c r="BK32" s="259"/>
      <c r="BL32" s="259"/>
      <c r="BM32" s="260"/>
      <c r="BN32" s="261"/>
      <c r="BO32" s="259"/>
      <c r="BP32" s="259"/>
      <c r="BQ32" s="260"/>
      <c r="BR32" s="261"/>
      <c r="BS32" s="259"/>
      <c r="BT32" s="259"/>
      <c r="BU32" s="263"/>
      <c r="BV32" s="264"/>
      <c r="BW32" s="261"/>
      <c r="BX32" s="259"/>
      <c r="BY32" s="259"/>
      <c r="BZ32" s="260"/>
      <c r="CA32" s="261"/>
      <c r="CB32" s="259"/>
      <c r="CC32" s="259"/>
      <c r="CD32" s="260"/>
      <c r="CE32" s="261"/>
      <c r="CF32" s="259"/>
      <c r="CG32" s="259"/>
      <c r="CH32" s="259"/>
      <c r="CI32" s="264"/>
      <c r="CJ32" s="261"/>
      <c r="CK32" s="259"/>
      <c r="CL32" s="259"/>
      <c r="CM32" s="260"/>
      <c r="CN32" s="257"/>
      <c r="CO32" s="255"/>
      <c r="CP32" s="255"/>
      <c r="CQ32" s="256"/>
      <c r="CR32" s="257"/>
      <c r="CS32" s="255"/>
      <c r="CT32" s="255"/>
      <c r="CU32" s="256"/>
      <c r="CV32" s="257"/>
      <c r="CW32" s="255"/>
      <c r="CX32" s="255"/>
      <c r="CY32" s="256"/>
      <c r="CZ32" s="105"/>
      <c r="DA32" s="102"/>
      <c r="DB32" s="102"/>
    </row>
    <row r="33" spans="1:106" ht="24.95" customHeight="1" outlineLevel="1" x14ac:dyDescent="0.55000000000000004">
      <c r="A33" s="326"/>
      <c r="B33" s="179" t="str">
        <f t="shared" ref="B33" si="59">B32</f>
        <v>1.2.7</v>
      </c>
      <c r="C33" s="343"/>
      <c r="D33" s="166" t="str">
        <f t="shared" ref="D33" si="60">D32</f>
        <v xml:space="preserve">         งานโครงสร้างต่อเติมพื้นชั้น 2 Area = 59.06 sq.m. ( GL.1-5/B-C &amp; GL.33-37/B-C )</v>
      </c>
      <c r="E33" s="47"/>
      <c r="F33" s="48">
        <f t="shared" ref="F33" si="61">E32</f>
        <v>449323.23820000002</v>
      </c>
      <c r="G33" s="106" t="s">
        <v>87</v>
      </c>
      <c r="H33" s="217">
        <f>SUM(J33:CZ33)</f>
        <v>0</v>
      </c>
      <c r="I33" s="207">
        <f t="shared" si="12"/>
        <v>0</v>
      </c>
      <c r="J33" s="265"/>
      <c r="K33" s="266"/>
      <c r="L33" s="266"/>
      <c r="M33" s="267"/>
      <c r="N33" s="268"/>
      <c r="O33" s="266"/>
      <c r="P33" s="266"/>
      <c r="Q33" s="267"/>
      <c r="R33" s="269"/>
      <c r="S33" s="266"/>
      <c r="T33" s="266"/>
      <c r="U33" s="267"/>
      <c r="V33" s="268"/>
      <c r="W33" s="266"/>
      <c r="X33" s="266"/>
      <c r="Y33" s="270"/>
      <c r="Z33" s="267"/>
      <c r="AA33" s="268"/>
      <c r="AB33" s="266"/>
      <c r="AC33" s="266"/>
      <c r="AD33" s="267"/>
      <c r="AE33" s="269"/>
      <c r="AF33" s="266"/>
      <c r="AG33" s="266"/>
      <c r="AH33" s="266"/>
      <c r="AI33" s="271"/>
      <c r="AJ33" s="268"/>
      <c r="AK33" s="266"/>
      <c r="AL33" s="266"/>
      <c r="AM33" s="267"/>
      <c r="AN33" s="268"/>
      <c r="AO33" s="266"/>
      <c r="AP33" s="266"/>
      <c r="AQ33" s="267"/>
      <c r="AR33" s="268"/>
      <c r="AS33" s="266"/>
      <c r="AT33" s="266"/>
      <c r="AU33" s="266"/>
      <c r="AV33" s="271"/>
      <c r="AW33" s="268"/>
      <c r="AX33" s="266"/>
      <c r="AY33" s="266"/>
      <c r="AZ33" s="270"/>
      <c r="BA33" s="268"/>
      <c r="BB33" s="266"/>
      <c r="BC33" s="266"/>
      <c r="BD33" s="267"/>
      <c r="BE33" s="268"/>
      <c r="BF33" s="266"/>
      <c r="BG33" s="266"/>
      <c r="BH33" s="266"/>
      <c r="BI33" s="271"/>
      <c r="BJ33" s="268"/>
      <c r="BK33" s="266"/>
      <c r="BL33" s="266"/>
      <c r="BM33" s="267"/>
      <c r="BN33" s="268"/>
      <c r="BO33" s="266"/>
      <c r="BP33" s="266"/>
      <c r="BQ33" s="267"/>
      <c r="BR33" s="268"/>
      <c r="BS33" s="266"/>
      <c r="BT33" s="266"/>
      <c r="BU33" s="270"/>
      <c r="BV33" s="271"/>
      <c r="BW33" s="268"/>
      <c r="BX33" s="266"/>
      <c r="BY33" s="266"/>
      <c r="BZ33" s="267"/>
      <c r="CA33" s="268"/>
      <c r="CB33" s="266"/>
      <c r="CC33" s="266"/>
      <c r="CD33" s="267"/>
      <c r="CE33" s="268"/>
      <c r="CF33" s="266"/>
      <c r="CG33" s="266"/>
      <c r="CH33" s="266"/>
      <c r="CI33" s="271"/>
      <c r="CJ33" s="268"/>
      <c r="CK33" s="266"/>
      <c r="CL33" s="266"/>
      <c r="CM33" s="267"/>
      <c r="CN33" s="251"/>
      <c r="CO33" s="249"/>
      <c r="CP33" s="249"/>
      <c r="CQ33" s="250"/>
      <c r="CR33" s="251"/>
      <c r="CS33" s="249"/>
      <c r="CT33" s="249"/>
      <c r="CU33" s="250"/>
      <c r="CV33" s="251"/>
      <c r="CW33" s="249"/>
      <c r="CX33" s="249"/>
      <c r="CY33" s="250"/>
      <c r="CZ33" s="103"/>
      <c r="DA33" s="102"/>
      <c r="DB33" s="102"/>
    </row>
    <row r="34" spans="1:106" ht="24.95" customHeight="1" outlineLevel="1" x14ac:dyDescent="0.55000000000000004">
      <c r="A34" s="326" t="s">
        <v>100</v>
      </c>
      <c r="B34" s="179" t="str">
        <f t="shared" ref="B34" si="62">A34</f>
        <v>1.2.8</v>
      </c>
      <c r="C34" s="343" t="s">
        <v>27</v>
      </c>
      <c r="D34" s="166" t="str">
        <f t="shared" ref="D34" si="63">C34</f>
        <v xml:space="preserve">         งานโครงสร้าง Platform สำหรับงานระบบ ( GL.23-37 / A )</v>
      </c>
      <c r="E34" s="47">
        <v>91097.831200000001</v>
      </c>
      <c r="F34" s="48">
        <f t="shared" ref="F34" si="64">E34</f>
        <v>91097.831200000001</v>
      </c>
      <c r="G34" s="104" t="s">
        <v>86</v>
      </c>
      <c r="H34" s="216">
        <f>SUM(J34:CZ34)</f>
        <v>1</v>
      </c>
      <c r="I34" s="206">
        <f t="shared" si="12"/>
        <v>91097.831200000001</v>
      </c>
      <c r="J34" s="258"/>
      <c r="K34" s="259"/>
      <c r="L34" s="259"/>
      <c r="M34" s="260"/>
      <c r="N34" s="261"/>
      <c r="O34" s="259"/>
      <c r="P34" s="259"/>
      <c r="Q34" s="260"/>
      <c r="R34" s="262"/>
      <c r="S34" s="259"/>
      <c r="T34" s="259"/>
      <c r="U34" s="260"/>
      <c r="V34" s="261"/>
      <c r="W34" s="259"/>
      <c r="X34" s="259"/>
      <c r="Y34" s="263"/>
      <c r="Z34" s="260"/>
      <c r="AA34" s="285"/>
      <c r="AB34" s="277">
        <v>0.5</v>
      </c>
      <c r="AC34" s="277">
        <v>0.5</v>
      </c>
      <c r="AD34" s="284"/>
      <c r="AE34" s="262"/>
      <c r="AF34" s="259"/>
      <c r="AG34" s="259"/>
      <c r="AH34" s="259"/>
      <c r="AI34" s="264"/>
      <c r="AJ34" s="261"/>
      <c r="AK34" s="259"/>
      <c r="AL34" s="259"/>
      <c r="AM34" s="260"/>
      <c r="AN34" s="261"/>
      <c r="AO34" s="259"/>
      <c r="AP34" s="259"/>
      <c r="AQ34" s="260"/>
      <c r="AR34" s="261"/>
      <c r="AS34" s="259"/>
      <c r="AT34" s="259"/>
      <c r="AU34" s="259"/>
      <c r="AV34" s="264"/>
      <c r="AW34" s="261"/>
      <c r="AX34" s="259"/>
      <c r="AY34" s="280"/>
      <c r="AZ34" s="297"/>
      <c r="BA34" s="279"/>
      <c r="BB34" s="259"/>
      <c r="BC34" s="259"/>
      <c r="BD34" s="260"/>
      <c r="BE34" s="261"/>
      <c r="BF34" s="259"/>
      <c r="BG34" s="259"/>
      <c r="BH34" s="259"/>
      <c r="BI34" s="264"/>
      <c r="BJ34" s="261"/>
      <c r="BK34" s="259"/>
      <c r="BL34" s="259"/>
      <c r="BM34" s="260"/>
      <c r="BN34" s="261"/>
      <c r="BO34" s="259"/>
      <c r="BP34" s="259"/>
      <c r="BQ34" s="260"/>
      <c r="BR34" s="261"/>
      <c r="BS34" s="259"/>
      <c r="BT34" s="259"/>
      <c r="BU34" s="263"/>
      <c r="BV34" s="264"/>
      <c r="BW34" s="261"/>
      <c r="BX34" s="259"/>
      <c r="BY34" s="259"/>
      <c r="BZ34" s="260"/>
      <c r="CA34" s="261"/>
      <c r="CB34" s="259"/>
      <c r="CC34" s="259"/>
      <c r="CD34" s="260"/>
      <c r="CE34" s="261"/>
      <c r="CF34" s="259"/>
      <c r="CG34" s="259"/>
      <c r="CH34" s="259"/>
      <c r="CI34" s="264"/>
      <c r="CJ34" s="261"/>
      <c r="CK34" s="259"/>
      <c r="CL34" s="259"/>
      <c r="CM34" s="260"/>
      <c r="CN34" s="257"/>
      <c r="CO34" s="255"/>
      <c r="CP34" s="255"/>
      <c r="CQ34" s="256"/>
      <c r="CR34" s="257"/>
      <c r="CS34" s="255"/>
      <c r="CT34" s="255"/>
      <c r="CU34" s="256"/>
      <c r="CV34" s="257"/>
      <c r="CW34" s="255"/>
      <c r="CX34" s="255"/>
      <c r="CY34" s="256"/>
      <c r="CZ34" s="105"/>
      <c r="DA34" s="102"/>
      <c r="DB34" s="102"/>
    </row>
    <row r="35" spans="1:106" ht="24.95" customHeight="1" outlineLevel="1" x14ac:dyDescent="0.55000000000000004">
      <c r="A35" s="326"/>
      <c r="B35" s="179" t="str">
        <f t="shared" ref="B35" si="65">B34</f>
        <v>1.2.8</v>
      </c>
      <c r="C35" s="343"/>
      <c r="D35" s="166" t="str">
        <f t="shared" ref="D35" si="66">D34</f>
        <v xml:space="preserve">         งานโครงสร้าง Platform สำหรับงานระบบ ( GL.23-37 / A )</v>
      </c>
      <c r="E35" s="47"/>
      <c r="F35" s="48">
        <f t="shared" ref="F35" si="67">E34</f>
        <v>91097.831200000001</v>
      </c>
      <c r="G35" s="106" t="s">
        <v>87</v>
      </c>
      <c r="H35" s="217">
        <f>SUM(J35:CZ35)</f>
        <v>0</v>
      </c>
      <c r="I35" s="207">
        <f t="shared" si="12"/>
        <v>0</v>
      </c>
      <c r="J35" s="265"/>
      <c r="K35" s="266"/>
      <c r="L35" s="266"/>
      <c r="M35" s="267"/>
      <c r="N35" s="268"/>
      <c r="O35" s="266"/>
      <c r="P35" s="266"/>
      <c r="Q35" s="267"/>
      <c r="R35" s="269"/>
      <c r="S35" s="266"/>
      <c r="T35" s="266"/>
      <c r="U35" s="267"/>
      <c r="V35" s="268"/>
      <c r="W35" s="266"/>
      <c r="X35" s="266"/>
      <c r="Y35" s="270"/>
      <c r="Z35" s="267"/>
      <c r="AA35" s="268"/>
      <c r="AB35" s="266"/>
      <c r="AC35" s="266"/>
      <c r="AD35" s="267"/>
      <c r="AE35" s="269"/>
      <c r="AF35" s="266"/>
      <c r="AG35" s="266"/>
      <c r="AH35" s="266"/>
      <c r="AI35" s="271"/>
      <c r="AJ35" s="268"/>
      <c r="AK35" s="266"/>
      <c r="AL35" s="266"/>
      <c r="AM35" s="267"/>
      <c r="AN35" s="268"/>
      <c r="AO35" s="266"/>
      <c r="AP35" s="266"/>
      <c r="AQ35" s="267"/>
      <c r="AR35" s="268"/>
      <c r="AS35" s="266"/>
      <c r="AT35" s="266"/>
      <c r="AU35" s="266"/>
      <c r="AV35" s="271"/>
      <c r="AW35" s="268"/>
      <c r="AX35" s="266"/>
      <c r="AY35" s="266"/>
      <c r="AZ35" s="270"/>
      <c r="BA35" s="268"/>
      <c r="BB35" s="266"/>
      <c r="BC35" s="266"/>
      <c r="BD35" s="267"/>
      <c r="BE35" s="268"/>
      <c r="BF35" s="266"/>
      <c r="BG35" s="266"/>
      <c r="BH35" s="266"/>
      <c r="BI35" s="271"/>
      <c r="BJ35" s="268"/>
      <c r="BK35" s="266"/>
      <c r="BL35" s="266"/>
      <c r="BM35" s="267"/>
      <c r="BN35" s="268"/>
      <c r="BO35" s="266"/>
      <c r="BP35" s="266"/>
      <c r="BQ35" s="267"/>
      <c r="BR35" s="268"/>
      <c r="BS35" s="266"/>
      <c r="BT35" s="266"/>
      <c r="BU35" s="270"/>
      <c r="BV35" s="271"/>
      <c r="BW35" s="268"/>
      <c r="BX35" s="266"/>
      <c r="BY35" s="266"/>
      <c r="BZ35" s="267"/>
      <c r="CA35" s="268"/>
      <c r="CB35" s="266"/>
      <c r="CC35" s="266"/>
      <c r="CD35" s="267"/>
      <c r="CE35" s="268"/>
      <c r="CF35" s="266"/>
      <c r="CG35" s="266"/>
      <c r="CH35" s="266"/>
      <c r="CI35" s="271"/>
      <c r="CJ35" s="268"/>
      <c r="CK35" s="266"/>
      <c r="CL35" s="266"/>
      <c r="CM35" s="267"/>
      <c r="CN35" s="251"/>
      <c r="CO35" s="249"/>
      <c r="CP35" s="249"/>
      <c r="CQ35" s="250"/>
      <c r="CR35" s="251"/>
      <c r="CS35" s="249"/>
      <c r="CT35" s="249"/>
      <c r="CU35" s="250"/>
      <c r="CV35" s="251"/>
      <c r="CW35" s="249"/>
      <c r="CX35" s="249"/>
      <c r="CY35" s="250"/>
      <c r="CZ35" s="103"/>
      <c r="DA35" s="102"/>
      <c r="DB35" s="102"/>
    </row>
    <row r="36" spans="1:106" ht="24.95" customHeight="1" outlineLevel="1" x14ac:dyDescent="0.55000000000000004">
      <c r="A36" s="326" t="s">
        <v>101</v>
      </c>
      <c r="B36" s="179" t="str">
        <f t="shared" ref="B36" si="68">A36</f>
        <v>1.2.9</v>
      </c>
      <c r="C36" s="343" t="s">
        <v>28</v>
      </c>
      <c r="D36" s="166" t="str">
        <f t="shared" ref="D36" si="69">C36</f>
        <v xml:space="preserve">         งานโครงสร้างถังบำบัดน้ำเสีย ( GL.23-28 / A )</v>
      </c>
      <c r="E36" s="47">
        <v>213666.42749999999</v>
      </c>
      <c r="F36" s="48">
        <f t="shared" ref="F36" si="70">E36</f>
        <v>213666.42749999999</v>
      </c>
      <c r="G36" s="104" t="s">
        <v>86</v>
      </c>
      <c r="H36" s="216">
        <f>SUM(J36:CZ36)</f>
        <v>1</v>
      </c>
      <c r="I36" s="206">
        <f t="shared" si="12"/>
        <v>213666.42749999999</v>
      </c>
      <c r="J36" s="258"/>
      <c r="K36" s="259"/>
      <c r="L36" s="259"/>
      <c r="M36" s="260"/>
      <c r="N36" s="261"/>
      <c r="O36" s="259"/>
      <c r="P36" s="259"/>
      <c r="Q36" s="260"/>
      <c r="R36" s="262"/>
      <c r="S36" s="259"/>
      <c r="T36" s="259"/>
      <c r="U36" s="260"/>
      <c r="V36" s="285"/>
      <c r="W36" s="277"/>
      <c r="X36" s="277">
        <v>0.1</v>
      </c>
      <c r="Y36" s="286">
        <v>0.1</v>
      </c>
      <c r="Z36" s="284">
        <v>0.2</v>
      </c>
      <c r="AA36" s="285">
        <v>0.4</v>
      </c>
      <c r="AB36" s="277">
        <v>0.2</v>
      </c>
      <c r="AC36" s="277"/>
      <c r="AD36" s="284"/>
      <c r="AE36" s="283"/>
      <c r="AF36" s="277"/>
      <c r="AG36" s="259"/>
      <c r="AH36" s="259"/>
      <c r="AI36" s="264"/>
      <c r="AJ36" s="261"/>
      <c r="AK36" s="259"/>
      <c r="AL36" s="259"/>
      <c r="AM36" s="281"/>
      <c r="AN36" s="279"/>
      <c r="AO36" s="280"/>
      <c r="AP36" s="280"/>
      <c r="AQ36" s="281"/>
      <c r="AR36" s="261"/>
      <c r="AS36" s="259"/>
      <c r="AT36" s="259"/>
      <c r="AU36" s="259"/>
      <c r="AV36" s="264"/>
      <c r="AW36" s="261"/>
      <c r="AX36" s="259"/>
      <c r="AY36" s="259"/>
      <c r="AZ36" s="263"/>
      <c r="BA36" s="261"/>
      <c r="BB36" s="259"/>
      <c r="BC36" s="259"/>
      <c r="BD36" s="260"/>
      <c r="BE36" s="261"/>
      <c r="BF36" s="259"/>
      <c r="BG36" s="259"/>
      <c r="BH36" s="259"/>
      <c r="BI36" s="264"/>
      <c r="BJ36" s="261"/>
      <c r="BK36" s="259"/>
      <c r="BL36" s="259"/>
      <c r="BM36" s="260"/>
      <c r="BN36" s="261"/>
      <c r="BO36" s="259"/>
      <c r="BP36" s="259"/>
      <c r="BQ36" s="260"/>
      <c r="BR36" s="261"/>
      <c r="BS36" s="259"/>
      <c r="BT36" s="259"/>
      <c r="BU36" s="263"/>
      <c r="BV36" s="264"/>
      <c r="BW36" s="261"/>
      <c r="BX36" s="259"/>
      <c r="BY36" s="259"/>
      <c r="BZ36" s="260"/>
      <c r="CA36" s="261"/>
      <c r="CB36" s="259"/>
      <c r="CC36" s="259"/>
      <c r="CD36" s="260"/>
      <c r="CE36" s="261"/>
      <c r="CF36" s="259"/>
      <c r="CG36" s="259"/>
      <c r="CH36" s="259"/>
      <c r="CI36" s="264"/>
      <c r="CJ36" s="261"/>
      <c r="CK36" s="259"/>
      <c r="CL36" s="259"/>
      <c r="CM36" s="260"/>
      <c r="CN36" s="257"/>
      <c r="CO36" s="255"/>
      <c r="CP36" s="255"/>
      <c r="CQ36" s="256"/>
      <c r="CR36" s="257"/>
      <c r="CS36" s="255"/>
      <c r="CT36" s="255"/>
      <c r="CU36" s="256"/>
      <c r="CV36" s="257"/>
      <c r="CW36" s="255"/>
      <c r="CX36" s="255"/>
      <c r="CY36" s="256"/>
      <c r="CZ36" s="105"/>
      <c r="DA36" s="102"/>
      <c r="DB36" s="102"/>
    </row>
    <row r="37" spans="1:106" ht="24.95" customHeight="1" outlineLevel="1" x14ac:dyDescent="0.55000000000000004">
      <c r="A37" s="326"/>
      <c r="B37" s="179" t="str">
        <f t="shared" ref="B37" si="71">B36</f>
        <v>1.2.9</v>
      </c>
      <c r="C37" s="343"/>
      <c r="D37" s="166" t="str">
        <f t="shared" ref="D37" si="72">D36</f>
        <v xml:space="preserve">         งานโครงสร้างถังบำบัดน้ำเสีย ( GL.23-28 / A )</v>
      </c>
      <c r="E37" s="47"/>
      <c r="F37" s="48">
        <f t="shared" ref="F37" si="73">E36</f>
        <v>213666.42749999999</v>
      </c>
      <c r="G37" s="106" t="s">
        <v>87</v>
      </c>
      <c r="H37" s="217">
        <f>SUM(J37:CZ37)</f>
        <v>0</v>
      </c>
      <c r="I37" s="207">
        <f t="shared" si="12"/>
        <v>0</v>
      </c>
      <c r="J37" s="265"/>
      <c r="K37" s="266"/>
      <c r="L37" s="266"/>
      <c r="M37" s="267"/>
      <c r="N37" s="268"/>
      <c r="O37" s="266"/>
      <c r="P37" s="266"/>
      <c r="Q37" s="267"/>
      <c r="R37" s="269"/>
      <c r="S37" s="266"/>
      <c r="T37" s="291"/>
      <c r="U37" s="267"/>
      <c r="V37" s="268"/>
      <c r="W37" s="266"/>
      <c r="X37" s="266"/>
      <c r="Y37" s="270"/>
      <c r="Z37" s="267"/>
      <c r="AA37" s="268"/>
      <c r="AB37" s="266"/>
      <c r="AC37" s="266"/>
      <c r="AD37" s="267"/>
      <c r="AE37" s="269"/>
      <c r="AF37" s="266"/>
      <c r="AG37" s="266"/>
      <c r="AH37" s="266"/>
      <c r="AI37" s="271"/>
      <c r="AJ37" s="268"/>
      <c r="AK37" s="266"/>
      <c r="AL37" s="266"/>
      <c r="AM37" s="267"/>
      <c r="AN37" s="268"/>
      <c r="AO37" s="266"/>
      <c r="AP37" s="266"/>
      <c r="AQ37" s="267"/>
      <c r="AR37" s="268"/>
      <c r="AS37" s="266"/>
      <c r="AT37" s="266"/>
      <c r="AU37" s="266"/>
      <c r="AV37" s="271"/>
      <c r="AW37" s="268"/>
      <c r="AX37" s="266"/>
      <c r="AY37" s="266"/>
      <c r="AZ37" s="270"/>
      <c r="BA37" s="268"/>
      <c r="BB37" s="266"/>
      <c r="BC37" s="266"/>
      <c r="BD37" s="267"/>
      <c r="BE37" s="268"/>
      <c r="BF37" s="266"/>
      <c r="BG37" s="266"/>
      <c r="BH37" s="266"/>
      <c r="BI37" s="271"/>
      <c r="BJ37" s="268"/>
      <c r="BK37" s="266"/>
      <c r="BL37" s="266"/>
      <c r="BM37" s="267"/>
      <c r="BN37" s="268"/>
      <c r="BO37" s="266"/>
      <c r="BP37" s="266"/>
      <c r="BQ37" s="267"/>
      <c r="BR37" s="268"/>
      <c r="BS37" s="266"/>
      <c r="BT37" s="266"/>
      <c r="BU37" s="270"/>
      <c r="BV37" s="271"/>
      <c r="BW37" s="268"/>
      <c r="BX37" s="266"/>
      <c r="BY37" s="266"/>
      <c r="BZ37" s="267"/>
      <c r="CA37" s="268"/>
      <c r="CB37" s="266"/>
      <c r="CC37" s="266"/>
      <c r="CD37" s="267"/>
      <c r="CE37" s="268"/>
      <c r="CF37" s="266"/>
      <c r="CG37" s="266"/>
      <c r="CH37" s="266"/>
      <c r="CI37" s="271"/>
      <c r="CJ37" s="268"/>
      <c r="CK37" s="266"/>
      <c r="CL37" s="266"/>
      <c r="CM37" s="267"/>
      <c r="CN37" s="251"/>
      <c r="CO37" s="249"/>
      <c r="CP37" s="249"/>
      <c r="CQ37" s="250"/>
      <c r="CR37" s="251"/>
      <c r="CS37" s="249"/>
      <c r="CT37" s="249"/>
      <c r="CU37" s="250"/>
      <c r="CV37" s="251"/>
      <c r="CW37" s="249"/>
      <c r="CX37" s="249"/>
      <c r="CY37" s="250"/>
      <c r="CZ37" s="103"/>
      <c r="DA37" s="102"/>
      <c r="DB37" s="102"/>
    </row>
    <row r="38" spans="1:106" ht="24.95" customHeight="1" outlineLevel="1" x14ac:dyDescent="0.55000000000000004">
      <c r="A38" s="326" t="s">
        <v>102</v>
      </c>
      <c r="B38" s="179" t="str">
        <f t="shared" ref="B38" si="74">A38</f>
        <v>1.2.10</v>
      </c>
      <c r="C38" s="343" t="s">
        <v>29</v>
      </c>
      <c r="D38" s="166" t="str">
        <f t="shared" ref="D38" si="75">C38</f>
        <v xml:space="preserve">         งานโครงสร้างถังดักไขมัน ( GL.19-21 / A )</v>
      </c>
      <c r="E38" s="47">
        <v>59959.247600000002</v>
      </c>
      <c r="F38" s="48">
        <f t="shared" ref="F38" si="76">E38</f>
        <v>59959.247600000002</v>
      </c>
      <c r="G38" s="104" t="s">
        <v>86</v>
      </c>
      <c r="H38" s="216">
        <f>SUM(J38:CZ38)</f>
        <v>1</v>
      </c>
      <c r="I38" s="206">
        <f t="shared" si="12"/>
        <v>59959.247600000002</v>
      </c>
      <c r="J38" s="258"/>
      <c r="K38" s="259"/>
      <c r="L38" s="259"/>
      <c r="M38" s="260"/>
      <c r="N38" s="261"/>
      <c r="O38" s="259"/>
      <c r="P38" s="259"/>
      <c r="Q38" s="260"/>
      <c r="R38" s="262"/>
      <c r="S38" s="259"/>
      <c r="T38" s="259"/>
      <c r="U38" s="260"/>
      <c r="V38" s="261"/>
      <c r="W38" s="259"/>
      <c r="X38" s="259"/>
      <c r="Y38" s="263"/>
      <c r="Z38" s="260"/>
      <c r="AA38" s="285"/>
      <c r="AB38" s="277"/>
      <c r="AC38" s="277">
        <v>0.25</v>
      </c>
      <c r="AD38" s="284">
        <v>0.4</v>
      </c>
      <c r="AE38" s="283">
        <v>0.35</v>
      </c>
      <c r="AF38" s="277"/>
      <c r="AG38" s="277"/>
      <c r="AH38" s="277"/>
      <c r="AI38" s="278"/>
      <c r="AJ38" s="261"/>
      <c r="AK38" s="259"/>
      <c r="AL38" s="259"/>
      <c r="AM38" s="260"/>
      <c r="AN38" s="261"/>
      <c r="AO38" s="259"/>
      <c r="AP38" s="280"/>
      <c r="AQ38" s="281"/>
      <c r="AR38" s="279"/>
      <c r="AS38" s="280"/>
      <c r="AT38" s="259"/>
      <c r="AU38" s="259"/>
      <c r="AV38" s="264"/>
      <c r="AW38" s="261"/>
      <c r="AX38" s="259"/>
      <c r="AY38" s="259"/>
      <c r="AZ38" s="263"/>
      <c r="BA38" s="261"/>
      <c r="BB38" s="259"/>
      <c r="BC38" s="259"/>
      <c r="BD38" s="260"/>
      <c r="BE38" s="261"/>
      <c r="BF38" s="259"/>
      <c r="BG38" s="259"/>
      <c r="BH38" s="259"/>
      <c r="BI38" s="264"/>
      <c r="BJ38" s="261"/>
      <c r="BK38" s="259"/>
      <c r="BL38" s="259"/>
      <c r="BM38" s="260"/>
      <c r="BN38" s="261"/>
      <c r="BO38" s="259"/>
      <c r="BP38" s="259"/>
      <c r="BQ38" s="260"/>
      <c r="BR38" s="261"/>
      <c r="BS38" s="259"/>
      <c r="BT38" s="259"/>
      <c r="BU38" s="263"/>
      <c r="BV38" s="264"/>
      <c r="BW38" s="261"/>
      <c r="BX38" s="259"/>
      <c r="BY38" s="259"/>
      <c r="BZ38" s="260"/>
      <c r="CA38" s="261"/>
      <c r="CB38" s="259"/>
      <c r="CC38" s="259"/>
      <c r="CD38" s="260"/>
      <c r="CE38" s="261"/>
      <c r="CF38" s="259"/>
      <c r="CG38" s="259"/>
      <c r="CH38" s="259"/>
      <c r="CI38" s="264"/>
      <c r="CJ38" s="261"/>
      <c r="CK38" s="259"/>
      <c r="CL38" s="259"/>
      <c r="CM38" s="260"/>
      <c r="CN38" s="257"/>
      <c r="CO38" s="255"/>
      <c r="CP38" s="255"/>
      <c r="CQ38" s="256"/>
      <c r="CR38" s="257"/>
      <c r="CS38" s="255"/>
      <c r="CT38" s="255"/>
      <c r="CU38" s="256"/>
      <c r="CV38" s="257"/>
      <c r="CW38" s="255"/>
      <c r="CX38" s="255"/>
      <c r="CY38" s="256"/>
      <c r="CZ38" s="105"/>
      <c r="DA38" s="102"/>
      <c r="DB38" s="102"/>
    </row>
    <row r="39" spans="1:106" ht="24.95" customHeight="1" outlineLevel="1" x14ac:dyDescent="0.55000000000000004">
      <c r="A39" s="326"/>
      <c r="B39" s="179" t="str">
        <f t="shared" ref="B39" si="77">B38</f>
        <v>1.2.10</v>
      </c>
      <c r="C39" s="343"/>
      <c r="D39" s="166" t="str">
        <f t="shared" ref="D39" si="78">D38</f>
        <v xml:space="preserve">         งานโครงสร้างถังดักไขมัน ( GL.19-21 / A )</v>
      </c>
      <c r="E39" s="47"/>
      <c r="F39" s="48">
        <f t="shared" ref="F39" si="79">E38</f>
        <v>59959.247600000002</v>
      </c>
      <c r="G39" s="106" t="s">
        <v>87</v>
      </c>
      <c r="H39" s="217">
        <f>SUM(J39:CZ39)</f>
        <v>0</v>
      </c>
      <c r="I39" s="207">
        <f t="shared" si="12"/>
        <v>0</v>
      </c>
      <c r="J39" s="265"/>
      <c r="K39" s="266"/>
      <c r="L39" s="266"/>
      <c r="M39" s="267"/>
      <c r="N39" s="268"/>
      <c r="O39" s="266"/>
      <c r="P39" s="266"/>
      <c r="Q39" s="267"/>
      <c r="R39" s="269"/>
      <c r="S39" s="266"/>
      <c r="T39" s="266"/>
      <c r="U39" s="267"/>
      <c r="V39" s="268"/>
      <c r="W39" s="266"/>
      <c r="X39" s="291"/>
      <c r="Y39" s="270"/>
      <c r="Z39" s="267"/>
      <c r="AA39" s="268"/>
      <c r="AB39" s="266"/>
      <c r="AC39" s="266"/>
      <c r="AD39" s="267"/>
      <c r="AE39" s="269"/>
      <c r="AF39" s="266"/>
      <c r="AG39" s="266"/>
      <c r="AH39" s="266"/>
      <c r="AI39" s="271"/>
      <c r="AJ39" s="268"/>
      <c r="AK39" s="266"/>
      <c r="AL39" s="266"/>
      <c r="AM39" s="267"/>
      <c r="AN39" s="268"/>
      <c r="AO39" s="266"/>
      <c r="AP39" s="266"/>
      <c r="AQ39" s="267"/>
      <c r="AR39" s="268"/>
      <c r="AS39" s="266"/>
      <c r="AT39" s="266"/>
      <c r="AU39" s="266"/>
      <c r="AV39" s="271"/>
      <c r="AW39" s="268"/>
      <c r="AX39" s="266"/>
      <c r="AY39" s="266"/>
      <c r="AZ39" s="270"/>
      <c r="BA39" s="268"/>
      <c r="BB39" s="266"/>
      <c r="BC39" s="266"/>
      <c r="BD39" s="267"/>
      <c r="BE39" s="268"/>
      <c r="BF39" s="266"/>
      <c r="BG39" s="266"/>
      <c r="BH39" s="266"/>
      <c r="BI39" s="271"/>
      <c r="BJ39" s="268"/>
      <c r="BK39" s="266"/>
      <c r="BL39" s="266"/>
      <c r="BM39" s="267"/>
      <c r="BN39" s="268"/>
      <c r="BO39" s="266"/>
      <c r="BP39" s="266"/>
      <c r="BQ39" s="267"/>
      <c r="BR39" s="268"/>
      <c r="BS39" s="266"/>
      <c r="BT39" s="266"/>
      <c r="BU39" s="270"/>
      <c r="BV39" s="271"/>
      <c r="BW39" s="268"/>
      <c r="BX39" s="266"/>
      <c r="BY39" s="266"/>
      <c r="BZ39" s="267"/>
      <c r="CA39" s="268"/>
      <c r="CB39" s="266"/>
      <c r="CC39" s="266"/>
      <c r="CD39" s="267"/>
      <c r="CE39" s="268"/>
      <c r="CF39" s="266"/>
      <c r="CG39" s="266"/>
      <c r="CH39" s="266"/>
      <c r="CI39" s="271"/>
      <c r="CJ39" s="268"/>
      <c r="CK39" s="266"/>
      <c r="CL39" s="266"/>
      <c r="CM39" s="267"/>
      <c r="CN39" s="251"/>
      <c r="CO39" s="249"/>
      <c r="CP39" s="249"/>
      <c r="CQ39" s="250"/>
      <c r="CR39" s="251"/>
      <c r="CS39" s="249"/>
      <c r="CT39" s="249"/>
      <c r="CU39" s="250"/>
      <c r="CV39" s="251"/>
      <c r="CW39" s="249"/>
      <c r="CX39" s="249"/>
      <c r="CY39" s="250"/>
      <c r="CZ39" s="103"/>
      <c r="DA39" s="102"/>
      <c r="DB39" s="102"/>
    </row>
    <row r="40" spans="1:106" ht="24.95" customHeight="1" outlineLevel="1" x14ac:dyDescent="0.55000000000000004">
      <c r="A40" s="326" t="s">
        <v>103</v>
      </c>
      <c r="B40" s="179" t="str">
        <f t="shared" ref="B40" si="80">A40</f>
        <v>1.2.11</v>
      </c>
      <c r="C40" s="343" t="s">
        <v>30</v>
      </c>
      <c r="D40" s="166" t="str">
        <f t="shared" ref="D40" si="81">C40</f>
        <v xml:space="preserve">         งานโครงสร้างฐานรากถังเก็บน้ำประปา ( GL.30-32 / A - B )</v>
      </c>
      <c r="E40" s="47">
        <v>126322.7127</v>
      </c>
      <c r="F40" s="48">
        <f t="shared" ref="F40" si="82">E40</f>
        <v>126322.7127</v>
      </c>
      <c r="G40" s="104" t="s">
        <v>86</v>
      </c>
      <c r="H40" s="216">
        <f>SUM(J40:CZ40)</f>
        <v>1</v>
      </c>
      <c r="I40" s="206">
        <f t="shared" si="12"/>
        <v>126322.7127</v>
      </c>
      <c r="J40" s="258"/>
      <c r="K40" s="259"/>
      <c r="L40" s="259"/>
      <c r="M40" s="260"/>
      <c r="N40" s="261"/>
      <c r="O40" s="259"/>
      <c r="P40" s="259"/>
      <c r="Q40" s="260"/>
      <c r="R40" s="262"/>
      <c r="S40" s="259"/>
      <c r="T40" s="259"/>
      <c r="U40" s="260"/>
      <c r="V40" s="261"/>
      <c r="W40" s="259"/>
      <c r="X40" s="259"/>
      <c r="Y40" s="263"/>
      <c r="Z40" s="260"/>
      <c r="AA40" s="285"/>
      <c r="AB40" s="277"/>
      <c r="AC40" s="277">
        <v>0.3</v>
      </c>
      <c r="AD40" s="284">
        <v>0.5</v>
      </c>
      <c r="AE40" s="283">
        <v>0.2</v>
      </c>
      <c r="AF40" s="277"/>
      <c r="AG40" s="259"/>
      <c r="AH40" s="259"/>
      <c r="AI40" s="264"/>
      <c r="AJ40" s="261"/>
      <c r="AK40" s="259"/>
      <c r="AL40" s="259"/>
      <c r="AM40" s="260"/>
      <c r="AN40" s="261"/>
      <c r="AO40" s="259"/>
      <c r="AP40" s="259"/>
      <c r="AQ40" s="260"/>
      <c r="AR40" s="279"/>
      <c r="AS40" s="280"/>
      <c r="AT40" s="280"/>
      <c r="AU40" s="280"/>
      <c r="AV40" s="264"/>
      <c r="AW40" s="261"/>
      <c r="AX40" s="259"/>
      <c r="AY40" s="259"/>
      <c r="AZ40" s="263"/>
      <c r="BA40" s="261"/>
      <c r="BB40" s="259"/>
      <c r="BC40" s="259"/>
      <c r="BD40" s="260"/>
      <c r="BE40" s="261"/>
      <c r="BF40" s="259"/>
      <c r="BG40" s="259"/>
      <c r="BH40" s="259"/>
      <c r="BI40" s="264"/>
      <c r="BJ40" s="261"/>
      <c r="BK40" s="259"/>
      <c r="BL40" s="259"/>
      <c r="BM40" s="260"/>
      <c r="BN40" s="261"/>
      <c r="BO40" s="259"/>
      <c r="BP40" s="259"/>
      <c r="BQ40" s="260"/>
      <c r="BR40" s="261"/>
      <c r="BS40" s="259"/>
      <c r="BT40" s="259"/>
      <c r="BU40" s="263"/>
      <c r="BV40" s="264"/>
      <c r="BW40" s="261"/>
      <c r="BX40" s="259"/>
      <c r="BY40" s="259"/>
      <c r="BZ40" s="260"/>
      <c r="CA40" s="261"/>
      <c r="CB40" s="259"/>
      <c r="CC40" s="259"/>
      <c r="CD40" s="260"/>
      <c r="CE40" s="261"/>
      <c r="CF40" s="259"/>
      <c r="CG40" s="259"/>
      <c r="CH40" s="259"/>
      <c r="CI40" s="264"/>
      <c r="CJ40" s="261"/>
      <c r="CK40" s="259"/>
      <c r="CL40" s="259"/>
      <c r="CM40" s="260"/>
      <c r="CN40" s="257"/>
      <c r="CO40" s="255"/>
      <c r="CP40" s="255"/>
      <c r="CQ40" s="256"/>
      <c r="CR40" s="257"/>
      <c r="CS40" s="255"/>
      <c r="CT40" s="255"/>
      <c r="CU40" s="256"/>
      <c r="CV40" s="257"/>
      <c r="CW40" s="255"/>
      <c r="CX40" s="255"/>
      <c r="CY40" s="256"/>
      <c r="CZ40" s="105"/>
      <c r="DA40" s="102"/>
      <c r="DB40" s="102"/>
    </row>
    <row r="41" spans="1:106" ht="24.95" customHeight="1" outlineLevel="1" x14ac:dyDescent="0.55000000000000004">
      <c r="A41" s="326"/>
      <c r="B41" s="179" t="str">
        <f t="shared" ref="B41" si="83">B40</f>
        <v>1.2.11</v>
      </c>
      <c r="C41" s="343"/>
      <c r="D41" s="166" t="str">
        <f t="shared" ref="D41" si="84">D40</f>
        <v xml:space="preserve">         งานโครงสร้างฐานรากถังเก็บน้ำประปา ( GL.30-32 / A - B )</v>
      </c>
      <c r="E41" s="47"/>
      <c r="F41" s="48">
        <f t="shared" ref="F41" si="85">E40</f>
        <v>126322.7127</v>
      </c>
      <c r="G41" s="106" t="s">
        <v>87</v>
      </c>
      <c r="H41" s="217">
        <f>SUM(J41:CZ41)</f>
        <v>0</v>
      </c>
      <c r="I41" s="207">
        <f t="shared" si="12"/>
        <v>0</v>
      </c>
      <c r="J41" s="265"/>
      <c r="K41" s="266"/>
      <c r="L41" s="266"/>
      <c r="M41" s="267"/>
      <c r="N41" s="268"/>
      <c r="O41" s="266"/>
      <c r="P41" s="266"/>
      <c r="Q41" s="267"/>
      <c r="R41" s="269"/>
      <c r="S41" s="266"/>
      <c r="T41" s="266"/>
      <c r="U41" s="267"/>
      <c r="V41" s="268"/>
      <c r="W41" s="266"/>
      <c r="X41" s="266"/>
      <c r="Y41" s="295"/>
      <c r="Z41" s="292"/>
      <c r="AA41" s="268"/>
      <c r="AB41" s="266"/>
      <c r="AC41" s="266"/>
      <c r="AD41" s="267"/>
      <c r="AE41" s="269"/>
      <c r="AF41" s="266"/>
      <c r="AG41" s="266"/>
      <c r="AH41" s="266"/>
      <c r="AI41" s="271"/>
      <c r="AJ41" s="268"/>
      <c r="AK41" s="266"/>
      <c r="AL41" s="266"/>
      <c r="AM41" s="267"/>
      <c r="AN41" s="268"/>
      <c r="AO41" s="266"/>
      <c r="AP41" s="266"/>
      <c r="AQ41" s="267"/>
      <c r="AR41" s="268"/>
      <c r="AS41" s="266"/>
      <c r="AT41" s="266"/>
      <c r="AU41" s="266"/>
      <c r="AV41" s="271"/>
      <c r="AW41" s="268"/>
      <c r="AX41" s="266"/>
      <c r="AY41" s="266"/>
      <c r="AZ41" s="270"/>
      <c r="BA41" s="268"/>
      <c r="BB41" s="266"/>
      <c r="BC41" s="266"/>
      <c r="BD41" s="267"/>
      <c r="BE41" s="268"/>
      <c r="BF41" s="266"/>
      <c r="BG41" s="266"/>
      <c r="BH41" s="266"/>
      <c r="BI41" s="271"/>
      <c r="BJ41" s="268"/>
      <c r="BK41" s="266"/>
      <c r="BL41" s="266"/>
      <c r="BM41" s="267"/>
      <c r="BN41" s="268"/>
      <c r="BO41" s="266"/>
      <c r="BP41" s="266"/>
      <c r="BQ41" s="267"/>
      <c r="BR41" s="268"/>
      <c r="BS41" s="266"/>
      <c r="BT41" s="266"/>
      <c r="BU41" s="270"/>
      <c r="BV41" s="271"/>
      <c r="BW41" s="268"/>
      <c r="BX41" s="266"/>
      <c r="BY41" s="266"/>
      <c r="BZ41" s="267"/>
      <c r="CA41" s="268"/>
      <c r="CB41" s="266"/>
      <c r="CC41" s="266"/>
      <c r="CD41" s="267"/>
      <c r="CE41" s="268"/>
      <c r="CF41" s="266"/>
      <c r="CG41" s="266"/>
      <c r="CH41" s="266"/>
      <c r="CI41" s="271"/>
      <c r="CJ41" s="268"/>
      <c r="CK41" s="266"/>
      <c r="CL41" s="266"/>
      <c r="CM41" s="267"/>
      <c r="CN41" s="251"/>
      <c r="CO41" s="249"/>
      <c r="CP41" s="249"/>
      <c r="CQ41" s="250"/>
      <c r="CR41" s="251"/>
      <c r="CS41" s="249"/>
      <c r="CT41" s="249"/>
      <c r="CU41" s="250"/>
      <c r="CV41" s="251"/>
      <c r="CW41" s="249"/>
      <c r="CX41" s="249"/>
      <c r="CY41" s="250"/>
      <c r="CZ41" s="103"/>
      <c r="DA41" s="102"/>
      <c r="DB41" s="102"/>
    </row>
    <row r="42" spans="1:106" ht="24.95" customHeight="1" outlineLevel="1" x14ac:dyDescent="0.55000000000000004">
      <c r="A42" s="326" t="s">
        <v>104</v>
      </c>
      <c r="B42" s="179" t="str">
        <f t="shared" ref="B42" si="86">A42</f>
        <v>1.2.12</v>
      </c>
      <c r="C42" s="343" t="s">
        <v>31</v>
      </c>
      <c r="D42" s="166" t="str">
        <f t="shared" ref="D42" si="87">C42</f>
        <v xml:space="preserve">         งานโครงสร้างบันได ST6 ชั้น1 to 1M ( GL.5-6 / C-B )</v>
      </c>
      <c r="E42" s="47">
        <v>51374.755299999997</v>
      </c>
      <c r="F42" s="48">
        <f t="shared" ref="F42" si="88">E42</f>
        <v>51374.755299999997</v>
      </c>
      <c r="G42" s="104" t="s">
        <v>86</v>
      </c>
      <c r="H42" s="216">
        <f>SUM(J42:CZ42)</f>
        <v>1</v>
      </c>
      <c r="I42" s="206">
        <f t="shared" si="12"/>
        <v>51374.755299999997</v>
      </c>
      <c r="J42" s="258"/>
      <c r="K42" s="259"/>
      <c r="L42" s="259"/>
      <c r="M42" s="260"/>
      <c r="N42" s="261"/>
      <c r="O42" s="259"/>
      <c r="P42" s="259"/>
      <c r="Q42" s="260"/>
      <c r="R42" s="262"/>
      <c r="S42" s="259"/>
      <c r="T42" s="259"/>
      <c r="U42" s="260"/>
      <c r="V42" s="285"/>
      <c r="W42" s="277"/>
      <c r="X42" s="277">
        <v>0.25</v>
      </c>
      <c r="Y42" s="286">
        <v>0.5</v>
      </c>
      <c r="Z42" s="284">
        <v>0.25</v>
      </c>
      <c r="AA42" s="261"/>
      <c r="AB42" s="259"/>
      <c r="AC42" s="259"/>
      <c r="AD42" s="260"/>
      <c r="AE42" s="262"/>
      <c r="AF42" s="259"/>
      <c r="AG42" s="259"/>
      <c r="AH42" s="259"/>
      <c r="AI42" s="264"/>
      <c r="AJ42" s="261"/>
      <c r="AK42" s="259"/>
      <c r="AL42" s="259"/>
      <c r="AM42" s="260"/>
      <c r="AN42" s="261"/>
      <c r="AO42" s="259"/>
      <c r="AP42" s="259"/>
      <c r="AQ42" s="260"/>
      <c r="AR42" s="279"/>
      <c r="AS42" s="280"/>
      <c r="AT42" s="280"/>
      <c r="AU42" s="280"/>
      <c r="AV42" s="264"/>
      <c r="AW42" s="261"/>
      <c r="AX42" s="259"/>
      <c r="AY42" s="259"/>
      <c r="AZ42" s="263"/>
      <c r="BA42" s="261"/>
      <c r="BB42" s="259"/>
      <c r="BC42" s="259"/>
      <c r="BD42" s="260"/>
      <c r="BE42" s="261"/>
      <c r="BF42" s="259"/>
      <c r="BG42" s="259"/>
      <c r="BH42" s="259"/>
      <c r="BI42" s="264"/>
      <c r="BJ42" s="261"/>
      <c r="BK42" s="259"/>
      <c r="BL42" s="259"/>
      <c r="BM42" s="260"/>
      <c r="BN42" s="261"/>
      <c r="BO42" s="259"/>
      <c r="BP42" s="259"/>
      <c r="BQ42" s="260"/>
      <c r="BR42" s="261"/>
      <c r="BS42" s="259"/>
      <c r="BT42" s="259"/>
      <c r="BU42" s="263"/>
      <c r="BV42" s="264"/>
      <c r="BW42" s="261"/>
      <c r="BX42" s="259"/>
      <c r="BY42" s="259"/>
      <c r="BZ42" s="260"/>
      <c r="CA42" s="261"/>
      <c r="CB42" s="259"/>
      <c r="CC42" s="259"/>
      <c r="CD42" s="260"/>
      <c r="CE42" s="261"/>
      <c r="CF42" s="259"/>
      <c r="CG42" s="259"/>
      <c r="CH42" s="259"/>
      <c r="CI42" s="264"/>
      <c r="CJ42" s="261"/>
      <c r="CK42" s="259"/>
      <c r="CL42" s="259"/>
      <c r="CM42" s="260"/>
      <c r="CN42" s="257"/>
      <c r="CO42" s="255"/>
      <c r="CP42" s="255"/>
      <c r="CQ42" s="256"/>
      <c r="CR42" s="257"/>
      <c r="CS42" s="255"/>
      <c r="CT42" s="255"/>
      <c r="CU42" s="256"/>
      <c r="CV42" s="257"/>
      <c r="CW42" s="255"/>
      <c r="CX42" s="255"/>
      <c r="CY42" s="256"/>
      <c r="CZ42" s="105"/>
      <c r="DA42" s="102"/>
      <c r="DB42" s="102"/>
    </row>
    <row r="43" spans="1:106" ht="24.95" customHeight="1" outlineLevel="1" x14ac:dyDescent="0.55000000000000004">
      <c r="A43" s="326"/>
      <c r="B43" s="179" t="str">
        <f t="shared" ref="B43" si="89">B42</f>
        <v>1.2.12</v>
      </c>
      <c r="C43" s="343"/>
      <c r="D43" s="166" t="str">
        <f t="shared" ref="D43" si="90">D42</f>
        <v xml:space="preserve">         งานโครงสร้างบันได ST6 ชั้น1 to 1M ( GL.5-6 / C-B )</v>
      </c>
      <c r="E43" s="47"/>
      <c r="F43" s="48">
        <f t="shared" ref="F43" si="91">E42</f>
        <v>51374.755299999997</v>
      </c>
      <c r="G43" s="106" t="s">
        <v>87</v>
      </c>
      <c r="H43" s="217">
        <f>SUM(J43:CZ43)</f>
        <v>0</v>
      </c>
      <c r="I43" s="207">
        <f t="shared" si="12"/>
        <v>0</v>
      </c>
      <c r="J43" s="265"/>
      <c r="K43" s="266"/>
      <c r="L43" s="266"/>
      <c r="M43" s="267"/>
      <c r="N43" s="268"/>
      <c r="O43" s="266"/>
      <c r="P43" s="266"/>
      <c r="Q43" s="267"/>
      <c r="R43" s="269"/>
      <c r="S43" s="266"/>
      <c r="T43" s="266"/>
      <c r="U43" s="267"/>
      <c r="V43" s="268"/>
      <c r="W43" s="266"/>
      <c r="X43" s="266"/>
      <c r="Y43" s="270"/>
      <c r="Z43" s="267"/>
      <c r="AA43" s="268"/>
      <c r="AB43" s="266"/>
      <c r="AC43" s="266"/>
      <c r="AD43" s="267"/>
      <c r="AE43" s="269"/>
      <c r="AF43" s="266"/>
      <c r="AG43" s="266"/>
      <c r="AH43" s="266"/>
      <c r="AI43" s="271"/>
      <c r="AJ43" s="268"/>
      <c r="AK43" s="266"/>
      <c r="AL43" s="266"/>
      <c r="AM43" s="267"/>
      <c r="AN43" s="268"/>
      <c r="AO43" s="266"/>
      <c r="AP43" s="266"/>
      <c r="AQ43" s="267"/>
      <c r="AR43" s="268"/>
      <c r="AS43" s="266"/>
      <c r="AT43" s="266"/>
      <c r="AU43" s="266"/>
      <c r="AV43" s="271"/>
      <c r="AW43" s="268"/>
      <c r="AX43" s="266"/>
      <c r="AY43" s="266"/>
      <c r="AZ43" s="270"/>
      <c r="BA43" s="268"/>
      <c r="BB43" s="266"/>
      <c r="BC43" s="266"/>
      <c r="BD43" s="267"/>
      <c r="BE43" s="268"/>
      <c r="BF43" s="266"/>
      <c r="BG43" s="266"/>
      <c r="BH43" s="266"/>
      <c r="BI43" s="271"/>
      <c r="BJ43" s="268"/>
      <c r="BK43" s="266"/>
      <c r="BL43" s="266"/>
      <c r="BM43" s="267"/>
      <c r="BN43" s="268"/>
      <c r="BO43" s="266"/>
      <c r="BP43" s="266"/>
      <c r="BQ43" s="267"/>
      <c r="BR43" s="268"/>
      <c r="BS43" s="266"/>
      <c r="BT43" s="266"/>
      <c r="BU43" s="270"/>
      <c r="BV43" s="271"/>
      <c r="BW43" s="268"/>
      <c r="BX43" s="266"/>
      <c r="BY43" s="266"/>
      <c r="BZ43" s="267"/>
      <c r="CA43" s="268"/>
      <c r="CB43" s="266"/>
      <c r="CC43" s="266"/>
      <c r="CD43" s="267"/>
      <c r="CE43" s="268"/>
      <c r="CF43" s="266"/>
      <c r="CG43" s="266"/>
      <c r="CH43" s="266"/>
      <c r="CI43" s="271"/>
      <c r="CJ43" s="268"/>
      <c r="CK43" s="266"/>
      <c r="CL43" s="266"/>
      <c r="CM43" s="267"/>
      <c r="CN43" s="251"/>
      <c r="CO43" s="249"/>
      <c r="CP43" s="249"/>
      <c r="CQ43" s="250"/>
      <c r="CR43" s="251"/>
      <c r="CS43" s="249"/>
      <c r="CT43" s="249"/>
      <c r="CU43" s="250"/>
      <c r="CV43" s="251"/>
      <c r="CW43" s="249"/>
      <c r="CX43" s="249"/>
      <c r="CY43" s="250"/>
      <c r="CZ43" s="103"/>
      <c r="DA43" s="102"/>
      <c r="DB43" s="102"/>
    </row>
    <row r="44" spans="1:106" ht="24.95" hidden="1" customHeight="1" outlineLevel="1" x14ac:dyDescent="0.55000000000000004">
      <c r="A44" s="390" t="s">
        <v>105</v>
      </c>
      <c r="B44" s="179" t="str">
        <f t="shared" ref="B44" si="92">A44</f>
        <v>1.2.13</v>
      </c>
      <c r="C44" s="327"/>
      <c r="D44" s="166">
        <f t="shared" ref="D44" si="93">C44</f>
        <v>0</v>
      </c>
      <c r="E44" s="47">
        <v>0</v>
      </c>
      <c r="F44" s="48">
        <f t="shared" ref="F44" si="94">E44</f>
        <v>0</v>
      </c>
      <c r="G44" s="104" t="s">
        <v>86</v>
      </c>
      <c r="H44" s="216">
        <f>SUM(J44:CZ44)</f>
        <v>0</v>
      </c>
      <c r="I44" s="206">
        <f t="shared" si="12"/>
        <v>0</v>
      </c>
      <c r="J44" s="258"/>
      <c r="K44" s="259"/>
      <c r="L44" s="259"/>
      <c r="M44" s="260"/>
      <c r="N44" s="261"/>
      <c r="O44" s="259"/>
      <c r="P44" s="259"/>
      <c r="Q44" s="260"/>
      <c r="R44" s="262"/>
      <c r="S44" s="259"/>
      <c r="T44" s="259"/>
      <c r="U44" s="260"/>
      <c r="V44" s="261"/>
      <c r="W44" s="259"/>
      <c r="X44" s="259"/>
      <c r="Y44" s="263"/>
      <c r="Z44" s="260"/>
      <c r="AA44" s="261"/>
      <c r="AB44" s="259"/>
      <c r="AC44" s="259"/>
      <c r="AD44" s="260"/>
      <c r="AE44" s="262"/>
      <c r="AF44" s="259"/>
      <c r="AG44" s="259"/>
      <c r="AH44" s="259"/>
      <c r="AI44" s="264"/>
      <c r="AJ44" s="261"/>
      <c r="AK44" s="259"/>
      <c r="AL44" s="259"/>
      <c r="AM44" s="260"/>
      <c r="AN44" s="261"/>
      <c r="AO44" s="259"/>
      <c r="AP44" s="259"/>
      <c r="AQ44" s="260"/>
      <c r="AR44" s="261"/>
      <c r="AS44" s="259"/>
      <c r="AT44" s="259"/>
      <c r="AU44" s="259"/>
      <c r="AV44" s="264"/>
      <c r="AW44" s="261"/>
      <c r="AX44" s="259"/>
      <c r="AY44" s="259"/>
      <c r="AZ44" s="263"/>
      <c r="BA44" s="261"/>
      <c r="BB44" s="259"/>
      <c r="BC44" s="259"/>
      <c r="BD44" s="260"/>
      <c r="BE44" s="261"/>
      <c r="BF44" s="259"/>
      <c r="BG44" s="259"/>
      <c r="BH44" s="259"/>
      <c r="BI44" s="264"/>
      <c r="BJ44" s="261"/>
      <c r="BK44" s="259"/>
      <c r="BL44" s="259"/>
      <c r="BM44" s="260"/>
      <c r="BN44" s="261"/>
      <c r="BO44" s="259"/>
      <c r="BP44" s="259"/>
      <c r="BQ44" s="260"/>
      <c r="BR44" s="261"/>
      <c r="BS44" s="259"/>
      <c r="BT44" s="259"/>
      <c r="BU44" s="263"/>
      <c r="BV44" s="264"/>
      <c r="BW44" s="261"/>
      <c r="BX44" s="259"/>
      <c r="BY44" s="259"/>
      <c r="BZ44" s="260"/>
      <c r="CA44" s="261"/>
      <c r="CB44" s="259"/>
      <c r="CC44" s="259"/>
      <c r="CD44" s="260"/>
      <c r="CE44" s="261"/>
      <c r="CF44" s="259"/>
      <c r="CG44" s="259"/>
      <c r="CH44" s="259"/>
      <c r="CI44" s="264"/>
      <c r="CJ44" s="261"/>
      <c r="CK44" s="259"/>
      <c r="CL44" s="259"/>
      <c r="CM44" s="260"/>
      <c r="CN44" s="257"/>
      <c r="CO44" s="255"/>
      <c r="CP44" s="255"/>
      <c r="CQ44" s="256"/>
      <c r="CR44" s="257"/>
      <c r="CS44" s="255"/>
      <c r="CT44" s="255"/>
      <c r="CU44" s="256"/>
      <c r="CV44" s="257"/>
      <c r="CW44" s="255"/>
      <c r="CX44" s="255"/>
      <c r="CY44" s="256"/>
      <c r="CZ44" s="105"/>
      <c r="DA44" s="102"/>
      <c r="DB44" s="102"/>
    </row>
    <row r="45" spans="1:106" ht="24.95" hidden="1" customHeight="1" outlineLevel="1" x14ac:dyDescent="0.55000000000000004">
      <c r="A45" s="391"/>
      <c r="B45" s="179" t="str">
        <f t="shared" ref="B45" si="95">B44</f>
        <v>1.2.13</v>
      </c>
      <c r="C45" s="328"/>
      <c r="D45" s="166">
        <f t="shared" ref="D45" si="96">D44</f>
        <v>0</v>
      </c>
      <c r="E45" s="47"/>
      <c r="F45" s="48">
        <f t="shared" ref="F45" si="97">E44</f>
        <v>0</v>
      </c>
      <c r="G45" s="106" t="s">
        <v>87</v>
      </c>
      <c r="H45" s="217">
        <f>SUM(J45:CZ45)</f>
        <v>0</v>
      </c>
      <c r="I45" s="207">
        <f t="shared" si="12"/>
        <v>0</v>
      </c>
      <c r="J45" s="265"/>
      <c r="K45" s="266"/>
      <c r="L45" s="266"/>
      <c r="M45" s="267"/>
      <c r="N45" s="268"/>
      <c r="O45" s="266"/>
      <c r="P45" s="266"/>
      <c r="Q45" s="267"/>
      <c r="R45" s="269"/>
      <c r="S45" s="266"/>
      <c r="T45" s="266"/>
      <c r="U45" s="267"/>
      <c r="V45" s="268"/>
      <c r="W45" s="266"/>
      <c r="X45" s="266"/>
      <c r="Y45" s="270"/>
      <c r="Z45" s="267"/>
      <c r="AA45" s="268">
        <v>0</v>
      </c>
      <c r="AB45" s="266"/>
      <c r="AC45" s="266"/>
      <c r="AD45" s="267"/>
      <c r="AE45" s="269">
        <v>0</v>
      </c>
      <c r="AF45" s="266"/>
      <c r="AG45" s="266"/>
      <c r="AH45" s="266"/>
      <c r="AI45" s="271"/>
      <c r="AJ45" s="268">
        <v>0</v>
      </c>
      <c r="AK45" s="266"/>
      <c r="AL45" s="266"/>
      <c r="AM45" s="267"/>
      <c r="AN45" s="268">
        <v>0</v>
      </c>
      <c r="AO45" s="266"/>
      <c r="AP45" s="266"/>
      <c r="AQ45" s="267"/>
      <c r="AR45" s="268">
        <v>0</v>
      </c>
      <c r="AS45" s="266"/>
      <c r="AT45" s="266"/>
      <c r="AU45" s="266"/>
      <c r="AV45" s="271"/>
      <c r="AW45" s="268">
        <v>0</v>
      </c>
      <c r="AX45" s="266"/>
      <c r="AY45" s="266"/>
      <c r="AZ45" s="270"/>
      <c r="BA45" s="268">
        <v>0</v>
      </c>
      <c r="BB45" s="266"/>
      <c r="BC45" s="266"/>
      <c r="BD45" s="267"/>
      <c r="BE45" s="268"/>
      <c r="BF45" s="266"/>
      <c r="BG45" s="266"/>
      <c r="BH45" s="266"/>
      <c r="BI45" s="271"/>
      <c r="BJ45" s="268"/>
      <c r="BK45" s="266"/>
      <c r="BL45" s="266"/>
      <c r="BM45" s="267"/>
      <c r="BN45" s="268"/>
      <c r="BO45" s="266"/>
      <c r="BP45" s="266"/>
      <c r="BQ45" s="267"/>
      <c r="BR45" s="268"/>
      <c r="BS45" s="266"/>
      <c r="BT45" s="266"/>
      <c r="BU45" s="270"/>
      <c r="BV45" s="271"/>
      <c r="BW45" s="268"/>
      <c r="BX45" s="266"/>
      <c r="BY45" s="266"/>
      <c r="BZ45" s="267"/>
      <c r="CA45" s="268"/>
      <c r="CB45" s="266"/>
      <c r="CC45" s="266"/>
      <c r="CD45" s="267"/>
      <c r="CE45" s="268"/>
      <c r="CF45" s="266"/>
      <c r="CG45" s="266"/>
      <c r="CH45" s="266"/>
      <c r="CI45" s="271"/>
      <c r="CJ45" s="268"/>
      <c r="CK45" s="266"/>
      <c r="CL45" s="266"/>
      <c r="CM45" s="267"/>
      <c r="CN45" s="251"/>
      <c r="CO45" s="249"/>
      <c r="CP45" s="249"/>
      <c r="CQ45" s="250"/>
      <c r="CR45" s="251"/>
      <c r="CS45" s="249"/>
      <c r="CT45" s="249"/>
      <c r="CU45" s="250"/>
      <c r="CV45" s="251"/>
      <c r="CW45" s="249"/>
      <c r="CX45" s="249"/>
      <c r="CY45" s="250"/>
      <c r="CZ45" s="103"/>
      <c r="DA45" s="102"/>
      <c r="DB45" s="102"/>
    </row>
    <row r="46" spans="1:106" ht="24.95" customHeight="1" outlineLevel="1" x14ac:dyDescent="0.55000000000000004">
      <c r="A46" s="326" t="s">
        <v>106</v>
      </c>
      <c r="B46" s="179" t="str">
        <f t="shared" ref="B46" si="98">A46</f>
        <v>1.2.14</v>
      </c>
      <c r="C46" s="343" t="s">
        <v>32</v>
      </c>
      <c r="D46" s="166" t="str">
        <f t="shared" ref="D46" si="99">C46</f>
        <v xml:space="preserve">         งานโครงสร้างทางเข้าอาคาร</v>
      </c>
      <c r="E46" s="47">
        <v>158540.34849999999</v>
      </c>
      <c r="F46" s="48">
        <f t="shared" ref="F46" si="100">E46</f>
        <v>158540.34849999999</v>
      </c>
      <c r="G46" s="104" t="s">
        <v>86</v>
      </c>
      <c r="H46" s="216">
        <f>SUM(J46:CZ46)</f>
        <v>1</v>
      </c>
      <c r="I46" s="206">
        <f t="shared" si="12"/>
        <v>158540.34849999999</v>
      </c>
      <c r="J46" s="258"/>
      <c r="K46" s="259"/>
      <c r="L46" s="259"/>
      <c r="M46" s="260"/>
      <c r="N46" s="261"/>
      <c r="O46" s="259"/>
      <c r="P46" s="259"/>
      <c r="Q46" s="260"/>
      <c r="R46" s="262"/>
      <c r="S46" s="259"/>
      <c r="T46" s="259"/>
      <c r="U46" s="260"/>
      <c r="V46" s="261"/>
      <c r="W46" s="259"/>
      <c r="X46" s="259"/>
      <c r="Y46" s="263"/>
      <c r="Z46" s="260"/>
      <c r="AA46" s="285"/>
      <c r="AB46" s="277">
        <v>0.1</v>
      </c>
      <c r="AC46" s="277">
        <v>0.1</v>
      </c>
      <c r="AD46" s="284">
        <v>0.2</v>
      </c>
      <c r="AE46" s="283">
        <v>0.4</v>
      </c>
      <c r="AF46" s="277">
        <v>0.2</v>
      </c>
      <c r="AG46" s="277"/>
      <c r="AH46" s="277"/>
      <c r="AI46" s="278"/>
      <c r="AJ46" s="261"/>
      <c r="AK46" s="259"/>
      <c r="AL46" s="259"/>
      <c r="AM46" s="260"/>
      <c r="AN46" s="261"/>
      <c r="AO46" s="259"/>
      <c r="AP46" s="259"/>
      <c r="AQ46" s="260"/>
      <c r="AR46" s="261"/>
      <c r="AS46" s="259"/>
      <c r="AT46" s="259"/>
      <c r="AU46" s="259"/>
      <c r="AV46" s="287"/>
      <c r="AW46" s="279"/>
      <c r="AX46" s="280"/>
      <c r="AY46" s="280"/>
      <c r="AZ46" s="263"/>
      <c r="BA46" s="261"/>
      <c r="BB46" s="259"/>
      <c r="BC46" s="259"/>
      <c r="BD46" s="260"/>
      <c r="BE46" s="261"/>
      <c r="BF46" s="259"/>
      <c r="BG46" s="259"/>
      <c r="BH46" s="259"/>
      <c r="BI46" s="264"/>
      <c r="BJ46" s="261"/>
      <c r="BK46" s="259"/>
      <c r="BL46" s="259"/>
      <c r="BM46" s="260"/>
      <c r="BN46" s="261"/>
      <c r="BO46" s="259"/>
      <c r="BP46" s="259"/>
      <c r="BQ46" s="260"/>
      <c r="BR46" s="261"/>
      <c r="BS46" s="259"/>
      <c r="BT46" s="259"/>
      <c r="BU46" s="263"/>
      <c r="BV46" s="264"/>
      <c r="BW46" s="261"/>
      <c r="BX46" s="259"/>
      <c r="BY46" s="259"/>
      <c r="BZ46" s="260"/>
      <c r="CA46" s="261"/>
      <c r="CB46" s="259"/>
      <c r="CC46" s="259"/>
      <c r="CD46" s="260"/>
      <c r="CE46" s="261"/>
      <c r="CF46" s="259"/>
      <c r="CG46" s="259"/>
      <c r="CH46" s="259"/>
      <c r="CI46" s="264"/>
      <c r="CJ46" s="261"/>
      <c r="CK46" s="259"/>
      <c r="CL46" s="259"/>
      <c r="CM46" s="260"/>
      <c r="CN46" s="257"/>
      <c r="CO46" s="255"/>
      <c r="CP46" s="255"/>
      <c r="CQ46" s="256"/>
      <c r="CR46" s="257"/>
      <c r="CS46" s="255"/>
      <c r="CT46" s="255"/>
      <c r="CU46" s="256"/>
      <c r="CV46" s="257"/>
      <c r="CW46" s="255"/>
      <c r="CX46" s="255"/>
      <c r="CY46" s="256"/>
      <c r="CZ46" s="105"/>
      <c r="DA46" s="102"/>
      <c r="DB46" s="102"/>
    </row>
    <row r="47" spans="1:106" ht="24.95" customHeight="1" outlineLevel="1" x14ac:dyDescent="0.55000000000000004">
      <c r="A47" s="326"/>
      <c r="B47" s="179" t="str">
        <f t="shared" ref="B47" si="101">B46</f>
        <v>1.2.14</v>
      </c>
      <c r="C47" s="343"/>
      <c r="D47" s="166" t="str">
        <f t="shared" ref="D47" si="102">D46</f>
        <v xml:space="preserve">         งานโครงสร้างทางเข้าอาคาร</v>
      </c>
      <c r="E47" s="47"/>
      <c r="F47" s="48">
        <f t="shared" ref="F47" si="103">E46</f>
        <v>158540.34849999999</v>
      </c>
      <c r="G47" s="106" t="s">
        <v>87</v>
      </c>
      <c r="H47" s="217">
        <f>SUM(J47:CZ47)</f>
        <v>0</v>
      </c>
      <c r="I47" s="207">
        <f t="shared" si="12"/>
        <v>0</v>
      </c>
      <c r="J47" s="265"/>
      <c r="K47" s="266"/>
      <c r="L47" s="266"/>
      <c r="M47" s="267"/>
      <c r="N47" s="268"/>
      <c r="O47" s="266"/>
      <c r="P47" s="266"/>
      <c r="Q47" s="267"/>
      <c r="R47" s="269"/>
      <c r="S47" s="266"/>
      <c r="T47" s="266"/>
      <c r="U47" s="267"/>
      <c r="V47" s="268"/>
      <c r="W47" s="266"/>
      <c r="X47" s="291"/>
      <c r="Y47" s="270"/>
      <c r="Z47" s="267"/>
      <c r="AA47" s="268"/>
      <c r="AB47" s="266"/>
      <c r="AC47" s="266"/>
      <c r="AD47" s="267"/>
      <c r="AE47" s="269"/>
      <c r="AF47" s="266"/>
      <c r="AG47" s="266"/>
      <c r="AH47" s="266"/>
      <c r="AI47" s="271"/>
      <c r="AJ47" s="268"/>
      <c r="AK47" s="266"/>
      <c r="AL47" s="266"/>
      <c r="AM47" s="267"/>
      <c r="AN47" s="268"/>
      <c r="AO47" s="266"/>
      <c r="AP47" s="266"/>
      <c r="AQ47" s="267"/>
      <c r="AR47" s="268"/>
      <c r="AS47" s="266"/>
      <c r="AT47" s="266"/>
      <c r="AU47" s="266"/>
      <c r="AV47" s="271"/>
      <c r="AW47" s="268"/>
      <c r="AX47" s="266"/>
      <c r="AY47" s="266"/>
      <c r="AZ47" s="270"/>
      <c r="BA47" s="268"/>
      <c r="BB47" s="266"/>
      <c r="BC47" s="266"/>
      <c r="BD47" s="267"/>
      <c r="BE47" s="268"/>
      <c r="BF47" s="266"/>
      <c r="BG47" s="266"/>
      <c r="BH47" s="266"/>
      <c r="BI47" s="271"/>
      <c r="BJ47" s="268"/>
      <c r="BK47" s="266"/>
      <c r="BL47" s="266"/>
      <c r="BM47" s="267"/>
      <c r="BN47" s="268"/>
      <c r="BO47" s="266"/>
      <c r="BP47" s="266"/>
      <c r="BQ47" s="267"/>
      <c r="BR47" s="268"/>
      <c r="BS47" s="266"/>
      <c r="BT47" s="266"/>
      <c r="BU47" s="270"/>
      <c r="BV47" s="271"/>
      <c r="BW47" s="268"/>
      <c r="BX47" s="266"/>
      <c r="BY47" s="266"/>
      <c r="BZ47" s="267"/>
      <c r="CA47" s="268"/>
      <c r="CB47" s="266"/>
      <c r="CC47" s="266"/>
      <c r="CD47" s="267"/>
      <c r="CE47" s="268"/>
      <c r="CF47" s="266"/>
      <c r="CG47" s="266"/>
      <c r="CH47" s="266"/>
      <c r="CI47" s="271"/>
      <c r="CJ47" s="268"/>
      <c r="CK47" s="266"/>
      <c r="CL47" s="266"/>
      <c r="CM47" s="267"/>
      <c r="CN47" s="251"/>
      <c r="CO47" s="249"/>
      <c r="CP47" s="249"/>
      <c r="CQ47" s="250"/>
      <c r="CR47" s="251"/>
      <c r="CS47" s="249"/>
      <c r="CT47" s="249"/>
      <c r="CU47" s="250"/>
      <c r="CV47" s="251"/>
      <c r="CW47" s="249"/>
      <c r="CX47" s="249"/>
      <c r="CY47" s="250"/>
      <c r="CZ47" s="103"/>
      <c r="DA47" s="102"/>
      <c r="DB47" s="102"/>
    </row>
    <row r="48" spans="1:106" ht="24.95" customHeight="1" x14ac:dyDescent="0.55000000000000004">
      <c r="A48" s="338">
        <v>1.3</v>
      </c>
      <c r="B48" s="180">
        <f t="shared" ref="B48" si="104">A48</f>
        <v>1.3</v>
      </c>
      <c r="C48" s="340" t="s">
        <v>6</v>
      </c>
      <c r="D48" s="165" t="str">
        <f t="shared" ref="D48" si="105">C48</f>
        <v xml:space="preserve">      งาน Riser</v>
      </c>
      <c r="E48" s="83">
        <f>SUM(E50:E57)</f>
        <v>349589.6634711941</v>
      </c>
      <c r="F48" s="46">
        <f t="shared" ref="F48" si="106">E48</f>
        <v>349589.6634711941</v>
      </c>
      <c r="G48" s="208" t="s">
        <v>86</v>
      </c>
      <c r="H48" s="218">
        <f>SUM(J48:CZ48)</f>
        <v>0</v>
      </c>
      <c r="I48" s="209">
        <f>I50+I54+I56</f>
        <v>329523.54507682368</v>
      </c>
      <c r="J48" s="258"/>
      <c r="K48" s="259"/>
      <c r="L48" s="259"/>
      <c r="M48" s="260"/>
      <c r="N48" s="261"/>
      <c r="O48" s="259"/>
      <c r="P48" s="259"/>
      <c r="Q48" s="260"/>
      <c r="R48" s="262"/>
      <c r="S48" s="259"/>
      <c r="T48" s="259"/>
      <c r="U48" s="260"/>
      <c r="V48" s="261"/>
      <c r="W48" s="259"/>
      <c r="X48" s="259"/>
      <c r="Y48" s="263"/>
      <c r="Z48" s="260"/>
      <c r="AA48" s="261"/>
      <c r="AB48" s="259"/>
      <c r="AC48" s="259"/>
      <c r="AD48" s="260"/>
      <c r="AE48" s="262"/>
      <c r="AF48" s="259"/>
      <c r="AG48" s="259"/>
      <c r="AH48" s="259"/>
      <c r="AI48" s="264"/>
      <c r="AJ48" s="261"/>
      <c r="AK48" s="259"/>
      <c r="AL48" s="259"/>
      <c r="AM48" s="260"/>
      <c r="AN48" s="261"/>
      <c r="AO48" s="259"/>
      <c r="AP48" s="259"/>
      <c r="AQ48" s="260"/>
      <c r="AR48" s="261"/>
      <c r="AS48" s="259"/>
      <c r="AT48" s="259"/>
      <c r="AU48" s="259"/>
      <c r="AV48" s="264"/>
      <c r="AW48" s="261"/>
      <c r="AX48" s="259"/>
      <c r="AY48" s="259"/>
      <c r="AZ48" s="263"/>
      <c r="BA48" s="261"/>
      <c r="BB48" s="259"/>
      <c r="BC48" s="259"/>
      <c r="BD48" s="260"/>
      <c r="BE48" s="261"/>
      <c r="BF48" s="259"/>
      <c r="BG48" s="259"/>
      <c r="BH48" s="259"/>
      <c r="BI48" s="264"/>
      <c r="BJ48" s="261"/>
      <c r="BK48" s="259"/>
      <c r="BL48" s="259"/>
      <c r="BM48" s="260"/>
      <c r="BN48" s="261"/>
      <c r="BO48" s="259"/>
      <c r="BP48" s="259"/>
      <c r="BQ48" s="260"/>
      <c r="BR48" s="261"/>
      <c r="BS48" s="259"/>
      <c r="BT48" s="259"/>
      <c r="BU48" s="263"/>
      <c r="BV48" s="264"/>
      <c r="BW48" s="261"/>
      <c r="BX48" s="259"/>
      <c r="BY48" s="259"/>
      <c r="BZ48" s="260"/>
      <c r="CA48" s="261"/>
      <c r="CB48" s="259"/>
      <c r="CC48" s="259"/>
      <c r="CD48" s="260"/>
      <c r="CE48" s="261"/>
      <c r="CF48" s="259"/>
      <c r="CG48" s="259"/>
      <c r="CH48" s="259"/>
      <c r="CI48" s="264"/>
      <c r="CJ48" s="261"/>
      <c r="CK48" s="259"/>
      <c r="CL48" s="259"/>
      <c r="CM48" s="260"/>
      <c r="CN48" s="257">
        <f t="shared" ref="CN48:CY48" si="107">SUMPRODUCT(($G$50:$G$57="P")*$F$50:$F$57*CN50:CN57)/$F$48</f>
        <v>0</v>
      </c>
      <c r="CO48" s="255">
        <f t="shared" si="107"/>
        <v>0</v>
      </c>
      <c r="CP48" s="255">
        <f t="shared" si="107"/>
        <v>0</v>
      </c>
      <c r="CQ48" s="256">
        <f t="shared" si="107"/>
        <v>0</v>
      </c>
      <c r="CR48" s="257">
        <f t="shared" si="107"/>
        <v>0</v>
      </c>
      <c r="CS48" s="255">
        <f t="shared" si="107"/>
        <v>0</v>
      </c>
      <c r="CT48" s="255">
        <f t="shared" si="107"/>
        <v>0</v>
      </c>
      <c r="CU48" s="256">
        <f t="shared" si="107"/>
        <v>0</v>
      </c>
      <c r="CV48" s="257">
        <f t="shared" si="107"/>
        <v>0</v>
      </c>
      <c r="CW48" s="255">
        <f t="shared" si="107"/>
        <v>0</v>
      </c>
      <c r="CX48" s="255">
        <f t="shared" si="107"/>
        <v>0</v>
      </c>
      <c r="CY48" s="256">
        <f t="shared" si="107"/>
        <v>0</v>
      </c>
      <c r="CZ48" s="105"/>
      <c r="DA48" s="102"/>
      <c r="DB48" s="102"/>
    </row>
    <row r="49" spans="1:106" ht="24.95" customHeight="1" x14ac:dyDescent="0.55000000000000004">
      <c r="A49" s="339"/>
      <c r="B49" s="181">
        <f t="shared" ref="B49" si="108">B48</f>
        <v>1.3</v>
      </c>
      <c r="C49" s="340"/>
      <c r="D49" s="165" t="str">
        <f t="shared" ref="D49" si="109">D48</f>
        <v xml:space="preserve">      งาน Riser</v>
      </c>
      <c r="E49" s="45"/>
      <c r="F49" s="46">
        <f t="shared" ref="F49" si="110">E48</f>
        <v>349589.6634711941</v>
      </c>
      <c r="G49" s="210" t="s">
        <v>87</v>
      </c>
      <c r="H49" s="219">
        <f>SUM(J49:CZ49)</f>
        <v>0</v>
      </c>
      <c r="I49" s="211">
        <f>I51+I55+I57</f>
        <v>0</v>
      </c>
      <c r="J49" s="258"/>
      <c r="K49" s="266"/>
      <c r="L49" s="266"/>
      <c r="M49" s="267"/>
      <c r="N49" s="268"/>
      <c r="O49" s="266"/>
      <c r="P49" s="266"/>
      <c r="Q49" s="267"/>
      <c r="R49" s="269"/>
      <c r="S49" s="266"/>
      <c r="T49" s="266"/>
      <c r="U49" s="267"/>
      <c r="V49" s="268"/>
      <c r="W49" s="266"/>
      <c r="X49" s="266"/>
      <c r="Y49" s="270"/>
      <c r="Z49" s="267"/>
      <c r="AA49" s="268"/>
      <c r="AB49" s="266"/>
      <c r="AC49" s="266"/>
      <c r="AD49" s="267"/>
      <c r="AE49" s="269"/>
      <c r="AF49" s="266"/>
      <c r="AG49" s="266"/>
      <c r="AH49" s="266"/>
      <c r="AI49" s="271"/>
      <c r="AJ49" s="268"/>
      <c r="AK49" s="266"/>
      <c r="AL49" s="266"/>
      <c r="AM49" s="267"/>
      <c r="AN49" s="268"/>
      <c r="AO49" s="266"/>
      <c r="AP49" s="266"/>
      <c r="AQ49" s="267"/>
      <c r="AR49" s="268"/>
      <c r="AS49" s="266"/>
      <c r="AT49" s="266"/>
      <c r="AU49" s="266"/>
      <c r="AV49" s="271"/>
      <c r="AW49" s="268"/>
      <c r="AX49" s="266"/>
      <c r="AY49" s="266"/>
      <c r="AZ49" s="270"/>
      <c r="BA49" s="268"/>
      <c r="BB49" s="266"/>
      <c r="BC49" s="266"/>
      <c r="BD49" s="267"/>
      <c r="BE49" s="268"/>
      <c r="BF49" s="266"/>
      <c r="BG49" s="266"/>
      <c r="BH49" s="266"/>
      <c r="BI49" s="271"/>
      <c r="BJ49" s="268"/>
      <c r="BK49" s="266"/>
      <c r="BL49" s="266"/>
      <c r="BM49" s="267"/>
      <c r="BN49" s="268"/>
      <c r="BO49" s="266"/>
      <c r="BP49" s="266"/>
      <c r="BQ49" s="267"/>
      <c r="BR49" s="268"/>
      <c r="BS49" s="266"/>
      <c r="BT49" s="266"/>
      <c r="BU49" s="270"/>
      <c r="BV49" s="271"/>
      <c r="BW49" s="268"/>
      <c r="BX49" s="266"/>
      <c r="BY49" s="266"/>
      <c r="BZ49" s="267"/>
      <c r="CA49" s="268"/>
      <c r="CB49" s="266"/>
      <c r="CC49" s="266"/>
      <c r="CD49" s="267"/>
      <c r="CE49" s="268"/>
      <c r="CF49" s="266"/>
      <c r="CG49" s="266"/>
      <c r="CH49" s="266"/>
      <c r="CI49" s="271"/>
      <c r="CJ49" s="268"/>
      <c r="CK49" s="266"/>
      <c r="CL49" s="266"/>
      <c r="CM49" s="267"/>
      <c r="CN49" s="251">
        <f t="shared" ref="CN49:CY49" si="111">SUMPRODUCT(($G$50:$G$57="A")*$F$50:$F$57*CN50:CN57)/$F$48</f>
        <v>0</v>
      </c>
      <c r="CO49" s="249">
        <f t="shared" si="111"/>
        <v>0</v>
      </c>
      <c r="CP49" s="249">
        <f t="shared" si="111"/>
        <v>0</v>
      </c>
      <c r="CQ49" s="250">
        <f t="shared" si="111"/>
        <v>0</v>
      </c>
      <c r="CR49" s="251">
        <f t="shared" si="111"/>
        <v>0</v>
      </c>
      <c r="CS49" s="249">
        <f t="shared" si="111"/>
        <v>0</v>
      </c>
      <c r="CT49" s="249">
        <f t="shared" si="111"/>
        <v>0</v>
      </c>
      <c r="CU49" s="250">
        <f t="shared" si="111"/>
        <v>0</v>
      </c>
      <c r="CV49" s="251">
        <f t="shared" si="111"/>
        <v>0</v>
      </c>
      <c r="CW49" s="249">
        <f t="shared" si="111"/>
        <v>0</v>
      </c>
      <c r="CX49" s="249">
        <f t="shared" si="111"/>
        <v>0</v>
      </c>
      <c r="CY49" s="250">
        <f t="shared" si="111"/>
        <v>0</v>
      </c>
      <c r="CZ49" s="103"/>
      <c r="DA49" s="102"/>
      <c r="DB49" s="102"/>
    </row>
    <row r="50" spans="1:106" ht="24.95" customHeight="1" outlineLevel="1" x14ac:dyDescent="0.55000000000000004">
      <c r="A50" s="326" t="s">
        <v>156</v>
      </c>
      <c r="B50" s="182" t="str">
        <f t="shared" ref="B50" si="112">A50</f>
        <v>1.3.1</v>
      </c>
      <c r="C50" s="352" t="s">
        <v>155</v>
      </c>
      <c r="D50" s="168" t="str">
        <f t="shared" ref="D50" si="113">C50</f>
        <v xml:space="preserve">        งานก่อช่อง ชาฟ</v>
      </c>
      <c r="E50" s="47">
        <v>20066.118394370402</v>
      </c>
      <c r="F50" s="48">
        <f t="shared" ref="F50" si="114">E50</f>
        <v>20066.118394370402</v>
      </c>
      <c r="G50" s="104" t="s">
        <v>86</v>
      </c>
      <c r="H50" s="216">
        <f>SUM(J50:CZ50)</f>
        <v>1</v>
      </c>
      <c r="I50" s="206">
        <f t="shared" si="12"/>
        <v>20066.118394370402</v>
      </c>
      <c r="J50" s="258"/>
      <c r="K50" s="259"/>
      <c r="L50" s="259"/>
      <c r="M50" s="260"/>
      <c r="N50" s="261"/>
      <c r="O50" s="259"/>
      <c r="P50" s="259"/>
      <c r="Q50" s="260"/>
      <c r="R50" s="262"/>
      <c r="S50" s="259"/>
      <c r="T50" s="259"/>
      <c r="U50" s="260"/>
      <c r="V50" s="285">
        <v>0.25</v>
      </c>
      <c r="W50" s="277">
        <v>0.25</v>
      </c>
      <c r="X50" s="277">
        <v>0.25</v>
      </c>
      <c r="Y50" s="286">
        <v>0.25</v>
      </c>
      <c r="Z50" s="284"/>
      <c r="AA50" s="285"/>
      <c r="AB50" s="277"/>
      <c r="AC50" s="277"/>
      <c r="AD50" s="284"/>
      <c r="AE50" s="283"/>
      <c r="AF50" s="277"/>
      <c r="AG50" s="277"/>
      <c r="AH50" s="277"/>
      <c r="AI50" s="278"/>
      <c r="AJ50" s="285"/>
      <c r="AK50" s="277"/>
      <c r="AL50" s="277"/>
      <c r="AM50" s="284"/>
      <c r="AN50" s="279"/>
      <c r="AO50" s="280"/>
      <c r="AP50" s="280"/>
      <c r="AQ50" s="281"/>
      <c r="AR50" s="261"/>
      <c r="AS50" s="259"/>
      <c r="AT50" s="259"/>
      <c r="AU50" s="259"/>
      <c r="AV50" s="264"/>
      <c r="AW50" s="261"/>
      <c r="AX50" s="259"/>
      <c r="AY50" s="259"/>
      <c r="AZ50" s="263"/>
      <c r="BA50" s="261"/>
      <c r="BB50" s="259"/>
      <c r="BC50" s="259"/>
      <c r="BD50" s="260"/>
      <c r="BE50" s="261"/>
      <c r="BF50" s="259"/>
      <c r="BG50" s="259"/>
      <c r="BH50" s="259"/>
      <c r="BI50" s="264"/>
      <c r="BJ50" s="261"/>
      <c r="BK50" s="259"/>
      <c r="BL50" s="259"/>
      <c r="BM50" s="260"/>
      <c r="BN50" s="261"/>
      <c r="BO50" s="259"/>
      <c r="BP50" s="259"/>
      <c r="BQ50" s="260"/>
      <c r="BR50" s="261"/>
      <c r="BS50" s="259"/>
      <c r="BT50" s="259"/>
      <c r="BU50" s="263"/>
      <c r="BV50" s="264"/>
      <c r="BW50" s="261"/>
      <c r="BX50" s="259"/>
      <c r="BY50" s="259"/>
      <c r="BZ50" s="260"/>
      <c r="CA50" s="261"/>
      <c r="CB50" s="259"/>
      <c r="CC50" s="259"/>
      <c r="CD50" s="260"/>
      <c r="CE50" s="261"/>
      <c r="CF50" s="259"/>
      <c r="CG50" s="259"/>
      <c r="CH50" s="259"/>
      <c r="CI50" s="264"/>
      <c r="CJ50" s="261"/>
      <c r="CK50" s="259"/>
      <c r="CL50" s="259"/>
      <c r="CM50" s="260"/>
      <c r="CN50" s="257"/>
      <c r="CO50" s="255"/>
      <c r="CP50" s="255"/>
      <c r="CQ50" s="256"/>
      <c r="CR50" s="257"/>
      <c r="CS50" s="255"/>
      <c r="CT50" s="255"/>
      <c r="CU50" s="256"/>
      <c r="CV50" s="257"/>
      <c r="CW50" s="255"/>
      <c r="CX50" s="255"/>
      <c r="CY50" s="256"/>
      <c r="CZ50" s="105"/>
      <c r="DA50" s="102"/>
      <c r="DB50" s="102"/>
    </row>
    <row r="51" spans="1:106" ht="24.95" customHeight="1" outlineLevel="1" x14ac:dyDescent="0.55000000000000004">
      <c r="A51" s="326"/>
      <c r="B51" s="183" t="str">
        <f t="shared" ref="B51:B53" si="115">B50</f>
        <v>1.3.1</v>
      </c>
      <c r="C51" s="353"/>
      <c r="D51" s="168" t="str">
        <f t="shared" ref="D51:D53" si="116">D50</f>
        <v xml:space="preserve">        งานก่อช่อง ชาฟ</v>
      </c>
      <c r="E51" s="47"/>
      <c r="F51" s="48">
        <f t="shared" ref="F51" si="117">E50</f>
        <v>20066.118394370402</v>
      </c>
      <c r="G51" s="106" t="s">
        <v>87</v>
      </c>
      <c r="H51" s="217">
        <f>SUM(J51:CZ51)</f>
        <v>0</v>
      </c>
      <c r="I51" s="207">
        <f t="shared" si="12"/>
        <v>0</v>
      </c>
      <c r="J51" s="265"/>
      <c r="K51" s="266"/>
      <c r="L51" s="266"/>
      <c r="M51" s="267"/>
      <c r="N51" s="268"/>
      <c r="O51" s="266"/>
      <c r="P51" s="266"/>
      <c r="Q51" s="267"/>
      <c r="R51" s="269"/>
      <c r="S51" s="266"/>
      <c r="T51" s="291"/>
      <c r="U51" s="292"/>
      <c r="V51" s="293"/>
      <c r="W51" s="291"/>
      <c r="X51" s="291"/>
      <c r="Y51" s="295"/>
      <c r="Z51" s="292"/>
      <c r="AA51" s="293"/>
      <c r="AB51" s="291"/>
      <c r="AC51" s="291"/>
      <c r="AD51" s="292"/>
      <c r="AE51" s="294"/>
      <c r="AF51" s="291"/>
      <c r="AG51" s="291"/>
      <c r="AH51" s="291"/>
      <c r="AI51" s="296"/>
      <c r="AJ51" s="293"/>
      <c r="AK51" s="291"/>
      <c r="AL51" s="291"/>
      <c r="AM51" s="292"/>
      <c r="AN51" s="268"/>
      <c r="AO51" s="266"/>
      <c r="AP51" s="266"/>
      <c r="AQ51" s="267"/>
      <c r="AR51" s="268"/>
      <c r="AS51" s="266"/>
      <c r="AT51" s="266"/>
      <c r="AU51" s="266"/>
      <c r="AV51" s="271"/>
      <c r="AW51" s="268"/>
      <c r="AX51" s="266"/>
      <c r="AY51" s="266"/>
      <c r="AZ51" s="270"/>
      <c r="BA51" s="268"/>
      <c r="BB51" s="266"/>
      <c r="BC51" s="266"/>
      <c r="BD51" s="267"/>
      <c r="BE51" s="268"/>
      <c r="BF51" s="266"/>
      <c r="BG51" s="266"/>
      <c r="BH51" s="266"/>
      <c r="BI51" s="271"/>
      <c r="BJ51" s="268"/>
      <c r="BK51" s="266"/>
      <c r="BL51" s="266"/>
      <c r="BM51" s="267"/>
      <c r="BN51" s="268"/>
      <c r="BO51" s="266"/>
      <c r="BP51" s="266"/>
      <c r="BQ51" s="267"/>
      <c r="BR51" s="268"/>
      <c r="BS51" s="266"/>
      <c r="BT51" s="266"/>
      <c r="BU51" s="270"/>
      <c r="BV51" s="271"/>
      <c r="BW51" s="268"/>
      <c r="BX51" s="266"/>
      <c r="BY51" s="266"/>
      <c r="BZ51" s="267"/>
      <c r="CA51" s="268"/>
      <c r="CB51" s="266"/>
      <c r="CC51" s="266"/>
      <c r="CD51" s="267"/>
      <c r="CE51" s="268"/>
      <c r="CF51" s="266"/>
      <c r="CG51" s="266"/>
      <c r="CH51" s="266"/>
      <c r="CI51" s="271"/>
      <c r="CJ51" s="268"/>
      <c r="CK51" s="266"/>
      <c r="CL51" s="266"/>
      <c r="CM51" s="267"/>
      <c r="CN51" s="251"/>
      <c r="CO51" s="249"/>
      <c r="CP51" s="249"/>
      <c r="CQ51" s="250"/>
      <c r="CR51" s="251"/>
      <c r="CS51" s="249"/>
      <c r="CT51" s="249"/>
      <c r="CU51" s="250"/>
      <c r="CV51" s="251"/>
      <c r="CW51" s="249"/>
      <c r="CX51" s="249"/>
      <c r="CY51" s="250"/>
      <c r="CZ51" s="103"/>
      <c r="DA51" s="102"/>
      <c r="DB51" s="102"/>
    </row>
    <row r="52" spans="1:106" ht="24.95" customHeight="1" outlineLevel="1" x14ac:dyDescent="0.55000000000000004">
      <c r="A52" s="326" t="s">
        <v>157</v>
      </c>
      <c r="B52" s="182" t="str">
        <f t="shared" ref="B52" si="118">A52</f>
        <v>1.3.2</v>
      </c>
      <c r="C52" s="352" t="s">
        <v>7</v>
      </c>
      <c r="D52" s="168" t="str">
        <f t="shared" ref="D52" si="119">C52</f>
        <v xml:space="preserve">         Electrical and Communication Riser</v>
      </c>
      <c r="E52" s="47">
        <v>20066.118394370402</v>
      </c>
      <c r="F52" s="48">
        <f t="shared" ref="F52" si="120">E52</f>
        <v>20066.118394370402</v>
      </c>
      <c r="G52" s="104" t="s">
        <v>86</v>
      </c>
      <c r="H52" s="216">
        <f>SUM(J52:CZ52)</f>
        <v>1</v>
      </c>
      <c r="I52" s="206">
        <f t="shared" ref="I52:I53" si="121">H52*F52</f>
        <v>20066.118394370402</v>
      </c>
      <c r="J52" s="258"/>
      <c r="K52" s="259"/>
      <c r="L52" s="259"/>
      <c r="M52" s="260"/>
      <c r="N52" s="261"/>
      <c r="O52" s="259"/>
      <c r="P52" s="259"/>
      <c r="Q52" s="260"/>
      <c r="R52" s="262"/>
      <c r="S52" s="259"/>
      <c r="T52" s="259"/>
      <c r="U52" s="260"/>
      <c r="V52" s="285"/>
      <c r="W52" s="277"/>
      <c r="X52" s="277"/>
      <c r="Y52" s="286"/>
      <c r="Z52" s="284">
        <v>0.1</v>
      </c>
      <c r="AA52" s="285">
        <v>0.1</v>
      </c>
      <c r="AB52" s="277">
        <v>0.1</v>
      </c>
      <c r="AC52" s="277">
        <v>0.1</v>
      </c>
      <c r="AD52" s="284">
        <v>0.1</v>
      </c>
      <c r="AE52" s="283">
        <v>0.1</v>
      </c>
      <c r="AF52" s="277">
        <v>0.1</v>
      </c>
      <c r="AG52" s="277">
        <v>0.1</v>
      </c>
      <c r="AH52" s="277">
        <v>0.05</v>
      </c>
      <c r="AI52" s="278">
        <v>0.05</v>
      </c>
      <c r="AJ52" s="285">
        <v>0.05</v>
      </c>
      <c r="AK52" s="277">
        <v>0.05</v>
      </c>
      <c r="AL52" s="277"/>
      <c r="AM52" s="284"/>
      <c r="AN52" s="261"/>
      <c r="AO52" s="259"/>
      <c r="AP52" s="259"/>
      <c r="AQ52" s="281"/>
      <c r="AR52" s="279"/>
      <c r="AS52" s="280"/>
      <c r="AT52" s="280"/>
      <c r="AU52" s="280"/>
      <c r="AV52" s="287"/>
      <c r="AW52" s="279"/>
      <c r="AX52" s="280"/>
      <c r="AY52" s="280"/>
      <c r="AZ52" s="297"/>
      <c r="BA52" s="279"/>
      <c r="BB52" s="280"/>
      <c r="BC52" s="259"/>
      <c r="BD52" s="260"/>
      <c r="BE52" s="261"/>
      <c r="BF52" s="259"/>
      <c r="BG52" s="259"/>
      <c r="BH52" s="259"/>
      <c r="BI52" s="264"/>
      <c r="BJ52" s="261"/>
      <c r="BK52" s="259"/>
      <c r="BL52" s="259"/>
      <c r="BM52" s="260"/>
      <c r="BN52" s="261"/>
      <c r="BO52" s="259"/>
      <c r="BP52" s="259"/>
      <c r="BQ52" s="260"/>
      <c r="BR52" s="261"/>
      <c r="BS52" s="259"/>
      <c r="BT52" s="259"/>
      <c r="BU52" s="263"/>
      <c r="BV52" s="264"/>
      <c r="BW52" s="261"/>
      <c r="BX52" s="259"/>
      <c r="BY52" s="259"/>
      <c r="BZ52" s="260"/>
      <c r="CA52" s="261"/>
      <c r="CB52" s="259"/>
      <c r="CC52" s="259"/>
      <c r="CD52" s="260"/>
      <c r="CE52" s="261"/>
      <c r="CF52" s="259"/>
      <c r="CG52" s="259"/>
      <c r="CH52" s="259"/>
      <c r="CI52" s="264"/>
      <c r="CJ52" s="261"/>
      <c r="CK52" s="259"/>
      <c r="CL52" s="259"/>
      <c r="CM52" s="260"/>
      <c r="CN52" s="257"/>
      <c r="CO52" s="255"/>
      <c r="CP52" s="255"/>
      <c r="CQ52" s="256"/>
      <c r="CR52" s="257"/>
      <c r="CS52" s="255"/>
      <c r="CT52" s="255"/>
      <c r="CU52" s="256"/>
      <c r="CV52" s="257"/>
      <c r="CW52" s="255"/>
      <c r="CX52" s="255"/>
      <c r="CY52" s="256"/>
      <c r="CZ52" s="105"/>
      <c r="DA52" s="102"/>
      <c r="DB52" s="102"/>
    </row>
    <row r="53" spans="1:106" ht="24.95" customHeight="1" outlineLevel="1" x14ac:dyDescent="0.55000000000000004">
      <c r="A53" s="326"/>
      <c r="B53" s="183" t="str">
        <f t="shared" si="115"/>
        <v>1.3.2</v>
      </c>
      <c r="C53" s="353"/>
      <c r="D53" s="168" t="str">
        <f t="shared" si="116"/>
        <v xml:space="preserve">         Electrical and Communication Riser</v>
      </c>
      <c r="E53" s="47"/>
      <c r="F53" s="48">
        <f t="shared" ref="F53" si="122">E52</f>
        <v>20066.118394370402</v>
      </c>
      <c r="G53" s="106" t="s">
        <v>87</v>
      </c>
      <c r="H53" s="217">
        <f>SUM(J53:CZ53)</f>
        <v>0</v>
      </c>
      <c r="I53" s="207">
        <f t="shared" si="121"/>
        <v>0</v>
      </c>
      <c r="J53" s="265"/>
      <c r="K53" s="266"/>
      <c r="L53" s="266"/>
      <c r="M53" s="267"/>
      <c r="N53" s="268"/>
      <c r="O53" s="266"/>
      <c r="P53" s="266"/>
      <c r="Q53" s="267"/>
      <c r="R53" s="269"/>
      <c r="S53" s="266"/>
      <c r="T53" s="291"/>
      <c r="U53" s="292"/>
      <c r="V53" s="293"/>
      <c r="W53" s="291"/>
      <c r="X53" s="291"/>
      <c r="Y53" s="295"/>
      <c r="Z53" s="292"/>
      <c r="AA53" s="293"/>
      <c r="AB53" s="291"/>
      <c r="AC53" s="291"/>
      <c r="AD53" s="292"/>
      <c r="AE53" s="294"/>
      <c r="AF53" s="291"/>
      <c r="AG53" s="291"/>
      <c r="AH53" s="291"/>
      <c r="AI53" s="296"/>
      <c r="AJ53" s="293"/>
      <c r="AK53" s="291"/>
      <c r="AL53" s="291"/>
      <c r="AM53" s="292"/>
      <c r="AN53" s="268"/>
      <c r="AO53" s="266"/>
      <c r="AP53" s="266"/>
      <c r="AQ53" s="267"/>
      <c r="AR53" s="268"/>
      <c r="AS53" s="266"/>
      <c r="AT53" s="266"/>
      <c r="AU53" s="266"/>
      <c r="AV53" s="271"/>
      <c r="AW53" s="268"/>
      <c r="AX53" s="266"/>
      <c r="AY53" s="266"/>
      <c r="AZ53" s="270"/>
      <c r="BA53" s="268"/>
      <c r="BB53" s="266"/>
      <c r="BC53" s="266"/>
      <c r="BD53" s="267"/>
      <c r="BE53" s="268"/>
      <c r="BF53" s="266"/>
      <c r="BG53" s="266"/>
      <c r="BH53" s="266"/>
      <c r="BI53" s="271"/>
      <c r="BJ53" s="268"/>
      <c r="BK53" s="266"/>
      <c r="BL53" s="266"/>
      <c r="BM53" s="267"/>
      <c r="BN53" s="268"/>
      <c r="BO53" s="266"/>
      <c r="BP53" s="266"/>
      <c r="BQ53" s="267"/>
      <c r="BR53" s="268"/>
      <c r="BS53" s="266"/>
      <c r="BT53" s="266"/>
      <c r="BU53" s="270"/>
      <c r="BV53" s="271"/>
      <c r="BW53" s="268"/>
      <c r="BX53" s="266"/>
      <c r="BY53" s="266"/>
      <c r="BZ53" s="267"/>
      <c r="CA53" s="268"/>
      <c r="CB53" s="266"/>
      <c r="CC53" s="266"/>
      <c r="CD53" s="267"/>
      <c r="CE53" s="268"/>
      <c r="CF53" s="266"/>
      <c r="CG53" s="266"/>
      <c r="CH53" s="266"/>
      <c r="CI53" s="271"/>
      <c r="CJ53" s="268"/>
      <c r="CK53" s="266"/>
      <c r="CL53" s="266"/>
      <c r="CM53" s="267"/>
      <c r="CN53" s="251"/>
      <c r="CO53" s="249"/>
      <c r="CP53" s="249"/>
      <c r="CQ53" s="250"/>
      <c r="CR53" s="251"/>
      <c r="CS53" s="249"/>
      <c r="CT53" s="249"/>
      <c r="CU53" s="250"/>
      <c r="CV53" s="251"/>
      <c r="CW53" s="249"/>
      <c r="CX53" s="249"/>
      <c r="CY53" s="250"/>
      <c r="CZ53" s="103"/>
      <c r="DA53" s="102"/>
      <c r="DB53" s="102"/>
    </row>
    <row r="54" spans="1:106" ht="24.95" customHeight="1" outlineLevel="1" x14ac:dyDescent="0.55000000000000004">
      <c r="A54" s="326" t="s">
        <v>158</v>
      </c>
      <c r="B54" s="182" t="str">
        <f t="shared" ref="B54" si="123">A54</f>
        <v>1.3.3</v>
      </c>
      <c r="C54" s="352" t="s">
        <v>8</v>
      </c>
      <c r="D54" s="168" t="str">
        <f t="shared" ref="D54" si="124">C54</f>
        <v xml:space="preserve">         Sanitary and Fire Protection Riser</v>
      </c>
      <c r="E54" s="47">
        <v>252597.187123646</v>
      </c>
      <c r="F54" s="48">
        <f t="shared" ref="F54" si="125">E54</f>
        <v>252597.187123646</v>
      </c>
      <c r="G54" s="104" t="s">
        <v>86</v>
      </c>
      <c r="H54" s="216">
        <f>SUM(J54:CZ54)</f>
        <v>0.99999999999999989</v>
      </c>
      <c r="I54" s="206">
        <f t="shared" si="12"/>
        <v>252597.18712364597</v>
      </c>
      <c r="J54" s="258"/>
      <c r="K54" s="259"/>
      <c r="L54" s="259"/>
      <c r="M54" s="260"/>
      <c r="N54" s="261"/>
      <c r="O54" s="259"/>
      <c r="P54" s="259"/>
      <c r="Q54" s="260"/>
      <c r="R54" s="262"/>
      <c r="S54" s="259"/>
      <c r="T54" s="259"/>
      <c r="U54" s="260"/>
      <c r="V54" s="285"/>
      <c r="W54" s="277"/>
      <c r="X54" s="277"/>
      <c r="Y54" s="286">
        <v>0.05</v>
      </c>
      <c r="Z54" s="284">
        <v>0.1</v>
      </c>
      <c r="AA54" s="285">
        <v>0.1</v>
      </c>
      <c r="AB54" s="277">
        <v>0.1</v>
      </c>
      <c r="AC54" s="277">
        <v>0.1</v>
      </c>
      <c r="AD54" s="284">
        <v>0.1</v>
      </c>
      <c r="AE54" s="283">
        <v>0.1</v>
      </c>
      <c r="AF54" s="277">
        <v>0.1</v>
      </c>
      <c r="AG54" s="277">
        <v>0.1</v>
      </c>
      <c r="AH54" s="277">
        <v>0.1</v>
      </c>
      <c r="AI54" s="278">
        <v>0.05</v>
      </c>
      <c r="AJ54" s="285"/>
      <c r="AK54" s="277"/>
      <c r="AL54" s="277"/>
      <c r="AM54" s="284"/>
      <c r="AN54" s="261"/>
      <c r="AO54" s="259"/>
      <c r="AP54" s="280"/>
      <c r="AQ54" s="281"/>
      <c r="AR54" s="279"/>
      <c r="AS54" s="280"/>
      <c r="AT54" s="280"/>
      <c r="AU54" s="280"/>
      <c r="AV54" s="287"/>
      <c r="AW54" s="279"/>
      <c r="AX54" s="280"/>
      <c r="AY54" s="280"/>
      <c r="AZ54" s="297"/>
      <c r="BA54" s="279"/>
      <c r="BB54" s="259"/>
      <c r="BC54" s="259"/>
      <c r="BD54" s="260"/>
      <c r="BE54" s="261"/>
      <c r="BF54" s="259"/>
      <c r="BG54" s="259"/>
      <c r="BH54" s="259"/>
      <c r="BI54" s="264"/>
      <c r="BJ54" s="261"/>
      <c r="BK54" s="259"/>
      <c r="BL54" s="259"/>
      <c r="BM54" s="260"/>
      <c r="BN54" s="261"/>
      <c r="BO54" s="259"/>
      <c r="BP54" s="259"/>
      <c r="BQ54" s="260"/>
      <c r="BR54" s="261"/>
      <c r="BS54" s="259"/>
      <c r="BT54" s="259"/>
      <c r="BU54" s="263"/>
      <c r="BV54" s="264"/>
      <c r="BW54" s="261"/>
      <c r="BX54" s="259"/>
      <c r="BY54" s="259"/>
      <c r="BZ54" s="260"/>
      <c r="CA54" s="261"/>
      <c r="CB54" s="259"/>
      <c r="CC54" s="259"/>
      <c r="CD54" s="260"/>
      <c r="CE54" s="261"/>
      <c r="CF54" s="259"/>
      <c r="CG54" s="259"/>
      <c r="CH54" s="259"/>
      <c r="CI54" s="264"/>
      <c r="CJ54" s="261"/>
      <c r="CK54" s="259"/>
      <c r="CL54" s="259"/>
      <c r="CM54" s="260"/>
      <c r="CN54" s="257"/>
      <c r="CO54" s="255"/>
      <c r="CP54" s="255"/>
      <c r="CQ54" s="256"/>
      <c r="CR54" s="257"/>
      <c r="CS54" s="255"/>
      <c r="CT54" s="255"/>
      <c r="CU54" s="256"/>
      <c r="CV54" s="257"/>
      <c r="CW54" s="255"/>
      <c r="CX54" s="255"/>
      <c r="CY54" s="256"/>
      <c r="CZ54" s="105"/>
      <c r="DA54" s="102"/>
      <c r="DB54" s="102"/>
    </row>
    <row r="55" spans="1:106" ht="24.95" customHeight="1" outlineLevel="1" x14ac:dyDescent="0.55000000000000004">
      <c r="A55" s="326"/>
      <c r="B55" s="183" t="str">
        <f t="shared" ref="B55" si="126">B54</f>
        <v>1.3.3</v>
      </c>
      <c r="C55" s="353"/>
      <c r="D55" s="168" t="str">
        <f t="shared" ref="D55" si="127">D54</f>
        <v xml:space="preserve">         Sanitary and Fire Protection Riser</v>
      </c>
      <c r="E55" s="47"/>
      <c r="F55" s="48">
        <f t="shared" ref="F55" si="128">E54</f>
        <v>252597.187123646</v>
      </c>
      <c r="G55" s="106" t="s">
        <v>87</v>
      </c>
      <c r="H55" s="217">
        <f>SUM(J55:CZ55)</f>
        <v>0</v>
      </c>
      <c r="I55" s="207">
        <f t="shared" si="12"/>
        <v>0</v>
      </c>
      <c r="J55" s="265"/>
      <c r="K55" s="266"/>
      <c r="L55" s="266"/>
      <c r="M55" s="267"/>
      <c r="N55" s="268"/>
      <c r="O55" s="266"/>
      <c r="P55" s="266"/>
      <c r="Q55" s="267"/>
      <c r="R55" s="269"/>
      <c r="S55" s="266"/>
      <c r="T55" s="291"/>
      <c r="U55" s="267"/>
      <c r="V55" s="293"/>
      <c r="W55" s="291"/>
      <c r="X55" s="291"/>
      <c r="Y55" s="295"/>
      <c r="Z55" s="292"/>
      <c r="AA55" s="293"/>
      <c r="AB55" s="291"/>
      <c r="AC55" s="291"/>
      <c r="AD55" s="292"/>
      <c r="AE55" s="294"/>
      <c r="AF55" s="291"/>
      <c r="AG55" s="291"/>
      <c r="AH55" s="291"/>
      <c r="AI55" s="296"/>
      <c r="AJ55" s="293"/>
      <c r="AK55" s="291"/>
      <c r="AL55" s="291"/>
      <c r="AM55" s="292"/>
      <c r="AN55" s="268"/>
      <c r="AO55" s="266"/>
      <c r="AP55" s="266"/>
      <c r="AQ55" s="267"/>
      <c r="AR55" s="268"/>
      <c r="AS55" s="266"/>
      <c r="AT55" s="266"/>
      <c r="AU55" s="266"/>
      <c r="AV55" s="271"/>
      <c r="AW55" s="268"/>
      <c r="AX55" s="266"/>
      <c r="AY55" s="266"/>
      <c r="AZ55" s="270"/>
      <c r="BA55" s="268"/>
      <c r="BB55" s="266"/>
      <c r="BC55" s="266"/>
      <c r="BD55" s="267"/>
      <c r="BE55" s="268"/>
      <c r="BF55" s="266"/>
      <c r="BG55" s="266"/>
      <c r="BH55" s="266"/>
      <c r="BI55" s="271"/>
      <c r="BJ55" s="268"/>
      <c r="BK55" s="266"/>
      <c r="BL55" s="266"/>
      <c r="BM55" s="267"/>
      <c r="BN55" s="268"/>
      <c r="BO55" s="266"/>
      <c r="BP55" s="266"/>
      <c r="BQ55" s="267"/>
      <c r="BR55" s="268"/>
      <c r="BS55" s="266"/>
      <c r="BT55" s="266"/>
      <c r="BU55" s="270"/>
      <c r="BV55" s="271"/>
      <c r="BW55" s="268"/>
      <c r="BX55" s="266"/>
      <c r="BY55" s="266"/>
      <c r="BZ55" s="267"/>
      <c r="CA55" s="268"/>
      <c r="CB55" s="266"/>
      <c r="CC55" s="266"/>
      <c r="CD55" s="267"/>
      <c r="CE55" s="268"/>
      <c r="CF55" s="266"/>
      <c r="CG55" s="266"/>
      <c r="CH55" s="266"/>
      <c r="CI55" s="271"/>
      <c r="CJ55" s="268"/>
      <c r="CK55" s="266"/>
      <c r="CL55" s="266"/>
      <c r="CM55" s="267"/>
      <c r="CN55" s="251"/>
      <c r="CO55" s="249"/>
      <c r="CP55" s="249"/>
      <c r="CQ55" s="250"/>
      <c r="CR55" s="251"/>
      <c r="CS55" s="249"/>
      <c r="CT55" s="249"/>
      <c r="CU55" s="250"/>
      <c r="CV55" s="251"/>
      <c r="CW55" s="249"/>
      <c r="CX55" s="249"/>
      <c r="CY55" s="250"/>
      <c r="CZ55" s="103"/>
      <c r="DA55" s="102"/>
      <c r="DB55" s="102"/>
    </row>
    <row r="56" spans="1:106" ht="24.95" customHeight="1" outlineLevel="1" x14ac:dyDescent="0.55000000000000004">
      <c r="A56" s="326" t="s">
        <v>159</v>
      </c>
      <c r="B56" s="182" t="str">
        <f t="shared" ref="B56" si="129">A56</f>
        <v>1.3.4</v>
      </c>
      <c r="C56" s="352" t="s">
        <v>9</v>
      </c>
      <c r="D56" s="168" t="str">
        <f t="shared" ref="D56" si="130">C56</f>
        <v xml:space="preserve">         Air Conditioning Riser</v>
      </c>
      <c r="E56" s="47">
        <v>56860.239558807298</v>
      </c>
      <c r="F56" s="48">
        <f t="shared" ref="F56" si="131">E56</f>
        <v>56860.239558807298</v>
      </c>
      <c r="G56" s="104" t="s">
        <v>86</v>
      </c>
      <c r="H56" s="216">
        <f>SUM(J56:CZ56)</f>
        <v>1</v>
      </c>
      <c r="I56" s="206">
        <f t="shared" si="12"/>
        <v>56860.239558807298</v>
      </c>
      <c r="J56" s="258"/>
      <c r="K56" s="259"/>
      <c r="L56" s="259"/>
      <c r="M56" s="260"/>
      <c r="N56" s="261"/>
      <c r="O56" s="259"/>
      <c r="P56" s="259"/>
      <c r="Q56" s="260"/>
      <c r="R56" s="262"/>
      <c r="S56" s="259"/>
      <c r="T56" s="259"/>
      <c r="U56" s="260"/>
      <c r="V56" s="261"/>
      <c r="W56" s="259"/>
      <c r="X56" s="259"/>
      <c r="Y56" s="263"/>
      <c r="Z56" s="260"/>
      <c r="AA56" s="285"/>
      <c r="AB56" s="277"/>
      <c r="AC56" s="277">
        <v>0.05</v>
      </c>
      <c r="AD56" s="284">
        <v>0.1</v>
      </c>
      <c r="AE56" s="283">
        <v>0.1</v>
      </c>
      <c r="AF56" s="277">
        <v>0.15</v>
      </c>
      <c r="AG56" s="277">
        <v>0.15</v>
      </c>
      <c r="AH56" s="277">
        <v>0.1</v>
      </c>
      <c r="AI56" s="278">
        <v>0.1</v>
      </c>
      <c r="AJ56" s="285">
        <v>0.1</v>
      </c>
      <c r="AK56" s="277">
        <v>0.1</v>
      </c>
      <c r="AL56" s="277">
        <v>0.05</v>
      </c>
      <c r="AM56" s="284"/>
      <c r="AN56" s="261"/>
      <c r="AO56" s="259"/>
      <c r="AP56" s="259"/>
      <c r="AQ56" s="260"/>
      <c r="AR56" s="279"/>
      <c r="AS56" s="280"/>
      <c r="AT56" s="280"/>
      <c r="AU56" s="280"/>
      <c r="AV56" s="287"/>
      <c r="AW56" s="279"/>
      <c r="AX56" s="280"/>
      <c r="AY56" s="280"/>
      <c r="AZ56" s="297"/>
      <c r="BA56" s="261"/>
      <c r="BB56" s="259"/>
      <c r="BC56" s="259"/>
      <c r="BD56" s="260"/>
      <c r="BE56" s="261"/>
      <c r="BF56" s="259"/>
      <c r="BG56" s="259"/>
      <c r="BH56" s="259"/>
      <c r="BI56" s="264"/>
      <c r="BJ56" s="261"/>
      <c r="BK56" s="259"/>
      <c r="BL56" s="259"/>
      <c r="BM56" s="260"/>
      <c r="BN56" s="261"/>
      <c r="BO56" s="259"/>
      <c r="BP56" s="259"/>
      <c r="BQ56" s="260"/>
      <c r="BR56" s="261"/>
      <c r="BS56" s="259"/>
      <c r="BT56" s="259"/>
      <c r="BU56" s="263"/>
      <c r="BV56" s="264"/>
      <c r="BW56" s="261"/>
      <c r="BX56" s="259"/>
      <c r="BY56" s="259"/>
      <c r="BZ56" s="260"/>
      <c r="CA56" s="261"/>
      <c r="CB56" s="259"/>
      <c r="CC56" s="259"/>
      <c r="CD56" s="260"/>
      <c r="CE56" s="261"/>
      <c r="CF56" s="259"/>
      <c r="CG56" s="259"/>
      <c r="CH56" s="259"/>
      <c r="CI56" s="264"/>
      <c r="CJ56" s="261"/>
      <c r="CK56" s="259"/>
      <c r="CL56" s="259"/>
      <c r="CM56" s="260"/>
      <c r="CN56" s="257"/>
      <c r="CO56" s="255"/>
      <c r="CP56" s="255"/>
      <c r="CQ56" s="256"/>
      <c r="CR56" s="257"/>
      <c r="CS56" s="255"/>
      <c r="CT56" s="255"/>
      <c r="CU56" s="256"/>
      <c r="CV56" s="257"/>
      <c r="CW56" s="255"/>
      <c r="CX56" s="255"/>
      <c r="CY56" s="256"/>
      <c r="CZ56" s="105"/>
      <c r="DA56" s="102"/>
      <c r="DB56" s="102"/>
    </row>
    <row r="57" spans="1:106" ht="24.95" customHeight="1" outlineLevel="1" x14ac:dyDescent="0.55000000000000004">
      <c r="A57" s="326"/>
      <c r="B57" s="183" t="str">
        <f t="shared" ref="B57" si="132">B56</f>
        <v>1.3.4</v>
      </c>
      <c r="C57" s="353"/>
      <c r="D57" s="168" t="str">
        <f t="shared" ref="D57" si="133">D56</f>
        <v xml:space="preserve">         Air Conditioning Riser</v>
      </c>
      <c r="E57" s="47"/>
      <c r="F57" s="48">
        <f t="shared" ref="F57" si="134">E56</f>
        <v>56860.239558807298</v>
      </c>
      <c r="G57" s="106" t="s">
        <v>87</v>
      </c>
      <c r="H57" s="217">
        <f>SUM(J57:CZ57)</f>
        <v>0</v>
      </c>
      <c r="I57" s="207">
        <f t="shared" si="12"/>
        <v>0</v>
      </c>
      <c r="J57" s="265"/>
      <c r="K57" s="266"/>
      <c r="L57" s="266"/>
      <c r="M57" s="267"/>
      <c r="N57" s="268"/>
      <c r="O57" s="266"/>
      <c r="P57" s="266"/>
      <c r="Q57" s="267"/>
      <c r="R57" s="269"/>
      <c r="S57" s="266"/>
      <c r="T57" s="266"/>
      <c r="U57" s="267"/>
      <c r="V57" s="268"/>
      <c r="W57" s="266"/>
      <c r="X57" s="266"/>
      <c r="Y57" s="270"/>
      <c r="Z57" s="267"/>
      <c r="AA57" s="293"/>
      <c r="AB57" s="291"/>
      <c r="AC57" s="291"/>
      <c r="AD57" s="292"/>
      <c r="AE57" s="294"/>
      <c r="AF57" s="291"/>
      <c r="AG57" s="291"/>
      <c r="AH57" s="291"/>
      <c r="AI57" s="296"/>
      <c r="AJ57" s="293"/>
      <c r="AK57" s="291"/>
      <c r="AL57" s="291"/>
      <c r="AM57" s="292"/>
      <c r="AN57" s="268"/>
      <c r="AO57" s="266"/>
      <c r="AP57" s="266"/>
      <c r="AQ57" s="267"/>
      <c r="AR57" s="268"/>
      <c r="AS57" s="266"/>
      <c r="AT57" s="266"/>
      <c r="AU57" s="266"/>
      <c r="AV57" s="271"/>
      <c r="AW57" s="268"/>
      <c r="AX57" s="266"/>
      <c r="AY57" s="266"/>
      <c r="AZ57" s="270"/>
      <c r="BA57" s="268"/>
      <c r="BB57" s="266"/>
      <c r="BC57" s="266"/>
      <c r="BD57" s="267"/>
      <c r="BE57" s="268"/>
      <c r="BF57" s="266"/>
      <c r="BG57" s="266"/>
      <c r="BH57" s="266"/>
      <c r="BI57" s="271"/>
      <c r="BJ57" s="268"/>
      <c r="BK57" s="266"/>
      <c r="BL57" s="266"/>
      <c r="BM57" s="267"/>
      <c r="BN57" s="268"/>
      <c r="BO57" s="266"/>
      <c r="BP57" s="266"/>
      <c r="BQ57" s="267"/>
      <c r="BR57" s="268"/>
      <c r="BS57" s="266"/>
      <c r="BT57" s="266"/>
      <c r="BU57" s="270"/>
      <c r="BV57" s="271"/>
      <c r="BW57" s="268"/>
      <c r="BX57" s="266"/>
      <c r="BY57" s="266"/>
      <c r="BZ57" s="267"/>
      <c r="CA57" s="268"/>
      <c r="CB57" s="266"/>
      <c r="CC57" s="266"/>
      <c r="CD57" s="267"/>
      <c r="CE57" s="268"/>
      <c r="CF57" s="266"/>
      <c r="CG57" s="266"/>
      <c r="CH57" s="266"/>
      <c r="CI57" s="271"/>
      <c r="CJ57" s="268"/>
      <c r="CK57" s="266"/>
      <c r="CL57" s="266"/>
      <c r="CM57" s="267"/>
      <c r="CN57" s="251"/>
      <c r="CO57" s="249"/>
      <c r="CP57" s="249"/>
      <c r="CQ57" s="250"/>
      <c r="CR57" s="251"/>
      <c r="CS57" s="249"/>
      <c r="CT57" s="249"/>
      <c r="CU57" s="250"/>
      <c r="CV57" s="251"/>
      <c r="CW57" s="249"/>
      <c r="CX57" s="249"/>
      <c r="CY57" s="250"/>
      <c r="CZ57" s="103"/>
      <c r="DA57" s="102"/>
      <c r="DB57" s="102"/>
    </row>
    <row r="58" spans="1:106" ht="24.95" customHeight="1" x14ac:dyDescent="0.55000000000000004">
      <c r="A58" s="338">
        <v>1.4</v>
      </c>
      <c r="B58" s="180">
        <f t="shared" ref="B58" si="135">A58</f>
        <v>1.4</v>
      </c>
      <c r="C58" s="340" t="s">
        <v>10</v>
      </c>
      <c r="D58" s="165" t="str">
        <f t="shared" ref="D58" si="136">C58</f>
        <v xml:space="preserve">      งานสถาปัตยกรรมและงานระบบประกอบอาคาร</v>
      </c>
      <c r="E58" s="83">
        <f>E60+E72+E74+E76+E78</f>
        <v>82272490.458837852</v>
      </c>
      <c r="F58" s="46">
        <f t="shared" ref="F58" si="137">E58</f>
        <v>82272490.458837852</v>
      </c>
      <c r="G58" s="208" t="s">
        <v>86</v>
      </c>
      <c r="H58" s="218">
        <f>SUM(J58:CZ58)</f>
        <v>0</v>
      </c>
      <c r="I58" s="209">
        <f>I60+I72+I74+I76+I78</f>
        <v>82272490.458837867</v>
      </c>
      <c r="J58" s="258"/>
      <c r="K58" s="259"/>
      <c r="L58" s="259"/>
      <c r="M58" s="260"/>
      <c r="N58" s="261"/>
      <c r="O58" s="259"/>
      <c r="P58" s="259"/>
      <c r="Q58" s="260"/>
      <c r="R58" s="262"/>
      <c r="S58" s="259"/>
      <c r="T58" s="259"/>
      <c r="U58" s="260"/>
      <c r="V58" s="261"/>
      <c r="W58" s="259"/>
      <c r="X58" s="259"/>
      <c r="Y58" s="263"/>
      <c r="Z58" s="260"/>
      <c r="AA58" s="261"/>
      <c r="AB58" s="259"/>
      <c r="AC58" s="259"/>
      <c r="AD58" s="260"/>
      <c r="AE58" s="262"/>
      <c r="AF58" s="259"/>
      <c r="AG58" s="259"/>
      <c r="AH58" s="259"/>
      <c r="AI58" s="264"/>
      <c r="AJ58" s="261"/>
      <c r="AK58" s="259"/>
      <c r="AL58" s="259"/>
      <c r="AM58" s="260"/>
      <c r="AN58" s="261"/>
      <c r="AO58" s="259"/>
      <c r="AP58" s="259"/>
      <c r="AQ58" s="260"/>
      <c r="AR58" s="261"/>
      <c r="AS58" s="259"/>
      <c r="AT58" s="259"/>
      <c r="AU58" s="259"/>
      <c r="AV58" s="264"/>
      <c r="AW58" s="261"/>
      <c r="AX58" s="259"/>
      <c r="AY58" s="259"/>
      <c r="AZ58" s="263"/>
      <c r="BA58" s="261"/>
      <c r="BB58" s="259"/>
      <c r="BC58" s="259"/>
      <c r="BD58" s="260"/>
      <c r="BE58" s="261"/>
      <c r="BF58" s="259"/>
      <c r="BG58" s="259"/>
      <c r="BH58" s="259"/>
      <c r="BI58" s="264"/>
      <c r="BJ58" s="261"/>
      <c r="BK58" s="259"/>
      <c r="BL58" s="259"/>
      <c r="BM58" s="260"/>
      <c r="BN58" s="261"/>
      <c r="BO58" s="259"/>
      <c r="BP58" s="259"/>
      <c r="BQ58" s="260"/>
      <c r="BR58" s="261"/>
      <c r="BS58" s="259"/>
      <c r="BT58" s="259"/>
      <c r="BU58" s="263"/>
      <c r="BV58" s="264"/>
      <c r="BW58" s="261"/>
      <c r="BX58" s="259"/>
      <c r="BY58" s="259"/>
      <c r="BZ58" s="260"/>
      <c r="CA58" s="261"/>
      <c r="CB58" s="259"/>
      <c r="CC58" s="259"/>
      <c r="CD58" s="260"/>
      <c r="CE58" s="261"/>
      <c r="CF58" s="259"/>
      <c r="CG58" s="259"/>
      <c r="CH58" s="259"/>
      <c r="CI58" s="264"/>
      <c r="CJ58" s="261"/>
      <c r="CK58" s="259"/>
      <c r="CL58" s="259"/>
      <c r="CM58" s="260"/>
      <c r="CN58" s="257"/>
      <c r="CO58" s="255"/>
      <c r="CP58" s="255"/>
      <c r="CQ58" s="256"/>
      <c r="CR58" s="257"/>
      <c r="CS58" s="255"/>
      <c r="CT58" s="255"/>
      <c r="CU58" s="256"/>
      <c r="CV58" s="257"/>
      <c r="CW58" s="255"/>
      <c r="CX58" s="255"/>
      <c r="CY58" s="256"/>
      <c r="CZ58" s="105"/>
      <c r="DA58" s="102"/>
      <c r="DB58" s="102"/>
    </row>
    <row r="59" spans="1:106" ht="24.95" customHeight="1" x14ac:dyDescent="0.55000000000000004">
      <c r="A59" s="339"/>
      <c r="B59" s="181">
        <f t="shared" ref="B59" si="138">B58</f>
        <v>1.4</v>
      </c>
      <c r="C59" s="340"/>
      <c r="D59" s="165" t="str">
        <f t="shared" ref="D59" si="139">D58</f>
        <v xml:space="preserve">      งานสถาปัตยกรรมและงานระบบประกอบอาคาร</v>
      </c>
      <c r="E59" s="45"/>
      <c r="F59" s="46">
        <f t="shared" ref="F59" si="140">E58</f>
        <v>82272490.458837852</v>
      </c>
      <c r="G59" s="210" t="s">
        <v>87</v>
      </c>
      <c r="H59" s="219">
        <f>SUM(J59:CZ59)</f>
        <v>0</v>
      </c>
      <c r="I59" s="211">
        <f>I61+I73+I75+I77+I79</f>
        <v>0</v>
      </c>
      <c r="J59" s="265"/>
      <c r="K59" s="266"/>
      <c r="L59" s="266"/>
      <c r="M59" s="267"/>
      <c r="N59" s="268"/>
      <c r="O59" s="266"/>
      <c r="P59" s="266"/>
      <c r="Q59" s="267"/>
      <c r="R59" s="269"/>
      <c r="S59" s="266"/>
      <c r="T59" s="266"/>
      <c r="U59" s="267"/>
      <c r="V59" s="268"/>
      <c r="W59" s="266"/>
      <c r="X59" s="266"/>
      <c r="Y59" s="270"/>
      <c r="Z59" s="267"/>
      <c r="AA59" s="268"/>
      <c r="AB59" s="266"/>
      <c r="AC59" s="266"/>
      <c r="AD59" s="267"/>
      <c r="AE59" s="269"/>
      <c r="AF59" s="266"/>
      <c r="AG59" s="266"/>
      <c r="AH59" s="266"/>
      <c r="AI59" s="271"/>
      <c r="AJ59" s="268"/>
      <c r="AK59" s="266"/>
      <c r="AL59" s="266"/>
      <c r="AM59" s="267"/>
      <c r="AN59" s="268"/>
      <c r="AO59" s="266"/>
      <c r="AP59" s="266"/>
      <c r="AQ59" s="267"/>
      <c r="AR59" s="268"/>
      <c r="AS59" s="266"/>
      <c r="AT59" s="266"/>
      <c r="AU59" s="266"/>
      <c r="AV59" s="271"/>
      <c r="AW59" s="268"/>
      <c r="AX59" s="266"/>
      <c r="AY59" s="266"/>
      <c r="AZ59" s="270"/>
      <c r="BA59" s="268"/>
      <c r="BB59" s="266"/>
      <c r="BC59" s="266"/>
      <c r="BD59" s="267"/>
      <c r="BE59" s="268"/>
      <c r="BF59" s="266"/>
      <c r="BG59" s="266"/>
      <c r="BH59" s="266"/>
      <c r="BI59" s="271"/>
      <c r="BJ59" s="268"/>
      <c r="BK59" s="266"/>
      <c r="BL59" s="266"/>
      <c r="BM59" s="267"/>
      <c r="BN59" s="268"/>
      <c r="BO59" s="266"/>
      <c r="BP59" s="266"/>
      <c r="BQ59" s="267"/>
      <c r="BR59" s="268"/>
      <c r="BS59" s="266"/>
      <c r="BT59" s="266"/>
      <c r="BU59" s="270"/>
      <c r="BV59" s="271"/>
      <c r="BW59" s="268"/>
      <c r="BX59" s="266"/>
      <c r="BY59" s="266"/>
      <c r="BZ59" s="267"/>
      <c r="CA59" s="268"/>
      <c r="CB59" s="266"/>
      <c r="CC59" s="266"/>
      <c r="CD59" s="267"/>
      <c r="CE59" s="268"/>
      <c r="CF59" s="266"/>
      <c r="CG59" s="266"/>
      <c r="CH59" s="266"/>
      <c r="CI59" s="271"/>
      <c r="CJ59" s="268"/>
      <c r="CK59" s="266"/>
      <c r="CL59" s="266"/>
      <c r="CM59" s="267"/>
      <c r="CN59" s="251"/>
      <c r="CO59" s="249"/>
      <c r="CP59" s="249"/>
      <c r="CQ59" s="250"/>
      <c r="CR59" s="251"/>
      <c r="CS59" s="249"/>
      <c r="CT59" s="249"/>
      <c r="CU59" s="250"/>
      <c r="CV59" s="251"/>
      <c r="CW59" s="249"/>
      <c r="CX59" s="249"/>
      <c r="CY59" s="250"/>
      <c r="CZ59" s="103"/>
      <c r="DA59" s="102"/>
      <c r="DB59" s="102"/>
    </row>
    <row r="60" spans="1:106" ht="24.95" customHeight="1" x14ac:dyDescent="0.55000000000000004">
      <c r="A60" s="345" t="s">
        <v>107</v>
      </c>
      <c r="B60" s="184" t="str">
        <f t="shared" ref="B60" si="141">A60</f>
        <v>1.4.1</v>
      </c>
      <c r="C60" s="347" t="s">
        <v>11</v>
      </c>
      <c r="D60" s="169" t="str">
        <f t="shared" ref="D60" si="142">C60</f>
        <v xml:space="preserve">         งานสถาปัตยกรรมและ MEP ภายในอาคาร </v>
      </c>
      <c r="E60" s="49">
        <f>SUM(E62:E71)</f>
        <v>69821579.855337858</v>
      </c>
      <c r="F60" s="50">
        <f t="shared" ref="F60" si="143">E60</f>
        <v>69821579.855337858</v>
      </c>
      <c r="G60" s="212" t="s">
        <v>86</v>
      </c>
      <c r="H60" s="220">
        <f>SUM(J60:CZ60)</f>
        <v>0</v>
      </c>
      <c r="I60" s="213">
        <f>I62+I64+I66+I68+I70</f>
        <v>69821579.855337873</v>
      </c>
      <c r="J60" s="258"/>
      <c r="K60" s="259"/>
      <c r="L60" s="259"/>
      <c r="M60" s="260"/>
      <c r="N60" s="261"/>
      <c r="O60" s="259"/>
      <c r="P60" s="259"/>
      <c r="Q60" s="260"/>
      <c r="R60" s="262"/>
      <c r="S60" s="259"/>
      <c r="T60" s="259"/>
      <c r="U60" s="260"/>
      <c r="V60" s="261"/>
      <c r="W60" s="259"/>
      <c r="X60" s="259"/>
      <c r="Y60" s="263"/>
      <c r="Z60" s="260"/>
      <c r="AA60" s="261"/>
      <c r="AB60" s="259"/>
      <c r="AC60" s="259"/>
      <c r="AD60" s="260"/>
      <c r="AE60" s="262"/>
      <c r="AF60" s="259"/>
      <c r="AG60" s="259"/>
      <c r="AH60" s="259"/>
      <c r="AI60" s="264"/>
      <c r="AJ60" s="261"/>
      <c r="AK60" s="259"/>
      <c r="AL60" s="259"/>
      <c r="AM60" s="260"/>
      <c r="AN60" s="261"/>
      <c r="AO60" s="259"/>
      <c r="AP60" s="259"/>
      <c r="AQ60" s="260"/>
      <c r="AR60" s="261"/>
      <c r="AS60" s="259"/>
      <c r="AT60" s="259"/>
      <c r="AU60" s="259"/>
      <c r="AV60" s="264"/>
      <c r="AW60" s="261"/>
      <c r="AX60" s="259"/>
      <c r="AY60" s="259"/>
      <c r="AZ60" s="263"/>
      <c r="BA60" s="261"/>
      <c r="BB60" s="259"/>
      <c r="BC60" s="259"/>
      <c r="BD60" s="260"/>
      <c r="BE60" s="261"/>
      <c r="BF60" s="259"/>
      <c r="BG60" s="259"/>
      <c r="BH60" s="259"/>
      <c r="BI60" s="264"/>
      <c r="BJ60" s="261"/>
      <c r="BK60" s="259"/>
      <c r="BL60" s="259"/>
      <c r="BM60" s="260"/>
      <c r="BN60" s="261"/>
      <c r="BO60" s="259"/>
      <c r="BP60" s="259"/>
      <c r="BQ60" s="260"/>
      <c r="BR60" s="261"/>
      <c r="BS60" s="259"/>
      <c r="BT60" s="259"/>
      <c r="BU60" s="263"/>
      <c r="BV60" s="264"/>
      <c r="BW60" s="261"/>
      <c r="BX60" s="259"/>
      <c r="BY60" s="259"/>
      <c r="BZ60" s="260"/>
      <c r="CA60" s="261"/>
      <c r="CB60" s="259"/>
      <c r="CC60" s="259"/>
      <c r="CD60" s="260"/>
      <c r="CE60" s="261"/>
      <c r="CF60" s="259"/>
      <c r="CG60" s="259"/>
      <c r="CH60" s="259"/>
      <c r="CI60" s="264"/>
      <c r="CJ60" s="261"/>
      <c r="CK60" s="259"/>
      <c r="CL60" s="259"/>
      <c r="CM60" s="260"/>
      <c r="CN60" s="257">
        <f t="shared" ref="CN60:CY60" si="144">SUMPRODUCT(($G$62:$G$71="P")*$F$62:$F$71*CN62:CN71)/$F$60</f>
        <v>0</v>
      </c>
      <c r="CO60" s="255">
        <f t="shared" si="144"/>
        <v>0</v>
      </c>
      <c r="CP60" s="255">
        <f t="shared" si="144"/>
        <v>0</v>
      </c>
      <c r="CQ60" s="256">
        <f t="shared" si="144"/>
        <v>0</v>
      </c>
      <c r="CR60" s="257">
        <f t="shared" si="144"/>
        <v>0</v>
      </c>
      <c r="CS60" s="255">
        <f t="shared" si="144"/>
        <v>0</v>
      </c>
      <c r="CT60" s="255">
        <f t="shared" si="144"/>
        <v>0</v>
      </c>
      <c r="CU60" s="256">
        <f t="shared" si="144"/>
        <v>0</v>
      </c>
      <c r="CV60" s="257">
        <f t="shared" si="144"/>
        <v>0</v>
      </c>
      <c r="CW60" s="255">
        <f t="shared" si="144"/>
        <v>0</v>
      </c>
      <c r="CX60" s="255">
        <f t="shared" si="144"/>
        <v>0</v>
      </c>
      <c r="CY60" s="256">
        <f t="shared" si="144"/>
        <v>0</v>
      </c>
      <c r="CZ60" s="105"/>
      <c r="DA60" s="102"/>
      <c r="DB60" s="102"/>
    </row>
    <row r="61" spans="1:106" ht="24.95" customHeight="1" x14ac:dyDescent="0.55000000000000004">
      <c r="A61" s="346"/>
      <c r="B61" s="184" t="str">
        <f t="shared" ref="B61" si="145">B60</f>
        <v>1.4.1</v>
      </c>
      <c r="C61" s="348"/>
      <c r="D61" s="169" t="str">
        <f t="shared" ref="D61" si="146">D60</f>
        <v xml:space="preserve">         งานสถาปัตยกรรมและ MEP ภายในอาคาร </v>
      </c>
      <c r="E61" s="49"/>
      <c r="F61" s="50">
        <f t="shared" ref="F61" si="147">E60</f>
        <v>69821579.855337858</v>
      </c>
      <c r="G61" s="214" t="s">
        <v>87</v>
      </c>
      <c r="H61" s="221">
        <f>SUM(J61:CZ61)</f>
        <v>0</v>
      </c>
      <c r="I61" s="215">
        <f>I63+I65+I67+I69+I71</f>
        <v>0</v>
      </c>
      <c r="J61" s="265"/>
      <c r="K61" s="266"/>
      <c r="L61" s="266"/>
      <c r="M61" s="267"/>
      <c r="N61" s="268"/>
      <c r="O61" s="266"/>
      <c r="P61" s="266"/>
      <c r="Q61" s="267"/>
      <c r="R61" s="269"/>
      <c r="S61" s="266"/>
      <c r="T61" s="266"/>
      <c r="U61" s="267"/>
      <c r="V61" s="268"/>
      <c r="W61" s="266"/>
      <c r="X61" s="266"/>
      <c r="Y61" s="270"/>
      <c r="Z61" s="267"/>
      <c r="AA61" s="268"/>
      <c r="AB61" s="266"/>
      <c r="AC61" s="266"/>
      <c r="AD61" s="267"/>
      <c r="AE61" s="269"/>
      <c r="AF61" s="266"/>
      <c r="AG61" s="266"/>
      <c r="AH61" s="266"/>
      <c r="AI61" s="271"/>
      <c r="AJ61" s="268"/>
      <c r="AK61" s="266"/>
      <c r="AL61" s="266"/>
      <c r="AM61" s="267"/>
      <c r="AN61" s="268"/>
      <c r="AO61" s="266"/>
      <c r="AP61" s="266"/>
      <c r="AQ61" s="267"/>
      <c r="AR61" s="268"/>
      <c r="AS61" s="266"/>
      <c r="AT61" s="266"/>
      <c r="AU61" s="266"/>
      <c r="AV61" s="271"/>
      <c r="AW61" s="268"/>
      <c r="AX61" s="266"/>
      <c r="AY61" s="266"/>
      <c r="AZ61" s="270"/>
      <c r="BA61" s="268"/>
      <c r="BB61" s="266"/>
      <c r="BC61" s="266"/>
      <c r="BD61" s="267"/>
      <c r="BE61" s="268"/>
      <c r="BF61" s="266"/>
      <c r="BG61" s="266"/>
      <c r="BH61" s="266"/>
      <c r="BI61" s="271"/>
      <c r="BJ61" s="268"/>
      <c r="BK61" s="266"/>
      <c r="BL61" s="266"/>
      <c r="BM61" s="267"/>
      <c r="BN61" s="268"/>
      <c r="BO61" s="266"/>
      <c r="BP61" s="266"/>
      <c r="BQ61" s="267"/>
      <c r="BR61" s="268"/>
      <c r="BS61" s="266"/>
      <c r="BT61" s="266"/>
      <c r="BU61" s="270"/>
      <c r="BV61" s="271"/>
      <c r="BW61" s="268"/>
      <c r="BX61" s="266"/>
      <c r="BY61" s="266"/>
      <c r="BZ61" s="267"/>
      <c r="CA61" s="268"/>
      <c r="CB61" s="266"/>
      <c r="CC61" s="266"/>
      <c r="CD61" s="267"/>
      <c r="CE61" s="268"/>
      <c r="CF61" s="266"/>
      <c r="CG61" s="266"/>
      <c r="CH61" s="266"/>
      <c r="CI61" s="271"/>
      <c r="CJ61" s="268"/>
      <c r="CK61" s="266"/>
      <c r="CL61" s="266"/>
      <c r="CM61" s="267"/>
      <c r="CN61" s="251">
        <f t="shared" ref="CN61:CY61" si="148">SUMPRODUCT(($G$62:$G$71="A")*$F$62:$F$71*CN62:CN71)/$F$60</f>
        <v>0</v>
      </c>
      <c r="CO61" s="249">
        <f t="shared" si="148"/>
        <v>0</v>
      </c>
      <c r="CP61" s="249">
        <f t="shared" si="148"/>
        <v>0</v>
      </c>
      <c r="CQ61" s="250">
        <f t="shared" si="148"/>
        <v>0</v>
      </c>
      <c r="CR61" s="251">
        <f t="shared" si="148"/>
        <v>0</v>
      </c>
      <c r="CS61" s="249">
        <f t="shared" si="148"/>
        <v>0</v>
      </c>
      <c r="CT61" s="249">
        <f t="shared" si="148"/>
        <v>0</v>
      </c>
      <c r="CU61" s="250">
        <f t="shared" si="148"/>
        <v>0</v>
      </c>
      <c r="CV61" s="251">
        <f t="shared" si="148"/>
        <v>0</v>
      </c>
      <c r="CW61" s="249">
        <f t="shared" si="148"/>
        <v>0</v>
      </c>
      <c r="CX61" s="249">
        <f t="shared" si="148"/>
        <v>0</v>
      </c>
      <c r="CY61" s="250">
        <f t="shared" si="148"/>
        <v>0</v>
      </c>
      <c r="CZ61" s="103"/>
      <c r="DA61" s="102"/>
      <c r="DB61" s="102"/>
    </row>
    <row r="62" spans="1:106" ht="24.95" customHeight="1" outlineLevel="1" x14ac:dyDescent="0.55000000000000004">
      <c r="A62" s="350" t="s">
        <v>108</v>
      </c>
      <c r="B62" s="185" t="str">
        <f t="shared" ref="B62" si="149">A62</f>
        <v>1.4.1.1</v>
      </c>
      <c r="C62" s="343" t="s">
        <v>5</v>
      </c>
      <c r="D62" s="166" t="str">
        <f t="shared" ref="D62" si="150">C62</f>
        <v xml:space="preserve">            Roof</v>
      </c>
      <c r="E62" s="47">
        <v>7011934.1726701101</v>
      </c>
      <c r="F62" s="48">
        <f t="shared" ref="F62" si="151">E62</f>
        <v>7011934.1726701101</v>
      </c>
      <c r="G62" s="104" t="s">
        <v>86</v>
      </c>
      <c r="H62" s="216">
        <f>SUM(J62:CZ62)</f>
        <v>0.99999999999999989</v>
      </c>
      <c r="I62" s="206">
        <f t="shared" si="12"/>
        <v>7011934.1726701092</v>
      </c>
      <c r="J62" s="258"/>
      <c r="K62" s="259"/>
      <c r="L62" s="259"/>
      <c r="M62" s="260"/>
      <c r="N62" s="261"/>
      <c r="O62" s="259"/>
      <c r="P62" s="259"/>
      <c r="Q62" s="260"/>
      <c r="R62" s="262"/>
      <c r="S62" s="259"/>
      <c r="T62" s="259"/>
      <c r="U62" s="260"/>
      <c r="V62" s="261"/>
      <c r="W62" s="259"/>
      <c r="X62" s="259"/>
      <c r="Y62" s="263"/>
      <c r="Z62" s="260"/>
      <c r="AA62" s="261"/>
      <c r="AB62" s="259"/>
      <c r="AC62" s="259"/>
      <c r="AD62" s="260"/>
      <c r="AE62" s="262"/>
      <c r="AF62" s="259"/>
      <c r="AG62" s="259"/>
      <c r="AH62" s="259"/>
      <c r="AI62" s="264"/>
      <c r="AJ62" s="261"/>
      <c r="AK62" s="277"/>
      <c r="AL62" s="277">
        <v>0.1</v>
      </c>
      <c r="AM62" s="284">
        <v>0.1</v>
      </c>
      <c r="AN62" s="285">
        <v>0.1</v>
      </c>
      <c r="AO62" s="277">
        <v>0.1</v>
      </c>
      <c r="AP62" s="277">
        <v>0.1</v>
      </c>
      <c r="AQ62" s="284">
        <v>0.1</v>
      </c>
      <c r="AR62" s="285">
        <v>0.1</v>
      </c>
      <c r="AS62" s="277">
        <v>0.1</v>
      </c>
      <c r="AT62" s="273">
        <v>0.1</v>
      </c>
      <c r="AU62" s="273">
        <v>0.1</v>
      </c>
      <c r="AV62" s="298"/>
      <c r="AW62" s="289"/>
      <c r="AX62" s="290"/>
      <c r="AY62" s="290"/>
      <c r="AZ62" s="299"/>
      <c r="BA62" s="289"/>
      <c r="BB62" s="290"/>
      <c r="BC62" s="277"/>
      <c r="BD62" s="284"/>
      <c r="BE62" s="261"/>
      <c r="BF62" s="259"/>
      <c r="BG62" s="259"/>
      <c r="BH62" s="259"/>
      <c r="BI62" s="264"/>
      <c r="BJ62" s="261"/>
      <c r="BK62" s="259"/>
      <c r="BL62" s="259"/>
      <c r="BM62" s="260"/>
      <c r="BN62" s="261"/>
      <c r="BO62" s="259"/>
      <c r="BP62" s="259"/>
      <c r="BQ62" s="260"/>
      <c r="BR62" s="261"/>
      <c r="BS62" s="259"/>
      <c r="BT62" s="259"/>
      <c r="BU62" s="263"/>
      <c r="BV62" s="264"/>
      <c r="BW62" s="261"/>
      <c r="BX62" s="259"/>
      <c r="BY62" s="259"/>
      <c r="BZ62" s="260"/>
      <c r="CA62" s="261"/>
      <c r="CB62" s="259"/>
      <c r="CC62" s="259"/>
      <c r="CD62" s="260"/>
      <c r="CE62" s="261"/>
      <c r="CF62" s="259"/>
      <c r="CG62" s="259"/>
      <c r="CH62" s="259"/>
      <c r="CI62" s="264"/>
      <c r="CJ62" s="261"/>
      <c r="CK62" s="259"/>
      <c r="CL62" s="259"/>
      <c r="CM62" s="260"/>
      <c r="CN62" s="257"/>
      <c r="CO62" s="255"/>
      <c r="CP62" s="255"/>
      <c r="CQ62" s="256"/>
      <c r="CR62" s="257"/>
      <c r="CS62" s="255"/>
      <c r="CT62" s="255"/>
      <c r="CU62" s="256"/>
      <c r="CV62" s="257"/>
      <c r="CW62" s="255"/>
      <c r="CX62" s="255"/>
      <c r="CY62" s="256"/>
      <c r="CZ62" s="105"/>
      <c r="DA62" s="102"/>
      <c r="DB62" s="102"/>
    </row>
    <row r="63" spans="1:106" ht="24.95" customHeight="1" outlineLevel="1" x14ac:dyDescent="0.55000000000000004">
      <c r="A63" s="351"/>
      <c r="B63" s="186" t="str">
        <f t="shared" ref="B63" si="152">B62</f>
        <v>1.4.1.1</v>
      </c>
      <c r="C63" s="343"/>
      <c r="D63" s="166" t="str">
        <f t="shared" ref="D63" si="153">D62</f>
        <v xml:space="preserve">            Roof</v>
      </c>
      <c r="E63" s="47"/>
      <c r="F63" s="48">
        <f t="shared" ref="F63" si="154">E62</f>
        <v>7011934.1726701101</v>
      </c>
      <c r="G63" s="106" t="s">
        <v>87</v>
      </c>
      <c r="H63" s="217">
        <f>SUM(J63:CZ63)</f>
        <v>0</v>
      </c>
      <c r="I63" s="207">
        <f t="shared" si="12"/>
        <v>0</v>
      </c>
      <c r="J63" s="265"/>
      <c r="K63" s="266"/>
      <c r="L63" s="266"/>
      <c r="M63" s="267"/>
      <c r="N63" s="268"/>
      <c r="O63" s="266"/>
      <c r="P63" s="266"/>
      <c r="Q63" s="267"/>
      <c r="R63" s="269"/>
      <c r="S63" s="266"/>
      <c r="T63" s="266"/>
      <c r="U63" s="267"/>
      <c r="V63" s="268"/>
      <c r="W63" s="266"/>
      <c r="X63" s="266"/>
      <c r="Y63" s="270"/>
      <c r="Z63" s="267"/>
      <c r="AA63" s="268"/>
      <c r="AB63" s="266"/>
      <c r="AC63" s="266"/>
      <c r="AD63" s="267"/>
      <c r="AE63" s="269"/>
      <c r="AF63" s="266"/>
      <c r="AG63" s="291"/>
      <c r="AH63" s="291"/>
      <c r="AI63" s="296"/>
      <c r="AJ63" s="293"/>
      <c r="AK63" s="291"/>
      <c r="AL63" s="291"/>
      <c r="AM63" s="292"/>
      <c r="AN63" s="293"/>
      <c r="AO63" s="291"/>
      <c r="AP63" s="291"/>
      <c r="AQ63" s="292"/>
      <c r="AR63" s="293"/>
      <c r="AS63" s="291"/>
      <c r="AT63" s="291"/>
      <c r="AU63" s="291"/>
      <c r="AV63" s="296"/>
      <c r="AW63" s="293"/>
      <c r="AX63" s="291"/>
      <c r="AY63" s="291"/>
      <c r="AZ63" s="295"/>
      <c r="BA63" s="293"/>
      <c r="BB63" s="291"/>
      <c r="BC63" s="291"/>
      <c r="BD63" s="292"/>
      <c r="BE63" s="268"/>
      <c r="BF63" s="266"/>
      <c r="BG63" s="266"/>
      <c r="BH63" s="266"/>
      <c r="BI63" s="271"/>
      <c r="BJ63" s="268"/>
      <c r="BK63" s="266"/>
      <c r="BL63" s="266"/>
      <c r="BM63" s="267"/>
      <c r="BN63" s="268"/>
      <c r="BO63" s="266"/>
      <c r="BP63" s="266"/>
      <c r="BQ63" s="267"/>
      <c r="BR63" s="268"/>
      <c r="BS63" s="266"/>
      <c r="BT63" s="266"/>
      <c r="BU63" s="270"/>
      <c r="BV63" s="271"/>
      <c r="BW63" s="268"/>
      <c r="BX63" s="266"/>
      <c r="BY63" s="266"/>
      <c r="BZ63" s="267"/>
      <c r="CA63" s="268"/>
      <c r="CB63" s="266"/>
      <c r="CC63" s="266"/>
      <c r="CD63" s="267"/>
      <c r="CE63" s="268"/>
      <c r="CF63" s="266"/>
      <c r="CG63" s="266"/>
      <c r="CH63" s="266"/>
      <c r="CI63" s="271"/>
      <c r="CJ63" s="268"/>
      <c r="CK63" s="266"/>
      <c r="CL63" s="266"/>
      <c r="CM63" s="267"/>
      <c r="CN63" s="251"/>
      <c r="CO63" s="249"/>
      <c r="CP63" s="249"/>
      <c r="CQ63" s="250"/>
      <c r="CR63" s="251"/>
      <c r="CS63" s="249"/>
      <c r="CT63" s="249"/>
      <c r="CU63" s="250"/>
      <c r="CV63" s="251"/>
      <c r="CW63" s="249"/>
      <c r="CX63" s="249"/>
      <c r="CY63" s="250"/>
      <c r="CZ63" s="103"/>
      <c r="DA63" s="102"/>
      <c r="DB63" s="102"/>
    </row>
    <row r="64" spans="1:106" ht="24.95" customHeight="1" outlineLevel="1" x14ac:dyDescent="0.55000000000000004">
      <c r="A64" s="350" t="s">
        <v>109</v>
      </c>
      <c r="B64" s="185" t="str">
        <f t="shared" ref="B64" si="155">A64</f>
        <v>1.4.1.2</v>
      </c>
      <c r="C64" s="343" t="s">
        <v>4</v>
      </c>
      <c r="D64" s="166" t="str">
        <f t="shared" ref="D64" si="156">C64</f>
        <v xml:space="preserve">            3rd Floor</v>
      </c>
      <c r="E64" s="47">
        <v>18765198.894683938</v>
      </c>
      <c r="F64" s="48">
        <f t="shared" ref="F64" si="157">E64</f>
        <v>18765198.894683938</v>
      </c>
      <c r="G64" s="104" t="s">
        <v>86</v>
      </c>
      <c r="H64" s="216">
        <f>SUM(J64:CZ64)</f>
        <v>1.0000000000000002</v>
      </c>
      <c r="I64" s="206">
        <f t="shared" si="12"/>
        <v>18765198.894683942</v>
      </c>
      <c r="J64" s="258"/>
      <c r="K64" s="259"/>
      <c r="L64" s="259"/>
      <c r="M64" s="260"/>
      <c r="N64" s="261"/>
      <c r="O64" s="259"/>
      <c r="P64" s="259"/>
      <c r="Q64" s="260"/>
      <c r="R64" s="262"/>
      <c r="S64" s="259"/>
      <c r="T64" s="259"/>
      <c r="U64" s="260"/>
      <c r="V64" s="285"/>
      <c r="W64" s="277"/>
      <c r="X64" s="277"/>
      <c r="Y64" s="286">
        <v>0.05</v>
      </c>
      <c r="Z64" s="284">
        <v>0.05</v>
      </c>
      <c r="AA64" s="285">
        <v>0.05</v>
      </c>
      <c r="AB64" s="277">
        <v>0.05</v>
      </c>
      <c r="AC64" s="277">
        <v>0.05</v>
      </c>
      <c r="AD64" s="284">
        <v>0.1</v>
      </c>
      <c r="AE64" s="283">
        <v>0.1</v>
      </c>
      <c r="AF64" s="277">
        <v>0.1</v>
      </c>
      <c r="AG64" s="277">
        <v>0.1</v>
      </c>
      <c r="AH64" s="277">
        <v>0.05</v>
      </c>
      <c r="AI64" s="278">
        <v>0.05</v>
      </c>
      <c r="AJ64" s="285">
        <v>0.05</v>
      </c>
      <c r="AK64" s="277">
        <v>0.05</v>
      </c>
      <c r="AL64" s="277">
        <v>0.05</v>
      </c>
      <c r="AM64" s="284">
        <v>0.05</v>
      </c>
      <c r="AN64" s="285">
        <v>0.05</v>
      </c>
      <c r="AO64" s="277"/>
      <c r="AP64" s="277"/>
      <c r="AQ64" s="284"/>
      <c r="AR64" s="261"/>
      <c r="AS64" s="259"/>
      <c r="AT64" s="259"/>
      <c r="AU64" s="259"/>
      <c r="AV64" s="264"/>
      <c r="AW64" s="261"/>
      <c r="AX64" s="259"/>
      <c r="AY64" s="259"/>
      <c r="AZ64" s="263"/>
      <c r="BA64" s="261"/>
      <c r="BB64" s="259"/>
      <c r="BC64" s="280"/>
      <c r="BD64" s="281"/>
      <c r="BE64" s="279"/>
      <c r="BF64" s="280"/>
      <c r="BG64" s="280"/>
      <c r="BH64" s="280"/>
      <c r="BI64" s="287"/>
      <c r="BJ64" s="279"/>
      <c r="BK64" s="280"/>
      <c r="BL64" s="280"/>
      <c r="BM64" s="281"/>
      <c r="BN64" s="279"/>
      <c r="BO64" s="280"/>
      <c r="BP64" s="259"/>
      <c r="BQ64" s="260"/>
      <c r="BR64" s="261"/>
      <c r="BS64" s="259"/>
      <c r="BT64" s="259"/>
      <c r="BU64" s="263"/>
      <c r="BV64" s="264"/>
      <c r="BW64" s="261"/>
      <c r="BX64" s="259"/>
      <c r="BY64" s="259"/>
      <c r="BZ64" s="260"/>
      <c r="CA64" s="261"/>
      <c r="CB64" s="259"/>
      <c r="CC64" s="259"/>
      <c r="CD64" s="260"/>
      <c r="CE64" s="261"/>
      <c r="CF64" s="259"/>
      <c r="CG64" s="259"/>
      <c r="CH64" s="259"/>
      <c r="CI64" s="264"/>
      <c r="CJ64" s="261"/>
      <c r="CK64" s="259"/>
      <c r="CL64" s="259"/>
      <c r="CM64" s="260"/>
      <c r="CN64" s="257"/>
      <c r="CO64" s="255"/>
      <c r="CP64" s="255"/>
      <c r="CQ64" s="256"/>
      <c r="CR64" s="257"/>
      <c r="CS64" s="255"/>
      <c r="CT64" s="255"/>
      <c r="CU64" s="256"/>
      <c r="CV64" s="257"/>
      <c r="CW64" s="255"/>
      <c r="CX64" s="255"/>
      <c r="CY64" s="256"/>
      <c r="CZ64" s="105"/>
      <c r="DA64" s="102"/>
      <c r="DB64" s="102"/>
    </row>
    <row r="65" spans="1:106" ht="24.95" customHeight="1" outlineLevel="1" x14ac:dyDescent="0.55000000000000004">
      <c r="A65" s="351"/>
      <c r="B65" s="186" t="str">
        <f t="shared" ref="B65" si="158">B64</f>
        <v>1.4.1.2</v>
      </c>
      <c r="C65" s="343"/>
      <c r="D65" s="166" t="str">
        <f t="shared" ref="D65" si="159">D64</f>
        <v xml:space="preserve">            3rd Floor</v>
      </c>
      <c r="E65" s="47"/>
      <c r="F65" s="48">
        <f t="shared" ref="F65" si="160">E64</f>
        <v>18765198.894683938</v>
      </c>
      <c r="G65" s="106" t="s">
        <v>87</v>
      </c>
      <c r="H65" s="217">
        <f>SUM(J65:CZ65)</f>
        <v>0</v>
      </c>
      <c r="I65" s="207">
        <f t="shared" si="12"/>
        <v>0</v>
      </c>
      <c r="J65" s="265"/>
      <c r="K65" s="266"/>
      <c r="L65" s="266"/>
      <c r="M65" s="267"/>
      <c r="N65" s="268"/>
      <c r="O65" s="266"/>
      <c r="P65" s="266"/>
      <c r="Q65" s="267"/>
      <c r="R65" s="269"/>
      <c r="S65" s="266"/>
      <c r="T65" s="291"/>
      <c r="U65" s="267"/>
      <c r="V65" s="268"/>
      <c r="W65" s="266"/>
      <c r="X65" s="266"/>
      <c r="Y65" s="270"/>
      <c r="Z65" s="267"/>
      <c r="AA65" s="268"/>
      <c r="AB65" s="266"/>
      <c r="AC65" s="266"/>
      <c r="AD65" s="267"/>
      <c r="AE65" s="269"/>
      <c r="AF65" s="266"/>
      <c r="AG65" s="266"/>
      <c r="AH65" s="266"/>
      <c r="AI65" s="271"/>
      <c r="AJ65" s="268"/>
      <c r="AK65" s="266"/>
      <c r="AL65" s="266"/>
      <c r="AM65" s="267"/>
      <c r="AN65" s="268"/>
      <c r="AO65" s="266"/>
      <c r="AP65" s="266"/>
      <c r="AQ65" s="267"/>
      <c r="AR65" s="268"/>
      <c r="AS65" s="266"/>
      <c r="AT65" s="266"/>
      <c r="AU65" s="266"/>
      <c r="AV65" s="271"/>
      <c r="AW65" s="268"/>
      <c r="AX65" s="266"/>
      <c r="AY65" s="266"/>
      <c r="AZ65" s="270"/>
      <c r="BA65" s="268"/>
      <c r="BB65" s="266"/>
      <c r="BC65" s="266"/>
      <c r="BD65" s="267"/>
      <c r="BE65" s="268"/>
      <c r="BF65" s="266"/>
      <c r="BG65" s="266"/>
      <c r="BH65" s="266"/>
      <c r="BI65" s="271"/>
      <c r="BJ65" s="268"/>
      <c r="BK65" s="266"/>
      <c r="BL65" s="266"/>
      <c r="BM65" s="267"/>
      <c r="BN65" s="268"/>
      <c r="BO65" s="266"/>
      <c r="BP65" s="266"/>
      <c r="BQ65" s="267"/>
      <c r="BR65" s="268"/>
      <c r="BS65" s="266"/>
      <c r="BT65" s="266"/>
      <c r="BU65" s="270"/>
      <c r="BV65" s="271"/>
      <c r="BW65" s="268"/>
      <c r="BX65" s="266"/>
      <c r="BY65" s="266"/>
      <c r="BZ65" s="267"/>
      <c r="CA65" s="268"/>
      <c r="CB65" s="266"/>
      <c r="CC65" s="266"/>
      <c r="CD65" s="267"/>
      <c r="CE65" s="268"/>
      <c r="CF65" s="266"/>
      <c r="CG65" s="266"/>
      <c r="CH65" s="266"/>
      <c r="CI65" s="271"/>
      <c r="CJ65" s="268"/>
      <c r="CK65" s="266"/>
      <c r="CL65" s="266"/>
      <c r="CM65" s="267"/>
      <c r="CN65" s="251"/>
      <c r="CO65" s="249"/>
      <c r="CP65" s="249"/>
      <c r="CQ65" s="250"/>
      <c r="CR65" s="251"/>
      <c r="CS65" s="249"/>
      <c r="CT65" s="249"/>
      <c r="CU65" s="250"/>
      <c r="CV65" s="251"/>
      <c r="CW65" s="249"/>
      <c r="CX65" s="249"/>
      <c r="CY65" s="250"/>
      <c r="CZ65" s="103"/>
      <c r="DA65" s="102"/>
      <c r="DB65" s="102"/>
    </row>
    <row r="66" spans="1:106" ht="24.95" customHeight="1" outlineLevel="1" x14ac:dyDescent="0.55000000000000004">
      <c r="A66" s="350" t="s">
        <v>110</v>
      </c>
      <c r="B66" s="185" t="str">
        <f t="shared" ref="B66" si="161">A66</f>
        <v>1.4.1.3</v>
      </c>
      <c r="C66" s="343" t="s">
        <v>3</v>
      </c>
      <c r="D66" s="166" t="str">
        <f t="shared" ref="D66" si="162">C66</f>
        <v xml:space="preserve">            2nd Floor</v>
      </c>
      <c r="E66" s="47">
        <v>17875972.6833519</v>
      </c>
      <c r="F66" s="48">
        <f t="shared" ref="F66" si="163">E66</f>
        <v>17875972.6833519</v>
      </c>
      <c r="G66" s="104" t="s">
        <v>86</v>
      </c>
      <c r="H66" s="216">
        <f>SUM(J66:CZ66)</f>
        <v>1</v>
      </c>
      <c r="I66" s="206">
        <f t="shared" si="12"/>
        <v>17875972.6833519</v>
      </c>
      <c r="J66" s="258"/>
      <c r="K66" s="259"/>
      <c r="L66" s="259"/>
      <c r="M66" s="260"/>
      <c r="N66" s="261"/>
      <c r="O66" s="259"/>
      <c r="P66" s="259"/>
      <c r="Q66" s="260"/>
      <c r="R66" s="262"/>
      <c r="S66" s="259"/>
      <c r="T66" s="259"/>
      <c r="U66" s="260"/>
      <c r="V66" s="261"/>
      <c r="W66" s="259"/>
      <c r="X66" s="259"/>
      <c r="Y66" s="263"/>
      <c r="Z66" s="260"/>
      <c r="AA66" s="285"/>
      <c r="AB66" s="277"/>
      <c r="AC66" s="277"/>
      <c r="AD66" s="284">
        <v>0.03</v>
      </c>
      <c r="AE66" s="283">
        <v>0.05</v>
      </c>
      <c r="AF66" s="277">
        <v>0.05</v>
      </c>
      <c r="AG66" s="277">
        <v>0.05</v>
      </c>
      <c r="AH66" s="277">
        <v>0.05</v>
      </c>
      <c r="AI66" s="278">
        <v>0.05</v>
      </c>
      <c r="AJ66" s="285">
        <v>0.05</v>
      </c>
      <c r="AK66" s="277">
        <v>0.05</v>
      </c>
      <c r="AL66" s="277">
        <v>0.05</v>
      </c>
      <c r="AM66" s="284">
        <v>0.05</v>
      </c>
      <c r="AN66" s="285">
        <v>0.08</v>
      </c>
      <c r="AO66" s="277">
        <v>0.08</v>
      </c>
      <c r="AP66" s="277">
        <v>0.08</v>
      </c>
      <c r="AQ66" s="284">
        <v>0.08</v>
      </c>
      <c r="AR66" s="285">
        <v>0.05</v>
      </c>
      <c r="AS66" s="277">
        <v>0.03</v>
      </c>
      <c r="AT66" s="277">
        <v>0.03</v>
      </c>
      <c r="AU66" s="277">
        <v>0.03</v>
      </c>
      <c r="AV66" s="278">
        <v>0.03</v>
      </c>
      <c r="AW66" s="285">
        <v>0.03</v>
      </c>
      <c r="AX66" s="277"/>
      <c r="AY66" s="277"/>
      <c r="AZ66" s="286"/>
      <c r="BA66" s="279"/>
      <c r="BB66" s="280"/>
      <c r="BC66" s="280"/>
      <c r="BD66" s="281"/>
      <c r="BE66" s="279"/>
      <c r="BF66" s="280"/>
      <c r="BG66" s="280"/>
      <c r="BH66" s="280"/>
      <c r="BI66" s="287"/>
      <c r="BJ66" s="279"/>
      <c r="BK66" s="280"/>
      <c r="BL66" s="280"/>
      <c r="BM66" s="281"/>
      <c r="BN66" s="261"/>
      <c r="BO66" s="259"/>
      <c r="BP66" s="259"/>
      <c r="BQ66" s="260"/>
      <c r="BR66" s="261"/>
      <c r="BS66" s="259"/>
      <c r="BT66" s="259"/>
      <c r="BU66" s="263"/>
      <c r="BV66" s="264"/>
      <c r="BW66" s="261"/>
      <c r="BX66" s="259"/>
      <c r="BY66" s="259"/>
      <c r="BZ66" s="260"/>
      <c r="CA66" s="261"/>
      <c r="CB66" s="259"/>
      <c r="CC66" s="259"/>
      <c r="CD66" s="260"/>
      <c r="CE66" s="261"/>
      <c r="CF66" s="259"/>
      <c r="CG66" s="259"/>
      <c r="CH66" s="259"/>
      <c r="CI66" s="264"/>
      <c r="CJ66" s="261"/>
      <c r="CK66" s="259"/>
      <c r="CL66" s="259"/>
      <c r="CM66" s="260"/>
      <c r="CN66" s="257"/>
      <c r="CO66" s="255"/>
      <c r="CP66" s="255"/>
      <c r="CQ66" s="256"/>
      <c r="CR66" s="257"/>
      <c r="CS66" s="255"/>
      <c r="CT66" s="255"/>
      <c r="CU66" s="256"/>
      <c r="CV66" s="257"/>
      <c r="CW66" s="255"/>
      <c r="CX66" s="255"/>
      <c r="CY66" s="256"/>
      <c r="CZ66" s="105"/>
      <c r="DA66" s="102"/>
      <c r="DB66" s="102"/>
    </row>
    <row r="67" spans="1:106" ht="24.95" customHeight="1" outlineLevel="1" x14ac:dyDescent="0.55000000000000004">
      <c r="A67" s="351"/>
      <c r="B67" s="186" t="str">
        <f t="shared" ref="B67" si="164">B66</f>
        <v>1.4.1.3</v>
      </c>
      <c r="C67" s="343"/>
      <c r="D67" s="166" t="str">
        <f t="shared" ref="D67" si="165">D66</f>
        <v xml:space="preserve">            2nd Floor</v>
      </c>
      <c r="E67" s="47"/>
      <c r="F67" s="48">
        <f t="shared" ref="F67" si="166">E66</f>
        <v>17875972.6833519</v>
      </c>
      <c r="G67" s="106" t="s">
        <v>87</v>
      </c>
      <c r="H67" s="217">
        <f>SUM(J67:CZ67)</f>
        <v>0</v>
      </c>
      <c r="I67" s="207">
        <f t="shared" si="12"/>
        <v>0</v>
      </c>
      <c r="J67" s="265"/>
      <c r="K67" s="266"/>
      <c r="L67" s="266"/>
      <c r="M67" s="267"/>
      <c r="N67" s="268"/>
      <c r="O67" s="266"/>
      <c r="P67" s="266"/>
      <c r="Q67" s="267"/>
      <c r="R67" s="269"/>
      <c r="S67" s="266"/>
      <c r="T67" s="266"/>
      <c r="U67" s="267"/>
      <c r="V67" s="268"/>
      <c r="W67" s="266"/>
      <c r="X67" s="282"/>
      <c r="Y67" s="270"/>
      <c r="Z67" s="267"/>
      <c r="AA67" s="293"/>
      <c r="AB67" s="291"/>
      <c r="AC67" s="291"/>
      <c r="AD67" s="292"/>
      <c r="AE67" s="294"/>
      <c r="AF67" s="291"/>
      <c r="AG67" s="291"/>
      <c r="AH67" s="291"/>
      <c r="AI67" s="296"/>
      <c r="AJ67" s="293"/>
      <c r="AK67" s="291"/>
      <c r="AL67" s="291"/>
      <c r="AM67" s="292"/>
      <c r="AN67" s="293"/>
      <c r="AO67" s="291"/>
      <c r="AP67" s="291"/>
      <c r="AQ67" s="292"/>
      <c r="AR67" s="293"/>
      <c r="AS67" s="291"/>
      <c r="AT67" s="291"/>
      <c r="AU67" s="291"/>
      <c r="AV67" s="296"/>
      <c r="AW67" s="293"/>
      <c r="AX67" s="291"/>
      <c r="AY67" s="291"/>
      <c r="AZ67" s="295"/>
      <c r="BA67" s="268"/>
      <c r="BB67" s="266"/>
      <c r="BC67" s="266"/>
      <c r="BD67" s="267"/>
      <c r="BE67" s="268"/>
      <c r="BF67" s="266"/>
      <c r="BG67" s="266"/>
      <c r="BH67" s="266"/>
      <c r="BI67" s="271"/>
      <c r="BJ67" s="268"/>
      <c r="BK67" s="266"/>
      <c r="BL67" s="266"/>
      <c r="BM67" s="267"/>
      <c r="BN67" s="268"/>
      <c r="BO67" s="266"/>
      <c r="BP67" s="266"/>
      <c r="BQ67" s="267"/>
      <c r="BR67" s="268"/>
      <c r="BS67" s="266"/>
      <c r="BT67" s="266"/>
      <c r="BU67" s="270"/>
      <c r="BV67" s="271"/>
      <c r="BW67" s="268"/>
      <c r="BX67" s="266"/>
      <c r="BY67" s="266"/>
      <c r="BZ67" s="267"/>
      <c r="CA67" s="268"/>
      <c r="CB67" s="266"/>
      <c r="CC67" s="266"/>
      <c r="CD67" s="267"/>
      <c r="CE67" s="268"/>
      <c r="CF67" s="266"/>
      <c r="CG67" s="266"/>
      <c r="CH67" s="266"/>
      <c r="CI67" s="271"/>
      <c r="CJ67" s="268"/>
      <c r="CK67" s="266"/>
      <c r="CL67" s="266"/>
      <c r="CM67" s="267"/>
      <c r="CN67" s="251"/>
      <c r="CO67" s="249"/>
      <c r="CP67" s="249"/>
      <c r="CQ67" s="250"/>
      <c r="CR67" s="251"/>
      <c r="CS67" s="249"/>
      <c r="CT67" s="249"/>
      <c r="CU67" s="250"/>
      <c r="CV67" s="251"/>
      <c r="CW67" s="249"/>
      <c r="CX67" s="249"/>
      <c r="CY67" s="250"/>
      <c r="CZ67" s="103"/>
      <c r="DA67" s="102"/>
      <c r="DB67" s="102"/>
    </row>
    <row r="68" spans="1:106" ht="24.95" customHeight="1" outlineLevel="1" x14ac:dyDescent="0.55000000000000004">
      <c r="A68" s="350" t="s">
        <v>111</v>
      </c>
      <c r="B68" s="185" t="str">
        <f t="shared" ref="B68" si="167">A68</f>
        <v>1.4.1.4</v>
      </c>
      <c r="C68" s="343" t="s">
        <v>33</v>
      </c>
      <c r="D68" s="166" t="str">
        <f t="shared" ref="D68" si="168">C68</f>
        <v xml:space="preserve">            1M Floor</v>
      </c>
      <c r="E68" s="47">
        <v>6538779.013872372</v>
      </c>
      <c r="F68" s="48">
        <f t="shared" ref="F68" si="169">E68</f>
        <v>6538779.013872372</v>
      </c>
      <c r="G68" s="104" t="s">
        <v>86</v>
      </c>
      <c r="H68" s="216">
        <f>SUM(J68:CZ68)</f>
        <v>1</v>
      </c>
      <c r="I68" s="206">
        <f t="shared" si="12"/>
        <v>6538779.013872372</v>
      </c>
      <c r="J68" s="258"/>
      <c r="K68" s="259"/>
      <c r="L68" s="259"/>
      <c r="M68" s="260"/>
      <c r="N68" s="261"/>
      <c r="O68" s="259"/>
      <c r="P68" s="259"/>
      <c r="Q68" s="260"/>
      <c r="R68" s="262"/>
      <c r="S68" s="259"/>
      <c r="T68" s="259"/>
      <c r="U68" s="260"/>
      <c r="V68" s="261"/>
      <c r="W68" s="259"/>
      <c r="X68" s="259"/>
      <c r="Y68" s="263"/>
      <c r="Z68" s="260"/>
      <c r="AA68" s="285"/>
      <c r="AB68" s="277"/>
      <c r="AC68" s="277">
        <v>0.04</v>
      </c>
      <c r="AD68" s="284">
        <v>0.04</v>
      </c>
      <c r="AE68" s="283">
        <v>0.05</v>
      </c>
      <c r="AF68" s="277">
        <v>0.05</v>
      </c>
      <c r="AG68" s="277">
        <v>0.08</v>
      </c>
      <c r="AH68" s="277">
        <v>0.08</v>
      </c>
      <c r="AI68" s="278">
        <v>0.08</v>
      </c>
      <c r="AJ68" s="285">
        <v>0.1</v>
      </c>
      <c r="AK68" s="277">
        <v>0.1</v>
      </c>
      <c r="AL68" s="277">
        <v>0.1</v>
      </c>
      <c r="AM68" s="284">
        <v>0.1</v>
      </c>
      <c r="AN68" s="285">
        <v>0.06</v>
      </c>
      <c r="AO68" s="277">
        <v>0.04</v>
      </c>
      <c r="AP68" s="277">
        <v>0.04</v>
      </c>
      <c r="AQ68" s="284">
        <v>0.04</v>
      </c>
      <c r="AR68" s="261"/>
      <c r="AS68" s="259"/>
      <c r="AT68" s="259"/>
      <c r="AU68" s="259"/>
      <c r="AV68" s="264"/>
      <c r="AW68" s="261"/>
      <c r="AX68" s="259"/>
      <c r="AY68" s="280"/>
      <c r="AZ68" s="297"/>
      <c r="BA68" s="279"/>
      <c r="BB68" s="280"/>
      <c r="BC68" s="280"/>
      <c r="BD68" s="281"/>
      <c r="BE68" s="279"/>
      <c r="BF68" s="280"/>
      <c r="BG68" s="280"/>
      <c r="BH68" s="280"/>
      <c r="BI68" s="287"/>
      <c r="BJ68" s="279"/>
      <c r="BK68" s="280"/>
      <c r="BL68" s="259"/>
      <c r="BM68" s="260"/>
      <c r="BN68" s="261"/>
      <c r="BO68" s="259"/>
      <c r="BP68" s="259"/>
      <c r="BQ68" s="260"/>
      <c r="BR68" s="261"/>
      <c r="BS68" s="259"/>
      <c r="BT68" s="259"/>
      <c r="BU68" s="263"/>
      <c r="BV68" s="264"/>
      <c r="BW68" s="261"/>
      <c r="BX68" s="259"/>
      <c r="BY68" s="259"/>
      <c r="BZ68" s="260"/>
      <c r="CA68" s="261"/>
      <c r="CB68" s="259"/>
      <c r="CC68" s="259"/>
      <c r="CD68" s="260"/>
      <c r="CE68" s="261"/>
      <c r="CF68" s="259"/>
      <c r="CG68" s="259"/>
      <c r="CH68" s="259"/>
      <c r="CI68" s="264"/>
      <c r="CJ68" s="261"/>
      <c r="CK68" s="259"/>
      <c r="CL68" s="259"/>
      <c r="CM68" s="260"/>
      <c r="CN68" s="257"/>
      <c r="CO68" s="255"/>
      <c r="CP68" s="255"/>
      <c r="CQ68" s="256"/>
      <c r="CR68" s="257"/>
      <c r="CS68" s="255"/>
      <c r="CT68" s="255"/>
      <c r="CU68" s="256"/>
      <c r="CV68" s="257"/>
      <c r="CW68" s="255"/>
      <c r="CX68" s="255"/>
      <c r="CY68" s="256"/>
      <c r="CZ68" s="105"/>
      <c r="DA68" s="102"/>
      <c r="DB68" s="102"/>
    </row>
    <row r="69" spans="1:106" ht="24.95" customHeight="1" outlineLevel="1" x14ac:dyDescent="0.55000000000000004">
      <c r="A69" s="351"/>
      <c r="B69" s="186" t="str">
        <f t="shared" ref="B69" si="170">B68</f>
        <v>1.4.1.4</v>
      </c>
      <c r="C69" s="343"/>
      <c r="D69" s="166" t="str">
        <f t="shared" ref="D69" si="171">D68</f>
        <v xml:space="preserve">            1M Floor</v>
      </c>
      <c r="E69" s="47"/>
      <c r="F69" s="48">
        <f t="shared" ref="F69" si="172">E68</f>
        <v>6538779.013872372</v>
      </c>
      <c r="G69" s="106" t="s">
        <v>87</v>
      </c>
      <c r="H69" s="217">
        <f>SUM(J69:CZ69)</f>
        <v>0</v>
      </c>
      <c r="I69" s="207">
        <f t="shared" si="12"/>
        <v>0</v>
      </c>
      <c r="J69" s="265"/>
      <c r="K69" s="266"/>
      <c r="L69" s="266"/>
      <c r="M69" s="267"/>
      <c r="N69" s="268"/>
      <c r="O69" s="266"/>
      <c r="P69" s="266"/>
      <c r="Q69" s="267"/>
      <c r="R69" s="269"/>
      <c r="S69" s="266"/>
      <c r="T69" s="266"/>
      <c r="U69" s="267"/>
      <c r="V69" s="268"/>
      <c r="W69" s="266"/>
      <c r="X69" s="282"/>
      <c r="Y69" s="270"/>
      <c r="Z69" s="267"/>
      <c r="AA69" s="293"/>
      <c r="AB69" s="291"/>
      <c r="AC69" s="291"/>
      <c r="AD69" s="292"/>
      <c r="AE69" s="294"/>
      <c r="AF69" s="291"/>
      <c r="AG69" s="291"/>
      <c r="AH69" s="291"/>
      <c r="AI69" s="296"/>
      <c r="AJ69" s="293"/>
      <c r="AK69" s="291"/>
      <c r="AL69" s="291"/>
      <c r="AM69" s="292"/>
      <c r="AN69" s="293"/>
      <c r="AO69" s="291"/>
      <c r="AP69" s="291"/>
      <c r="AQ69" s="292"/>
      <c r="AR69" s="268"/>
      <c r="AS69" s="266"/>
      <c r="AT69" s="266"/>
      <c r="AU69" s="266"/>
      <c r="AV69" s="271"/>
      <c r="AW69" s="268"/>
      <c r="AX69" s="266"/>
      <c r="AY69" s="266"/>
      <c r="AZ69" s="270"/>
      <c r="BA69" s="268"/>
      <c r="BB69" s="266"/>
      <c r="BC69" s="266"/>
      <c r="BD69" s="267"/>
      <c r="BE69" s="268"/>
      <c r="BF69" s="266"/>
      <c r="BG69" s="266"/>
      <c r="BH69" s="266"/>
      <c r="BI69" s="271"/>
      <c r="BJ69" s="268"/>
      <c r="BK69" s="266"/>
      <c r="BL69" s="266"/>
      <c r="BM69" s="267"/>
      <c r="BN69" s="268"/>
      <c r="BO69" s="266"/>
      <c r="BP69" s="266"/>
      <c r="BQ69" s="267"/>
      <c r="BR69" s="268"/>
      <c r="BS69" s="266"/>
      <c r="BT69" s="266"/>
      <c r="BU69" s="270"/>
      <c r="BV69" s="271"/>
      <c r="BW69" s="268"/>
      <c r="BX69" s="266"/>
      <c r="BY69" s="266"/>
      <c r="BZ69" s="267"/>
      <c r="CA69" s="268"/>
      <c r="CB69" s="266"/>
      <c r="CC69" s="266"/>
      <c r="CD69" s="267"/>
      <c r="CE69" s="268"/>
      <c r="CF69" s="266"/>
      <c r="CG69" s="266"/>
      <c r="CH69" s="266"/>
      <c r="CI69" s="271"/>
      <c r="CJ69" s="268"/>
      <c r="CK69" s="266"/>
      <c r="CL69" s="266"/>
      <c r="CM69" s="267"/>
      <c r="CN69" s="251"/>
      <c r="CO69" s="249"/>
      <c r="CP69" s="249"/>
      <c r="CQ69" s="250"/>
      <c r="CR69" s="251"/>
      <c r="CS69" s="249"/>
      <c r="CT69" s="249"/>
      <c r="CU69" s="250"/>
      <c r="CV69" s="251"/>
      <c r="CW69" s="249"/>
      <c r="CX69" s="249"/>
      <c r="CY69" s="250"/>
      <c r="CZ69" s="103"/>
      <c r="DA69" s="102"/>
      <c r="DB69" s="102"/>
    </row>
    <row r="70" spans="1:106" ht="24.95" customHeight="1" outlineLevel="1" x14ac:dyDescent="0.55000000000000004">
      <c r="A70" s="350" t="s">
        <v>112</v>
      </c>
      <c r="B70" s="185" t="str">
        <f t="shared" ref="B70" si="173">A70</f>
        <v>1.4.1.5</v>
      </c>
      <c r="C70" s="343" t="s">
        <v>2</v>
      </c>
      <c r="D70" s="166" t="str">
        <f t="shared" ref="D70" si="174">C70</f>
        <v xml:space="preserve">            1st Floor</v>
      </c>
      <c r="E70" s="47">
        <v>19629695.090759546</v>
      </c>
      <c r="F70" s="48">
        <f t="shared" ref="F70" si="175">E70</f>
        <v>19629695.090759546</v>
      </c>
      <c r="G70" s="104" t="s">
        <v>86</v>
      </c>
      <c r="H70" s="216">
        <f>SUM(J70:CZ70)</f>
        <v>1.0000000000000002</v>
      </c>
      <c r="I70" s="206">
        <f t="shared" si="12"/>
        <v>19629695.090759549</v>
      </c>
      <c r="J70" s="258"/>
      <c r="K70" s="259"/>
      <c r="L70" s="259"/>
      <c r="M70" s="260"/>
      <c r="N70" s="261"/>
      <c r="O70" s="259"/>
      <c r="P70" s="259"/>
      <c r="Q70" s="260"/>
      <c r="R70" s="262"/>
      <c r="S70" s="259"/>
      <c r="T70" s="259"/>
      <c r="U70" s="260"/>
      <c r="V70" s="261"/>
      <c r="W70" s="259"/>
      <c r="X70" s="259"/>
      <c r="Y70" s="263"/>
      <c r="Z70" s="260"/>
      <c r="AA70" s="285"/>
      <c r="AB70" s="277">
        <v>0.02</v>
      </c>
      <c r="AC70" s="277">
        <v>0.02</v>
      </c>
      <c r="AD70" s="284">
        <v>0.04</v>
      </c>
      <c r="AE70" s="283">
        <v>0.04</v>
      </c>
      <c r="AF70" s="277">
        <v>0.04</v>
      </c>
      <c r="AG70" s="277">
        <v>0.04</v>
      </c>
      <c r="AH70" s="277">
        <v>0.04</v>
      </c>
      <c r="AI70" s="278">
        <v>0.04</v>
      </c>
      <c r="AJ70" s="285">
        <v>0.04</v>
      </c>
      <c r="AK70" s="277">
        <v>0.04</v>
      </c>
      <c r="AL70" s="277">
        <v>0.04</v>
      </c>
      <c r="AM70" s="284">
        <v>0.04</v>
      </c>
      <c r="AN70" s="285">
        <v>0.05</v>
      </c>
      <c r="AO70" s="277">
        <v>0.05</v>
      </c>
      <c r="AP70" s="277">
        <v>0.05</v>
      </c>
      <c r="AQ70" s="284">
        <v>0.05</v>
      </c>
      <c r="AR70" s="285">
        <v>0.04</v>
      </c>
      <c r="AS70" s="277">
        <v>0.04</v>
      </c>
      <c r="AT70" s="277">
        <v>0.04</v>
      </c>
      <c r="AU70" s="277">
        <v>0.04</v>
      </c>
      <c r="AV70" s="278">
        <v>0.04</v>
      </c>
      <c r="AW70" s="285">
        <v>0.04</v>
      </c>
      <c r="AX70" s="277">
        <v>0.04</v>
      </c>
      <c r="AY70" s="277">
        <v>0.04</v>
      </c>
      <c r="AZ70" s="286">
        <v>0.02</v>
      </c>
      <c r="BA70" s="285">
        <v>0.02</v>
      </c>
      <c r="BB70" s="280"/>
      <c r="BC70" s="280"/>
      <c r="BD70" s="281"/>
      <c r="BE70" s="279"/>
      <c r="BF70" s="280"/>
      <c r="BG70" s="280"/>
      <c r="BH70" s="280"/>
      <c r="BI70" s="287"/>
      <c r="BJ70" s="279"/>
      <c r="BK70" s="280"/>
      <c r="BL70" s="259"/>
      <c r="BM70" s="260"/>
      <c r="BN70" s="261"/>
      <c r="BO70" s="259"/>
      <c r="BP70" s="259"/>
      <c r="BQ70" s="260"/>
      <c r="BR70" s="261"/>
      <c r="BS70" s="259"/>
      <c r="BT70" s="259"/>
      <c r="BU70" s="263"/>
      <c r="BV70" s="264"/>
      <c r="BW70" s="261"/>
      <c r="BX70" s="259"/>
      <c r="BY70" s="259"/>
      <c r="BZ70" s="260"/>
      <c r="CA70" s="261"/>
      <c r="CB70" s="259"/>
      <c r="CC70" s="259"/>
      <c r="CD70" s="260"/>
      <c r="CE70" s="261"/>
      <c r="CF70" s="259"/>
      <c r="CG70" s="259"/>
      <c r="CH70" s="259"/>
      <c r="CI70" s="264"/>
      <c r="CJ70" s="261"/>
      <c r="CK70" s="259"/>
      <c r="CL70" s="259"/>
      <c r="CM70" s="260"/>
      <c r="CN70" s="257"/>
      <c r="CO70" s="255"/>
      <c r="CP70" s="255"/>
      <c r="CQ70" s="256"/>
      <c r="CR70" s="257"/>
      <c r="CS70" s="255"/>
      <c r="CT70" s="255"/>
      <c r="CU70" s="256"/>
      <c r="CV70" s="257"/>
      <c r="CW70" s="255"/>
      <c r="CX70" s="255"/>
      <c r="CY70" s="256"/>
      <c r="CZ70" s="105"/>
      <c r="DA70" s="102"/>
      <c r="DB70" s="102"/>
    </row>
    <row r="71" spans="1:106" ht="24.95" customHeight="1" outlineLevel="1" x14ac:dyDescent="0.55000000000000004">
      <c r="A71" s="351"/>
      <c r="B71" s="186" t="str">
        <f t="shared" ref="B71" si="176">B70</f>
        <v>1.4.1.5</v>
      </c>
      <c r="C71" s="343"/>
      <c r="D71" s="166" t="str">
        <f t="shared" ref="D71" si="177">D70</f>
        <v xml:space="preserve">            1st Floor</v>
      </c>
      <c r="E71" s="47"/>
      <c r="F71" s="48">
        <f t="shared" ref="F71" si="178">E70</f>
        <v>19629695.090759546</v>
      </c>
      <c r="G71" s="106" t="s">
        <v>87</v>
      </c>
      <c r="H71" s="217">
        <f>SUM(J71:CZ71)</f>
        <v>0</v>
      </c>
      <c r="I71" s="207">
        <f t="shared" si="12"/>
        <v>0</v>
      </c>
      <c r="J71" s="265"/>
      <c r="K71" s="266"/>
      <c r="L71" s="266"/>
      <c r="M71" s="267"/>
      <c r="N71" s="268"/>
      <c r="O71" s="266"/>
      <c r="P71" s="266"/>
      <c r="Q71" s="267"/>
      <c r="R71" s="269"/>
      <c r="S71" s="266"/>
      <c r="T71" s="266"/>
      <c r="U71" s="267"/>
      <c r="V71" s="268"/>
      <c r="W71" s="266"/>
      <c r="X71" s="282"/>
      <c r="Y71" s="270"/>
      <c r="Z71" s="267"/>
      <c r="AA71" s="293"/>
      <c r="AB71" s="291"/>
      <c r="AC71" s="291"/>
      <c r="AD71" s="292"/>
      <c r="AE71" s="294"/>
      <c r="AF71" s="291"/>
      <c r="AG71" s="291"/>
      <c r="AH71" s="291"/>
      <c r="AI71" s="296"/>
      <c r="AJ71" s="293"/>
      <c r="AK71" s="291"/>
      <c r="AL71" s="291"/>
      <c r="AM71" s="292"/>
      <c r="AN71" s="293"/>
      <c r="AO71" s="291"/>
      <c r="AP71" s="291"/>
      <c r="AQ71" s="292"/>
      <c r="AR71" s="293"/>
      <c r="AS71" s="291"/>
      <c r="AT71" s="291"/>
      <c r="AU71" s="291"/>
      <c r="AV71" s="296"/>
      <c r="AW71" s="293"/>
      <c r="AX71" s="291"/>
      <c r="AY71" s="291"/>
      <c r="AZ71" s="295"/>
      <c r="BA71" s="293"/>
      <c r="BB71" s="266"/>
      <c r="BC71" s="266"/>
      <c r="BD71" s="267"/>
      <c r="BE71" s="268"/>
      <c r="BF71" s="266"/>
      <c r="BG71" s="266"/>
      <c r="BH71" s="266"/>
      <c r="BI71" s="271"/>
      <c r="BJ71" s="268"/>
      <c r="BK71" s="266"/>
      <c r="BL71" s="266"/>
      <c r="BM71" s="267"/>
      <c r="BN71" s="268"/>
      <c r="BO71" s="266"/>
      <c r="BP71" s="266"/>
      <c r="BQ71" s="267"/>
      <c r="BR71" s="268"/>
      <c r="BS71" s="266"/>
      <c r="BT71" s="266"/>
      <c r="BU71" s="270"/>
      <c r="BV71" s="271"/>
      <c r="BW71" s="268"/>
      <c r="BX71" s="266"/>
      <c r="BY71" s="266"/>
      <c r="BZ71" s="267"/>
      <c r="CA71" s="268"/>
      <c r="CB71" s="266"/>
      <c r="CC71" s="266"/>
      <c r="CD71" s="267"/>
      <c r="CE71" s="268"/>
      <c r="CF71" s="266"/>
      <c r="CG71" s="266"/>
      <c r="CH71" s="266"/>
      <c r="CI71" s="271"/>
      <c r="CJ71" s="268"/>
      <c r="CK71" s="266"/>
      <c r="CL71" s="266"/>
      <c r="CM71" s="267"/>
      <c r="CN71" s="251"/>
      <c r="CO71" s="249"/>
      <c r="CP71" s="249"/>
      <c r="CQ71" s="250"/>
      <c r="CR71" s="251"/>
      <c r="CS71" s="249"/>
      <c r="CT71" s="249"/>
      <c r="CU71" s="250"/>
      <c r="CV71" s="251"/>
      <c r="CW71" s="249"/>
      <c r="CX71" s="249"/>
      <c r="CY71" s="250"/>
      <c r="CZ71" s="103"/>
      <c r="DA71" s="102"/>
      <c r="DB71" s="102"/>
    </row>
    <row r="72" spans="1:106" ht="24.95" customHeight="1" x14ac:dyDescent="0.55000000000000004">
      <c r="A72" s="345" t="s">
        <v>113</v>
      </c>
      <c r="B72" s="187" t="str">
        <f t="shared" ref="B72" si="179">A72</f>
        <v>1.4.2</v>
      </c>
      <c r="C72" s="349" t="s">
        <v>34</v>
      </c>
      <c r="D72" s="169" t="str">
        <f t="shared" ref="D72" si="180">C72</f>
        <v xml:space="preserve">         งานลิฟท์</v>
      </c>
      <c r="E72" s="29">
        <v>0</v>
      </c>
      <c r="F72" s="30">
        <f t="shared" ref="F72" si="181">E72</f>
        <v>0</v>
      </c>
      <c r="G72" s="212" t="s">
        <v>86</v>
      </c>
      <c r="H72" s="220">
        <f>SUM(J72:CZ72)</f>
        <v>0</v>
      </c>
      <c r="I72" s="213">
        <f t="shared" si="12"/>
        <v>0</v>
      </c>
      <c r="J72" s="258"/>
      <c r="K72" s="259"/>
      <c r="L72" s="259"/>
      <c r="M72" s="260"/>
      <c r="N72" s="261"/>
      <c r="O72" s="259"/>
      <c r="P72" s="259"/>
      <c r="Q72" s="260"/>
      <c r="R72" s="262"/>
      <c r="S72" s="259"/>
      <c r="T72" s="259"/>
      <c r="U72" s="260"/>
      <c r="V72" s="261"/>
      <c r="W72" s="259"/>
      <c r="X72" s="259"/>
      <c r="Y72" s="263"/>
      <c r="Z72" s="260"/>
      <c r="AA72" s="261"/>
      <c r="AB72" s="259"/>
      <c r="AC72" s="259"/>
      <c r="AD72" s="260"/>
      <c r="AE72" s="262"/>
      <c r="AF72" s="259"/>
      <c r="AG72" s="259"/>
      <c r="AH72" s="259"/>
      <c r="AI72" s="264"/>
      <c r="AJ72" s="261"/>
      <c r="AK72" s="259"/>
      <c r="AL72" s="259"/>
      <c r="AM72" s="260"/>
      <c r="AN72" s="261"/>
      <c r="AO72" s="259"/>
      <c r="AP72" s="259"/>
      <c r="AQ72" s="260"/>
      <c r="AR72" s="261"/>
      <c r="AS72" s="259"/>
      <c r="AT72" s="259"/>
      <c r="AU72" s="259"/>
      <c r="AV72" s="264"/>
      <c r="AW72" s="261"/>
      <c r="AX72" s="259"/>
      <c r="AY72" s="259"/>
      <c r="AZ72" s="263"/>
      <c r="BA72" s="279"/>
      <c r="BB72" s="280"/>
      <c r="BC72" s="280"/>
      <c r="BD72" s="281"/>
      <c r="BE72" s="279"/>
      <c r="BF72" s="280"/>
      <c r="BG72" s="280"/>
      <c r="BH72" s="280"/>
      <c r="BI72" s="287"/>
      <c r="BJ72" s="279"/>
      <c r="BK72" s="280"/>
      <c r="BL72" s="280"/>
      <c r="BM72" s="281"/>
      <c r="BN72" s="279"/>
      <c r="BO72" s="280"/>
      <c r="BP72" s="280"/>
      <c r="BQ72" s="281"/>
      <c r="BR72" s="261"/>
      <c r="BS72" s="259"/>
      <c r="BT72" s="259"/>
      <c r="BU72" s="263"/>
      <c r="BV72" s="264"/>
      <c r="BW72" s="261"/>
      <c r="BX72" s="259"/>
      <c r="BY72" s="259"/>
      <c r="BZ72" s="260"/>
      <c r="CA72" s="261"/>
      <c r="CB72" s="259"/>
      <c r="CC72" s="259"/>
      <c r="CD72" s="260"/>
      <c r="CE72" s="261"/>
      <c r="CF72" s="259"/>
      <c r="CG72" s="259"/>
      <c r="CH72" s="259"/>
      <c r="CI72" s="264"/>
      <c r="CJ72" s="261"/>
      <c r="CK72" s="259"/>
      <c r="CL72" s="259"/>
      <c r="CM72" s="260"/>
      <c r="CN72" s="257"/>
      <c r="CO72" s="255"/>
      <c r="CP72" s="255"/>
      <c r="CQ72" s="256"/>
      <c r="CR72" s="257"/>
      <c r="CS72" s="255"/>
      <c r="CT72" s="255"/>
      <c r="CU72" s="256"/>
      <c r="CV72" s="257"/>
      <c r="CW72" s="255"/>
      <c r="CX72" s="255"/>
      <c r="CY72" s="256"/>
      <c r="CZ72" s="105"/>
      <c r="DA72" s="102"/>
      <c r="DB72" s="102"/>
    </row>
    <row r="73" spans="1:106" ht="24.95" customHeight="1" x14ac:dyDescent="0.55000000000000004">
      <c r="A73" s="346"/>
      <c r="B73" s="188" t="str">
        <f t="shared" ref="B73" si="182">B72</f>
        <v>1.4.2</v>
      </c>
      <c r="C73" s="349"/>
      <c r="D73" s="169" t="str">
        <f t="shared" ref="D73" si="183">D72</f>
        <v xml:space="preserve">         งานลิฟท์</v>
      </c>
      <c r="E73" s="29"/>
      <c r="F73" s="30">
        <f t="shared" ref="F73" si="184">E72</f>
        <v>0</v>
      </c>
      <c r="G73" s="214" t="s">
        <v>87</v>
      </c>
      <c r="H73" s="221">
        <f>SUM(J73:CZ73)</f>
        <v>0</v>
      </c>
      <c r="I73" s="215">
        <f t="shared" si="12"/>
        <v>0</v>
      </c>
      <c r="J73" s="265"/>
      <c r="K73" s="266"/>
      <c r="L73" s="266"/>
      <c r="M73" s="267"/>
      <c r="N73" s="268"/>
      <c r="O73" s="266"/>
      <c r="P73" s="266"/>
      <c r="Q73" s="267"/>
      <c r="R73" s="269"/>
      <c r="S73" s="266"/>
      <c r="T73" s="266"/>
      <c r="U73" s="267"/>
      <c r="V73" s="268"/>
      <c r="W73" s="266"/>
      <c r="X73" s="266"/>
      <c r="Y73" s="270"/>
      <c r="Z73" s="267"/>
      <c r="AA73" s="268"/>
      <c r="AB73" s="266"/>
      <c r="AC73" s="266"/>
      <c r="AD73" s="267"/>
      <c r="AE73" s="269"/>
      <c r="AF73" s="266"/>
      <c r="AG73" s="266"/>
      <c r="AH73" s="266"/>
      <c r="AI73" s="271"/>
      <c r="AJ73" s="268"/>
      <c r="AK73" s="266"/>
      <c r="AL73" s="266"/>
      <c r="AM73" s="267"/>
      <c r="AN73" s="268"/>
      <c r="AO73" s="266"/>
      <c r="AP73" s="266"/>
      <c r="AQ73" s="267"/>
      <c r="AR73" s="268"/>
      <c r="AS73" s="266"/>
      <c r="AT73" s="266"/>
      <c r="AU73" s="266"/>
      <c r="AV73" s="271"/>
      <c r="AW73" s="268"/>
      <c r="AX73" s="266"/>
      <c r="AY73" s="266"/>
      <c r="AZ73" s="270"/>
      <c r="BA73" s="268"/>
      <c r="BB73" s="266"/>
      <c r="BC73" s="266"/>
      <c r="BD73" s="267"/>
      <c r="BE73" s="268"/>
      <c r="BF73" s="266"/>
      <c r="BG73" s="266"/>
      <c r="BH73" s="266"/>
      <c r="BI73" s="271"/>
      <c r="BJ73" s="268"/>
      <c r="BK73" s="266"/>
      <c r="BL73" s="266"/>
      <c r="BM73" s="267"/>
      <c r="BN73" s="268"/>
      <c r="BO73" s="266"/>
      <c r="BP73" s="266"/>
      <c r="BQ73" s="267"/>
      <c r="BR73" s="268"/>
      <c r="BS73" s="266"/>
      <c r="BT73" s="266"/>
      <c r="BU73" s="270"/>
      <c r="BV73" s="271"/>
      <c r="BW73" s="268"/>
      <c r="BX73" s="266"/>
      <c r="BY73" s="266"/>
      <c r="BZ73" s="267"/>
      <c r="CA73" s="268"/>
      <c r="CB73" s="266"/>
      <c r="CC73" s="266"/>
      <c r="CD73" s="267"/>
      <c r="CE73" s="268"/>
      <c r="CF73" s="266"/>
      <c r="CG73" s="266"/>
      <c r="CH73" s="266"/>
      <c r="CI73" s="271"/>
      <c r="CJ73" s="268"/>
      <c r="CK73" s="266"/>
      <c r="CL73" s="266"/>
      <c r="CM73" s="267"/>
      <c r="CN73" s="251"/>
      <c r="CO73" s="249"/>
      <c r="CP73" s="249"/>
      <c r="CQ73" s="250"/>
      <c r="CR73" s="251"/>
      <c r="CS73" s="249"/>
      <c r="CT73" s="249"/>
      <c r="CU73" s="250"/>
      <c r="CV73" s="251"/>
      <c r="CW73" s="249"/>
      <c r="CX73" s="249"/>
      <c r="CY73" s="250"/>
      <c r="CZ73" s="103"/>
      <c r="DA73" s="102"/>
      <c r="DB73" s="102"/>
    </row>
    <row r="74" spans="1:106" ht="24.95" customHeight="1" x14ac:dyDescent="0.55000000000000004">
      <c r="A74" s="345" t="s">
        <v>114</v>
      </c>
      <c r="B74" s="187" t="str">
        <f t="shared" ref="B74" si="185">A74</f>
        <v>1.4.3</v>
      </c>
      <c r="C74" s="349" t="s">
        <v>35</v>
      </c>
      <c r="D74" s="169" t="str">
        <f t="shared" ref="D74" si="186">C74</f>
        <v xml:space="preserve">         งานเก็บ Finishing บันได คสล. เดิม</v>
      </c>
      <c r="E74" s="29">
        <v>3065369.6835999996</v>
      </c>
      <c r="F74" s="30">
        <f t="shared" ref="F74" si="187">E74</f>
        <v>3065369.6835999996</v>
      </c>
      <c r="G74" s="212" t="s">
        <v>86</v>
      </c>
      <c r="H74" s="220">
        <f>SUM(J74:CZ74)</f>
        <v>1.0000000000000002</v>
      </c>
      <c r="I74" s="213">
        <f t="shared" si="12"/>
        <v>3065369.6836000001</v>
      </c>
      <c r="J74" s="258"/>
      <c r="K74" s="259"/>
      <c r="L74" s="259"/>
      <c r="M74" s="260"/>
      <c r="N74" s="261"/>
      <c r="O74" s="259"/>
      <c r="P74" s="259"/>
      <c r="Q74" s="260"/>
      <c r="R74" s="262"/>
      <c r="S74" s="259"/>
      <c r="T74" s="259"/>
      <c r="U74" s="260"/>
      <c r="V74" s="261"/>
      <c r="W74" s="259"/>
      <c r="X74" s="259"/>
      <c r="Y74" s="263"/>
      <c r="Z74" s="260"/>
      <c r="AA74" s="261"/>
      <c r="AB74" s="259"/>
      <c r="AC74" s="259"/>
      <c r="AD74" s="260"/>
      <c r="AE74" s="283">
        <v>0.05</v>
      </c>
      <c r="AF74" s="277">
        <v>0.05</v>
      </c>
      <c r="AG74" s="277">
        <v>0.05</v>
      </c>
      <c r="AH74" s="277">
        <v>0.05</v>
      </c>
      <c r="AI74" s="278">
        <v>0.1</v>
      </c>
      <c r="AJ74" s="285">
        <v>0.1</v>
      </c>
      <c r="AK74" s="277">
        <v>0.15</v>
      </c>
      <c r="AL74" s="277">
        <v>0.15</v>
      </c>
      <c r="AM74" s="284">
        <v>0.1</v>
      </c>
      <c r="AN74" s="285">
        <v>0.05</v>
      </c>
      <c r="AO74" s="277">
        <v>0.05</v>
      </c>
      <c r="AP74" s="277">
        <v>0.05</v>
      </c>
      <c r="AQ74" s="284">
        <v>0.05</v>
      </c>
      <c r="AR74" s="285"/>
      <c r="AS74" s="259"/>
      <c r="AT74" s="259"/>
      <c r="AU74" s="259"/>
      <c r="AV74" s="264"/>
      <c r="AW74" s="261"/>
      <c r="AX74" s="259"/>
      <c r="AY74" s="259"/>
      <c r="AZ74" s="263"/>
      <c r="BA74" s="261"/>
      <c r="BB74" s="259"/>
      <c r="BC74" s="259"/>
      <c r="BD74" s="260"/>
      <c r="BE74" s="261"/>
      <c r="BF74" s="259"/>
      <c r="BG74" s="259"/>
      <c r="BH74" s="259"/>
      <c r="BI74" s="264"/>
      <c r="BJ74" s="261"/>
      <c r="BK74" s="259"/>
      <c r="BL74" s="259"/>
      <c r="BM74" s="260"/>
      <c r="BN74" s="261"/>
      <c r="BO74" s="280"/>
      <c r="BP74" s="280"/>
      <c r="BQ74" s="281"/>
      <c r="BR74" s="279"/>
      <c r="BS74" s="280"/>
      <c r="BT74" s="280"/>
      <c r="BU74" s="297"/>
      <c r="BV74" s="287"/>
      <c r="BW74" s="261"/>
      <c r="BX74" s="259"/>
      <c r="BY74" s="259"/>
      <c r="BZ74" s="260"/>
      <c r="CA74" s="261"/>
      <c r="CB74" s="259"/>
      <c r="CC74" s="259"/>
      <c r="CD74" s="260"/>
      <c r="CE74" s="261"/>
      <c r="CF74" s="259"/>
      <c r="CG74" s="259"/>
      <c r="CH74" s="259"/>
      <c r="CI74" s="264"/>
      <c r="CJ74" s="261"/>
      <c r="CK74" s="259"/>
      <c r="CL74" s="259"/>
      <c r="CM74" s="260"/>
      <c r="CN74" s="257"/>
      <c r="CO74" s="255"/>
      <c r="CP74" s="255"/>
      <c r="CQ74" s="256"/>
      <c r="CR74" s="257"/>
      <c r="CS74" s="255"/>
      <c r="CT74" s="255"/>
      <c r="CU74" s="256"/>
      <c r="CV74" s="257"/>
      <c r="CW74" s="255"/>
      <c r="CX74" s="255"/>
      <c r="CY74" s="256"/>
      <c r="CZ74" s="105"/>
      <c r="DA74" s="102"/>
      <c r="DB74" s="102"/>
    </row>
    <row r="75" spans="1:106" ht="24.95" customHeight="1" x14ac:dyDescent="0.55000000000000004">
      <c r="A75" s="346"/>
      <c r="B75" s="188" t="str">
        <f t="shared" ref="B75" si="188">B74</f>
        <v>1.4.3</v>
      </c>
      <c r="C75" s="349"/>
      <c r="D75" s="169" t="str">
        <f t="shared" ref="D75" si="189">D74</f>
        <v xml:space="preserve">         งานเก็บ Finishing บันได คสล. เดิม</v>
      </c>
      <c r="E75" s="29"/>
      <c r="F75" s="30">
        <f t="shared" ref="F75" si="190">E74</f>
        <v>3065369.6835999996</v>
      </c>
      <c r="G75" s="214" t="s">
        <v>87</v>
      </c>
      <c r="H75" s="221">
        <f>SUM(J75:CZ75)</f>
        <v>0</v>
      </c>
      <c r="I75" s="215">
        <f t="shared" si="12"/>
        <v>0</v>
      </c>
      <c r="J75" s="265"/>
      <c r="K75" s="266"/>
      <c r="L75" s="266"/>
      <c r="M75" s="267"/>
      <c r="N75" s="268"/>
      <c r="O75" s="266"/>
      <c r="P75" s="266"/>
      <c r="Q75" s="267"/>
      <c r="R75" s="269"/>
      <c r="S75" s="266"/>
      <c r="T75" s="266"/>
      <c r="U75" s="267"/>
      <c r="V75" s="268"/>
      <c r="W75" s="266"/>
      <c r="X75" s="291"/>
      <c r="Y75" s="270"/>
      <c r="Z75" s="267"/>
      <c r="AA75" s="268"/>
      <c r="AB75" s="266"/>
      <c r="AC75" s="266"/>
      <c r="AD75" s="267"/>
      <c r="AE75" s="294"/>
      <c r="AF75" s="291"/>
      <c r="AG75" s="291"/>
      <c r="AH75" s="291"/>
      <c r="AI75" s="296"/>
      <c r="AJ75" s="293"/>
      <c r="AK75" s="291"/>
      <c r="AL75" s="291"/>
      <c r="AM75" s="292"/>
      <c r="AN75" s="293"/>
      <c r="AO75" s="291"/>
      <c r="AP75" s="291"/>
      <c r="AQ75" s="292"/>
      <c r="AR75" s="293"/>
      <c r="AS75" s="266"/>
      <c r="AT75" s="266"/>
      <c r="AU75" s="266"/>
      <c r="AV75" s="271"/>
      <c r="AW75" s="268"/>
      <c r="AX75" s="266"/>
      <c r="AY75" s="266"/>
      <c r="AZ75" s="270"/>
      <c r="BA75" s="268"/>
      <c r="BB75" s="266"/>
      <c r="BC75" s="266"/>
      <c r="BD75" s="267"/>
      <c r="BE75" s="268"/>
      <c r="BF75" s="266"/>
      <c r="BG75" s="266"/>
      <c r="BH75" s="266"/>
      <c r="BI75" s="271"/>
      <c r="BJ75" s="268"/>
      <c r="BK75" s="266"/>
      <c r="BL75" s="266"/>
      <c r="BM75" s="267"/>
      <c r="BN75" s="268"/>
      <c r="BO75" s="266"/>
      <c r="BP75" s="266"/>
      <c r="BQ75" s="267"/>
      <c r="BR75" s="268"/>
      <c r="BS75" s="266"/>
      <c r="BT75" s="266"/>
      <c r="BU75" s="270"/>
      <c r="BV75" s="271"/>
      <c r="BW75" s="268"/>
      <c r="BX75" s="266"/>
      <c r="BY75" s="266"/>
      <c r="BZ75" s="267"/>
      <c r="CA75" s="268"/>
      <c r="CB75" s="266"/>
      <c r="CC75" s="266"/>
      <c r="CD75" s="267"/>
      <c r="CE75" s="268"/>
      <c r="CF75" s="266"/>
      <c r="CG75" s="266"/>
      <c r="CH75" s="266"/>
      <c r="CI75" s="271"/>
      <c r="CJ75" s="268"/>
      <c r="CK75" s="266"/>
      <c r="CL75" s="266"/>
      <c r="CM75" s="267"/>
      <c r="CN75" s="251"/>
      <c r="CO75" s="249"/>
      <c r="CP75" s="249"/>
      <c r="CQ75" s="250"/>
      <c r="CR75" s="251"/>
      <c r="CS75" s="249"/>
      <c r="CT75" s="249"/>
      <c r="CU75" s="250"/>
      <c r="CV75" s="251"/>
      <c r="CW75" s="249"/>
      <c r="CX75" s="249"/>
      <c r="CY75" s="250"/>
      <c r="CZ75" s="103"/>
      <c r="DA75" s="102"/>
      <c r="DB75" s="102"/>
    </row>
    <row r="76" spans="1:106" ht="24.95" customHeight="1" x14ac:dyDescent="0.55000000000000004">
      <c r="A76" s="345" t="s">
        <v>115</v>
      </c>
      <c r="B76" s="187" t="str">
        <f t="shared" ref="B76" si="191">A76</f>
        <v>1.4.4</v>
      </c>
      <c r="C76" s="349" t="s">
        <v>36</v>
      </c>
      <c r="D76" s="169" t="str">
        <f t="shared" ref="D76" si="192">C76</f>
        <v xml:space="preserve">         งานสถาปัตยกรรมภายในและงาน BUILT-IN</v>
      </c>
      <c r="E76" s="29">
        <v>6237853.8786000004</v>
      </c>
      <c r="F76" s="30">
        <f t="shared" ref="F76" si="193">E76</f>
        <v>6237853.8786000004</v>
      </c>
      <c r="G76" s="212" t="s">
        <v>86</v>
      </c>
      <c r="H76" s="220">
        <f>SUM(J76:CZ76)</f>
        <v>0.99999999999999989</v>
      </c>
      <c r="I76" s="213">
        <f t="shared" si="12"/>
        <v>6237853.8785999995</v>
      </c>
      <c r="J76" s="258"/>
      <c r="K76" s="259"/>
      <c r="L76" s="259"/>
      <c r="M76" s="260"/>
      <c r="N76" s="261"/>
      <c r="O76" s="259"/>
      <c r="P76" s="259"/>
      <c r="Q76" s="260"/>
      <c r="R76" s="262"/>
      <c r="S76" s="259"/>
      <c r="T76" s="259"/>
      <c r="U76" s="260"/>
      <c r="V76" s="261"/>
      <c r="W76" s="259"/>
      <c r="X76" s="259"/>
      <c r="Y76" s="263"/>
      <c r="Z76" s="260"/>
      <c r="AA76" s="261"/>
      <c r="AB76" s="259"/>
      <c r="AC76" s="259"/>
      <c r="AD76" s="260"/>
      <c r="AE76" s="262"/>
      <c r="AF76" s="259"/>
      <c r="AG76" s="259"/>
      <c r="AH76" s="259"/>
      <c r="AI76" s="264"/>
      <c r="AJ76" s="285">
        <v>0.04</v>
      </c>
      <c r="AK76" s="277">
        <v>0.04</v>
      </c>
      <c r="AL76" s="277">
        <v>0.04</v>
      </c>
      <c r="AM76" s="284">
        <v>0.04</v>
      </c>
      <c r="AN76" s="285">
        <v>0.1</v>
      </c>
      <c r="AO76" s="277">
        <v>0.1</v>
      </c>
      <c r="AP76" s="277">
        <v>0.1</v>
      </c>
      <c r="AQ76" s="284">
        <v>0.1</v>
      </c>
      <c r="AR76" s="285">
        <v>0.09</v>
      </c>
      <c r="AS76" s="277">
        <v>0.09</v>
      </c>
      <c r="AT76" s="277">
        <v>0.08</v>
      </c>
      <c r="AU76" s="277">
        <v>0.08</v>
      </c>
      <c r="AV76" s="278">
        <v>0.04</v>
      </c>
      <c r="AW76" s="285">
        <v>0.02</v>
      </c>
      <c r="AX76" s="277">
        <v>0.02</v>
      </c>
      <c r="AY76" s="277">
        <v>0.02</v>
      </c>
      <c r="AZ76" s="286"/>
      <c r="BA76" s="261"/>
      <c r="BB76" s="259"/>
      <c r="BC76" s="259"/>
      <c r="BD76" s="260"/>
      <c r="BE76" s="261"/>
      <c r="BF76" s="259"/>
      <c r="BG76" s="259"/>
      <c r="BH76" s="259"/>
      <c r="BI76" s="264"/>
      <c r="BJ76" s="279"/>
      <c r="BK76" s="280"/>
      <c r="BL76" s="280"/>
      <c r="BM76" s="281"/>
      <c r="BN76" s="279"/>
      <c r="BO76" s="280"/>
      <c r="BP76" s="280"/>
      <c r="BQ76" s="281"/>
      <c r="BR76" s="279"/>
      <c r="BS76" s="280"/>
      <c r="BT76" s="280"/>
      <c r="BU76" s="297"/>
      <c r="BV76" s="287"/>
      <c r="BW76" s="279"/>
      <c r="BX76" s="280"/>
      <c r="BY76" s="280"/>
      <c r="BZ76" s="281"/>
      <c r="CA76" s="279"/>
      <c r="CB76" s="280"/>
      <c r="CC76" s="259"/>
      <c r="CD76" s="260"/>
      <c r="CE76" s="261"/>
      <c r="CF76" s="259"/>
      <c r="CG76" s="259"/>
      <c r="CH76" s="259"/>
      <c r="CI76" s="264"/>
      <c r="CJ76" s="261"/>
      <c r="CK76" s="259"/>
      <c r="CL76" s="259"/>
      <c r="CM76" s="260"/>
      <c r="CN76" s="257"/>
      <c r="CO76" s="255"/>
      <c r="CP76" s="255"/>
      <c r="CQ76" s="256"/>
      <c r="CR76" s="257"/>
      <c r="CS76" s="255"/>
      <c r="CT76" s="255"/>
      <c r="CU76" s="256"/>
      <c r="CV76" s="257"/>
      <c r="CW76" s="255"/>
      <c r="CX76" s="255"/>
      <c r="CY76" s="256"/>
      <c r="CZ76" s="105"/>
      <c r="DA76" s="102"/>
      <c r="DB76" s="102"/>
    </row>
    <row r="77" spans="1:106" ht="24.95" customHeight="1" x14ac:dyDescent="0.55000000000000004">
      <c r="A77" s="346"/>
      <c r="B77" s="188" t="str">
        <f t="shared" ref="B77" si="194">B76</f>
        <v>1.4.4</v>
      </c>
      <c r="C77" s="349"/>
      <c r="D77" s="169" t="str">
        <f t="shared" ref="D77" si="195">D76</f>
        <v xml:space="preserve">         งานสถาปัตยกรรมภายในและงาน BUILT-IN</v>
      </c>
      <c r="E77" s="29"/>
      <c r="F77" s="30">
        <f t="shared" ref="F77" si="196">E76</f>
        <v>6237853.8786000004</v>
      </c>
      <c r="G77" s="214" t="s">
        <v>87</v>
      </c>
      <c r="H77" s="221">
        <f>SUM(J77:CZ77)</f>
        <v>0</v>
      </c>
      <c r="I77" s="215">
        <f t="shared" si="12"/>
        <v>0</v>
      </c>
      <c r="J77" s="265"/>
      <c r="K77" s="266"/>
      <c r="L77" s="266"/>
      <c r="M77" s="267"/>
      <c r="N77" s="268"/>
      <c r="O77" s="266"/>
      <c r="P77" s="266"/>
      <c r="Q77" s="267"/>
      <c r="R77" s="269"/>
      <c r="S77" s="266"/>
      <c r="T77" s="266"/>
      <c r="U77" s="267"/>
      <c r="V77" s="268"/>
      <c r="W77" s="266"/>
      <c r="X77" s="266"/>
      <c r="Y77" s="270"/>
      <c r="Z77" s="267"/>
      <c r="AA77" s="268"/>
      <c r="AB77" s="266"/>
      <c r="AC77" s="266"/>
      <c r="AD77" s="267"/>
      <c r="AE77" s="269"/>
      <c r="AF77" s="266"/>
      <c r="AG77" s="282"/>
      <c r="AH77" s="266"/>
      <c r="AI77" s="271"/>
      <c r="AJ77" s="293"/>
      <c r="AK77" s="291"/>
      <c r="AL77" s="291"/>
      <c r="AM77" s="292"/>
      <c r="AN77" s="293"/>
      <c r="AO77" s="291"/>
      <c r="AP77" s="291"/>
      <c r="AQ77" s="292"/>
      <c r="AR77" s="293"/>
      <c r="AS77" s="291"/>
      <c r="AT77" s="291"/>
      <c r="AU77" s="291"/>
      <c r="AV77" s="296"/>
      <c r="AW77" s="293"/>
      <c r="AX77" s="291"/>
      <c r="AY77" s="291"/>
      <c r="AZ77" s="295"/>
      <c r="BA77" s="268"/>
      <c r="BB77" s="266"/>
      <c r="BC77" s="266"/>
      <c r="BD77" s="267"/>
      <c r="BE77" s="268"/>
      <c r="BF77" s="266"/>
      <c r="BG77" s="266"/>
      <c r="BH77" s="266"/>
      <c r="BI77" s="271"/>
      <c r="BJ77" s="268"/>
      <c r="BK77" s="266"/>
      <c r="BL77" s="266"/>
      <c r="BM77" s="267"/>
      <c r="BN77" s="268"/>
      <c r="BO77" s="266"/>
      <c r="BP77" s="266"/>
      <c r="BQ77" s="267"/>
      <c r="BR77" s="268"/>
      <c r="BS77" s="266"/>
      <c r="BT77" s="266"/>
      <c r="BU77" s="270"/>
      <c r="BV77" s="271"/>
      <c r="BW77" s="268"/>
      <c r="BX77" s="266"/>
      <c r="BY77" s="266"/>
      <c r="BZ77" s="267"/>
      <c r="CA77" s="268"/>
      <c r="CB77" s="266"/>
      <c r="CC77" s="266"/>
      <c r="CD77" s="267"/>
      <c r="CE77" s="268"/>
      <c r="CF77" s="266"/>
      <c r="CG77" s="266"/>
      <c r="CH77" s="266"/>
      <c r="CI77" s="271"/>
      <c r="CJ77" s="268"/>
      <c r="CK77" s="266"/>
      <c r="CL77" s="266"/>
      <c r="CM77" s="267"/>
      <c r="CN77" s="251"/>
      <c r="CO77" s="249"/>
      <c r="CP77" s="249"/>
      <c r="CQ77" s="250"/>
      <c r="CR77" s="251"/>
      <c r="CS77" s="249"/>
      <c r="CT77" s="249"/>
      <c r="CU77" s="250"/>
      <c r="CV77" s="251"/>
      <c r="CW77" s="249"/>
      <c r="CX77" s="249"/>
      <c r="CY77" s="250"/>
      <c r="CZ77" s="103"/>
      <c r="DA77" s="102"/>
      <c r="DB77" s="102"/>
    </row>
    <row r="78" spans="1:106" ht="24.95" customHeight="1" x14ac:dyDescent="0.55000000000000004">
      <c r="A78" s="345" t="s">
        <v>116</v>
      </c>
      <c r="B78" s="187" t="str">
        <f t="shared" ref="B78" si="197">A78</f>
        <v>1.4.5</v>
      </c>
      <c r="C78" s="349" t="s">
        <v>37</v>
      </c>
      <c r="D78" s="169" t="str">
        <f t="shared" ref="D78" si="198">C78</f>
        <v xml:space="preserve">         งานตกแต่งโถงลิฟต์</v>
      </c>
      <c r="E78" s="29">
        <v>3147687.0413000002</v>
      </c>
      <c r="F78" s="30">
        <f t="shared" ref="F78" si="199">E78</f>
        <v>3147687.0413000002</v>
      </c>
      <c r="G78" s="212" t="s">
        <v>86</v>
      </c>
      <c r="H78" s="220">
        <f>SUM(J78:CZ78)</f>
        <v>1</v>
      </c>
      <c r="I78" s="213">
        <f t="shared" si="12"/>
        <v>3147687.0413000002</v>
      </c>
      <c r="J78" s="258"/>
      <c r="K78" s="259"/>
      <c r="L78" s="259"/>
      <c r="M78" s="260"/>
      <c r="N78" s="261"/>
      <c r="O78" s="259"/>
      <c r="P78" s="259"/>
      <c r="Q78" s="260"/>
      <c r="R78" s="262"/>
      <c r="S78" s="259"/>
      <c r="T78" s="259"/>
      <c r="U78" s="260"/>
      <c r="V78" s="261"/>
      <c r="W78" s="259"/>
      <c r="X78" s="259"/>
      <c r="Y78" s="263"/>
      <c r="Z78" s="260"/>
      <c r="AA78" s="261"/>
      <c r="AB78" s="259"/>
      <c r="AC78" s="259"/>
      <c r="AD78" s="260"/>
      <c r="AE78" s="262"/>
      <c r="AF78" s="259"/>
      <c r="AG78" s="259"/>
      <c r="AH78" s="259"/>
      <c r="AI78" s="264"/>
      <c r="AJ78" s="261"/>
      <c r="AK78" s="259"/>
      <c r="AL78" s="259"/>
      <c r="AM78" s="260"/>
      <c r="AN78" s="261"/>
      <c r="AO78" s="259"/>
      <c r="AP78" s="259"/>
      <c r="AQ78" s="260"/>
      <c r="AR78" s="285"/>
      <c r="AS78" s="277"/>
      <c r="AT78" s="277">
        <v>0.04</v>
      </c>
      <c r="AU78" s="277">
        <v>0.04</v>
      </c>
      <c r="AV78" s="278">
        <v>0.08</v>
      </c>
      <c r="AW78" s="285">
        <v>0.1</v>
      </c>
      <c r="AX78" s="277">
        <v>0.1</v>
      </c>
      <c r="AY78" s="277">
        <v>0.1</v>
      </c>
      <c r="AZ78" s="286">
        <v>0.15</v>
      </c>
      <c r="BA78" s="285">
        <v>0.15</v>
      </c>
      <c r="BB78" s="277">
        <v>0.1</v>
      </c>
      <c r="BC78" s="277">
        <v>0.05</v>
      </c>
      <c r="BD78" s="284">
        <v>0.05</v>
      </c>
      <c r="BE78" s="285">
        <v>0.04</v>
      </c>
      <c r="BF78" s="290"/>
      <c r="BG78" s="290"/>
      <c r="BH78" s="290"/>
      <c r="BI78" s="288"/>
      <c r="BJ78" s="279"/>
      <c r="BK78" s="280"/>
      <c r="BL78" s="280"/>
      <c r="BM78" s="281"/>
      <c r="BN78" s="279"/>
      <c r="BO78" s="280"/>
      <c r="BP78" s="280"/>
      <c r="BQ78" s="281"/>
      <c r="BR78" s="261"/>
      <c r="BS78" s="259"/>
      <c r="BT78" s="259"/>
      <c r="BU78" s="263"/>
      <c r="BV78" s="264"/>
      <c r="BW78" s="261"/>
      <c r="BX78" s="259"/>
      <c r="BY78" s="259"/>
      <c r="BZ78" s="260"/>
      <c r="CA78" s="261"/>
      <c r="CB78" s="259"/>
      <c r="CC78" s="259"/>
      <c r="CD78" s="260"/>
      <c r="CE78" s="261"/>
      <c r="CF78" s="259"/>
      <c r="CG78" s="259"/>
      <c r="CH78" s="259"/>
      <c r="CI78" s="264"/>
      <c r="CJ78" s="261"/>
      <c r="CK78" s="259"/>
      <c r="CL78" s="259"/>
      <c r="CM78" s="260"/>
      <c r="CN78" s="257"/>
      <c r="CO78" s="255"/>
      <c r="CP78" s="255"/>
      <c r="CQ78" s="256"/>
      <c r="CR78" s="257"/>
      <c r="CS78" s="255"/>
      <c r="CT78" s="255"/>
      <c r="CU78" s="256"/>
      <c r="CV78" s="257"/>
      <c r="CW78" s="255"/>
      <c r="CX78" s="255"/>
      <c r="CY78" s="256"/>
      <c r="CZ78" s="105"/>
      <c r="DA78" s="102"/>
      <c r="DB78" s="102"/>
    </row>
    <row r="79" spans="1:106" ht="24.95" customHeight="1" x14ac:dyDescent="0.55000000000000004">
      <c r="A79" s="346"/>
      <c r="B79" s="188" t="str">
        <f t="shared" ref="B79" si="200">B78</f>
        <v>1.4.5</v>
      </c>
      <c r="C79" s="349"/>
      <c r="D79" s="169" t="str">
        <f t="shared" ref="D79" si="201">D78</f>
        <v xml:space="preserve">         งานตกแต่งโถงลิฟต์</v>
      </c>
      <c r="E79" s="29"/>
      <c r="F79" s="30">
        <f t="shared" ref="F79" si="202">E78</f>
        <v>3147687.0413000002</v>
      </c>
      <c r="G79" s="214" t="s">
        <v>87</v>
      </c>
      <c r="H79" s="221">
        <f>SUM(J79:CZ79)</f>
        <v>0</v>
      </c>
      <c r="I79" s="215">
        <f t="shared" si="12"/>
        <v>0</v>
      </c>
      <c r="J79" s="265"/>
      <c r="K79" s="266"/>
      <c r="L79" s="266"/>
      <c r="M79" s="267"/>
      <c r="N79" s="268"/>
      <c r="O79" s="266"/>
      <c r="P79" s="266"/>
      <c r="Q79" s="267"/>
      <c r="R79" s="269"/>
      <c r="S79" s="266"/>
      <c r="T79" s="266"/>
      <c r="U79" s="267"/>
      <c r="V79" s="268"/>
      <c r="W79" s="266"/>
      <c r="X79" s="266"/>
      <c r="Y79" s="270"/>
      <c r="Z79" s="267"/>
      <c r="AA79" s="268"/>
      <c r="AB79" s="266"/>
      <c r="AC79" s="266"/>
      <c r="AD79" s="267"/>
      <c r="AE79" s="269"/>
      <c r="AF79" s="266"/>
      <c r="AG79" s="266"/>
      <c r="AH79" s="266"/>
      <c r="AI79" s="271"/>
      <c r="AJ79" s="268"/>
      <c r="AK79" s="266"/>
      <c r="AL79" s="266"/>
      <c r="AM79" s="267"/>
      <c r="AN79" s="268"/>
      <c r="AO79" s="282"/>
      <c r="AP79" s="266"/>
      <c r="AQ79" s="267"/>
      <c r="AR79" s="293"/>
      <c r="AS79" s="291"/>
      <c r="AT79" s="291"/>
      <c r="AU79" s="291"/>
      <c r="AV79" s="296"/>
      <c r="AW79" s="293"/>
      <c r="AX79" s="291"/>
      <c r="AY79" s="291"/>
      <c r="AZ79" s="295"/>
      <c r="BA79" s="293"/>
      <c r="BB79" s="291"/>
      <c r="BC79" s="291"/>
      <c r="BD79" s="292"/>
      <c r="BE79" s="293"/>
      <c r="BF79" s="291"/>
      <c r="BG79" s="291"/>
      <c r="BH79" s="291"/>
      <c r="BI79" s="296"/>
      <c r="BJ79" s="268"/>
      <c r="BK79" s="266"/>
      <c r="BL79" s="266"/>
      <c r="BM79" s="267"/>
      <c r="BN79" s="268"/>
      <c r="BO79" s="266"/>
      <c r="BP79" s="266"/>
      <c r="BQ79" s="267"/>
      <c r="BR79" s="268"/>
      <c r="BS79" s="266"/>
      <c r="BT79" s="266"/>
      <c r="BU79" s="270"/>
      <c r="BV79" s="271"/>
      <c r="BW79" s="268"/>
      <c r="BX79" s="266"/>
      <c r="BY79" s="266"/>
      <c r="BZ79" s="267"/>
      <c r="CA79" s="268"/>
      <c r="CB79" s="266"/>
      <c r="CC79" s="266"/>
      <c r="CD79" s="267"/>
      <c r="CE79" s="268"/>
      <c r="CF79" s="266"/>
      <c r="CG79" s="266"/>
      <c r="CH79" s="266"/>
      <c r="CI79" s="271"/>
      <c r="CJ79" s="268"/>
      <c r="CK79" s="266"/>
      <c r="CL79" s="266"/>
      <c r="CM79" s="267"/>
      <c r="CN79" s="251"/>
      <c r="CO79" s="249"/>
      <c r="CP79" s="249"/>
      <c r="CQ79" s="250"/>
      <c r="CR79" s="251"/>
      <c r="CS79" s="249"/>
      <c r="CT79" s="249"/>
      <c r="CU79" s="250"/>
      <c r="CV79" s="251"/>
      <c r="CW79" s="249"/>
      <c r="CX79" s="249"/>
      <c r="CY79" s="250"/>
      <c r="CZ79" s="103"/>
      <c r="DA79" s="102"/>
      <c r="DB79" s="102"/>
    </row>
    <row r="80" spans="1:106" ht="24.95" customHeight="1" x14ac:dyDescent="0.55000000000000004">
      <c r="A80" s="338">
        <v>1.5</v>
      </c>
      <c r="B80" s="180">
        <f t="shared" ref="B80" si="203">A80</f>
        <v>1.5</v>
      </c>
      <c r="C80" s="340" t="s">
        <v>38</v>
      </c>
      <c r="D80" s="165" t="str">
        <f t="shared" ref="D80" si="204">C80</f>
        <v xml:space="preserve">   งานติดตั้ง Lightning Protection System ชั้น Roof</v>
      </c>
      <c r="E80" s="84">
        <v>349251.90543837298</v>
      </c>
      <c r="F80" s="32">
        <f t="shared" ref="F80" si="205">E80</f>
        <v>349251.90543837298</v>
      </c>
      <c r="G80" s="208" t="s">
        <v>86</v>
      </c>
      <c r="H80" s="218">
        <f>SUM(J80:CZ80)</f>
        <v>0.99999999999999989</v>
      </c>
      <c r="I80" s="209">
        <f t="shared" si="12"/>
        <v>349251.90543837292</v>
      </c>
      <c r="J80" s="258"/>
      <c r="K80" s="259"/>
      <c r="L80" s="259"/>
      <c r="M80" s="260"/>
      <c r="N80" s="261"/>
      <c r="O80" s="259"/>
      <c r="P80" s="259"/>
      <c r="Q80" s="260"/>
      <c r="R80" s="262"/>
      <c r="S80" s="259"/>
      <c r="T80" s="259"/>
      <c r="U80" s="260"/>
      <c r="V80" s="261"/>
      <c r="W80" s="259"/>
      <c r="X80" s="259"/>
      <c r="Y80" s="263"/>
      <c r="Z80" s="260"/>
      <c r="AA80" s="261"/>
      <c r="AB80" s="259"/>
      <c r="AC80" s="259"/>
      <c r="AD80" s="260"/>
      <c r="AE80" s="262"/>
      <c r="AF80" s="259"/>
      <c r="AG80" s="259"/>
      <c r="AH80" s="259"/>
      <c r="AI80" s="264"/>
      <c r="AJ80" s="261"/>
      <c r="AK80" s="259"/>
      <c r="AL80" s="259"/>
      <c r="AM80" s="260"/>
      <c r="AN80" s="261"/>
      <c r="AO80" s="259"/>
      <c r="AP80" s="259"/>
      <c r="AQ80" s="260"/>
      <c r="AR80" s="261"/>
      <c r="AS80" s="259"/>
      <c r="AT80" s="259"/>
      <c r="AU80" s="259"/>
      <c r="AV80" s="264"/>
      <c r="AW80" s="261"/>
      <c r="AX80" s="259"/>
      <c r="AY80" s="259"/>
      <c r="AZ80" s="263"/>
      <c r="BA80" s="261"/>
      <c r="BB80" s="259"/>
      <c r="BC80" s="259"/>
      <c r="BD80" s="260"/>
      <c r="BE80" s="261"/>
      <c r="BF80" s="259"/>
      <c r="BG80" s="259"/>
      <c r="BH80" s="259"/>
      <c r="BI80" s="264"/>
      <c r="BJ80" s="285">
        <v>0.15</v>
      </c>
      <c r="BK80" s="277">
        <v>0.15</v>
      </c>
      <c r="BL80" s="277">
        <v>0.15</v>
      </c>
      <c r="BM80" s="284">
        <v>0.15</v>
      </c>
      <c r="BN80" s="285">
        <v>0.1</v>
      </c>
      <c r="BO80" s="277">
        <v>0.1</v>
      </c>
      <c r="BP80" s="277">
        <v>0.1</v>
      </c>
      <c r="BQ80" s="284">
        <v>0.1</v>
      </c>
      <c r="BR80" s="261"/>
      <c r="BS80" s="259"/>
      <c r="BT80" s="259"/>
      <c r="BU80" s="263"/>
      <c r="BV80" s="264"/>
      <c r="BW80" s="261"/>
      <c r="BX80" s="259"/>
      <c r="BY80" s="259"/>
      <c r="BZ80" s="260"/>
      <c r="CA80" s="261"/>
      <c r="CB80" s="259"/>
      <c r="CC80" s="259"/>
      <c r="CD80" s="260"/>
      <c r="CE80" s="261"/>
      <c r="CF80" s="259"/>
      <c r="CG80" s="259"/>
      <c r="CH80" s="259"/>
      <c r="CI80" s="264"/>
      <c r="CJ80" s="261"/>
      <c r="CK80" s="259"/>
      <c r="CL80" s="259"/>
      <c r="CM80" s="260"/>
      <c r="CN80" s="257"/>
      <c r="CO80" s="255"/>
      <c r="CP80" s="255"/>
      <c r="CQ80" s="256"/>
      <c r="CR80" s="257"/>
      <c r="CS80" s="255"/>
      <c r="CT80" s="255"/>
      <c r="CU80" s="256"/>
      <c r="CV80" s="257"/>
      <c r="CW80" s="255"/>
      <c r="CX80" s="255"/>
      <c r="CY80" s="256"/>
      <c r="CZ80" s="105"/>
      <c r="DA80" s="102"/>
      <c r="DB80" s="102"/>
    </row>
    <row r="81" spans="1:106" ht="24.95" customHeight="1" x14ac:dyDescent="0.55000000000000004">
      <c r="A81" s="339"/>
      <c r="B81" s="181">
        <f t="shared" ref="B81" si="206">B80</f>
        <v>1.5</v>
      </c>
      <c r="C81" s="340"/>
      <c r="D81" s="165" t="str">
        <f t="shared" ref="D81" si="207">D80</f>
        <v xml:space="preserve">   งานติดตั้ง Lightning Protection System ชั้น Roof</v>
      </c>
      <c r="E81" s="31"/>
      <c r="F81" s="32">
        <f t="shared" ref="F81" si="208">E80</f>
        <v>349251.90543837298</v>
      </c>
      <c r="G81" s="210" t="s">
        <v>87</v>
      </c>
      <c r="H81" s="219">
        <f>SUM(J81:CZ81)</f>
        <v>0</v>
      </c>
      <c r="I81" s="211">
        <f t="shared" ref="I81:I127" si="209">H81*F81</f>
        <v>0</v>
      </c>
      <c r="J81" s="265"/>
      <c r="K81" s="266"/>
      <c r="L81" s="266"/>
      <c r="M81" s="267"/>
      <c r="N81" s="268"/>
      <c r="O81" s="266"/>
      <c r="P81" s="266"/>
      <c r="Q81" s="267"/>
      <c r="R81" s="269"/>
      <c r="S81" s="266"/>
      <c r="T81" s="266"/>
      <c r="U81" s="267"/>
      <c r="V81" s="268"/>
      <c r="W81" s="266"/>
      <c r="X81" s="266"/>
      <c r="Y81" s="270"/>
      <c r="Z81" s="267"/>
      <c r="AA81" s="268"/>
      <c r="AB81" s="266"/>
      <c r="AC81" s="266"/>
      <c r="AD81" s="267"/>
      <c r="AE81" s="269"/>
      <c r="AF81" s="266"/>
      <c r="AG81" s="266"/>
      <c r="AH81" s="266"/>
      <c r="AI81" s="271"/>
      <c r="AJ81" s="268"/>
      <c r="AK81" s="266"/>
      <c r="AL81" s="266"/>
      <c r="AM81" s="267"/>
      <c r="AN81" s="268"/>
      <c r="AO81" s="266"/>
      <c r="AP81" s="266"/>
      <c r="AQ81" s="267"/>
      <c r="AR81" s="268"/>
      <c r="AS81" s="266"/>
      <c r="AT81" s="266"/>
      <c r="AU81" s="266"/>
      <c r="AV81" s="271"/>
      <c r="AW81" s="268"/>
      <c r="AX81" s="266"/>
      <c r="AY81" s="266"/>
      <c r="AZ81" s="270"/>
      <c r="BA81" s="268"/>
      <c r="BB81" s="282"/>
      <c r="BC81" s="266"/>
      <c r="BD81" s="267"/>
      <c r="BE81" s="268"/>
      <c r="BF81" s="266"/>
      <c r="BG81" s="266"/>
      <c r="BH81" s="266"/>
      <c r="BI81" s="271"/>
      <c r="BJ81" s="293">
        <f>'[11]S-Curve Center 1 (Vat%) Weekly'!Z212*1.07</f>
        <v>0</v>
      </c>
      <c r="BK81" s="291"/>
      <c r="BL81" s="291"/>
      <c r="BM81" s="292"/>
      <c r="BN81" s="293">
        <f>'[11]S-Curve Center 1 (Vat%) Weekly'!AA212*1.07</f>
        <v>0</v>
      </c>
      <c r="BO81" s="291"/>
      <c r="BP81" s="291"/>
      <c r="BQ81" s="292"/>
      <c r="BR81" s="268"/>
      <c r="BS81" s="266"/>
      <c r="BT81" s="266"/>
      <c r="BU81" s="270"/>
      <c r="BV81" s="271"/>
      <c r="BW81" s="268"/>
      <c r="BX81" s="266"/>
      <c r="BY81" s="266"/>
      <c r="BZ81" s="267"/>
      <c r="CA81" s="268"/>
      <c r="CB81" s="266"/>
      <c r="CC81" s="266"/>
      <c r="CD81" s="267"/>
      <c r="CE81" s="268"/>
      <c r="CF81" s="266"/>
      <c r="CG81" s="266"/>
      <c r="CH81" s="266"/>
      <c r="CI81" s="271"/>
      <c r="CJ81" s="268"/>
      <c r="CK81" s="266"/>
      <c r="CL81" s="266"/>
      <c r="CM81" s="267"/>
      <c r="CN81" s="251"/>
      <c r="CO81" s="249"/>
      <c r="CP81" s="249"/>
      <c r="CQ81" s="250"/>
      <c r="CR81" s="251"/>
      <c r="CS81" s="249"/>
      <c r="CT81" s="249"/>
      <c r="CU81" s="250"/>
      <c r="CV81" s="251"/>
      <c r="CW81" s="249"/>
      <c r="CX81" s="249"/>
      <c r="CY81" s="250"/>
      <c r="CZ81" s="103"/>
      <c r="DA81" s="102"/>
      <c r="DB81" s="102"/>
    </row>
    <row r="82" spans="1:106" ht="24.95" customHeight="1" x14ac:dyDescent="0.55000000000000004">
      <c r="A82" s="345">
        <v>1.6</v>
      </c>
      <c r="B82" s="184">
        <f t="shared" ref="B82" si="210">A82</f>
        <v>1.6</v>
      </c>
      <c r="C82" s="347" t="s">
        <v>12</v>
      </c>
      <c r="D82" s="169" t="str">
        <f t="shared" ref="D82" si="211">C82</f>
        <v xml:space="preserve">      งานถนนและผังบริเวณ</v>
      </c>
      <c r="E82" s="49">
        <f>SUM(E84:E103)</f>
        <v>7134397.0247208467</v>
      </c>
      <c r="F82" s="50">
        <f t="shared" ref="F82" si="212">E82</f>
        <v>7134397.0247208467</v>
      </c>
      <c r="G82" s="212" t="s">
        <v>86</v>
      </c>
      <c r="H82" s="220">
        <f>SUM(J82:CZ82)</f>
        <v>0</v>
      </c>
      <c r="I82" s="213">
        <f>I84+I86+I88+I92+I94+I96+I98</f>
        <v>7134397.0247208467</v>
      </c>
      <c r="J82" s="258"/>
      <c r="K82" s="259"/>
      <c r="L82" s="259"/>
      <c r="M82" s="260"/>
      <c r="N82" s="261"/>
      <c r="O82" s="259"/>
      <c r="P82" s="259"/>
      <c r="Q82" s="260"/>
      <c r="R82" s="262"/>
      <c r="S82" s="259"/>
      <c r="T82" s="259"/>
      <c r="U82" s="260"/>
      <c r="V82" s="261"/>
      <c r="W82" s="259"/>
      <c r="X82" s="259"/>
      <c r="Y82" s="263"/>
      <c r="Z82" s="260"/>
      <c r="AA82" s="261"/>
      <c r="AB82" s="259"/>
      <c r="AC82" s="259"/>
      <c r="AD82" s="260"/>
      <c r="AE82" s="262"/>
      <c r="AF82" s="259"/>
      <c r="AG82" s="259"/>
      <c r="AH82" s="259"/>
      <c r="AI82" s="264"/>
      <c r="AJ82" s="261"/>
      <c r="AK82" s="259"/>
      <c r="AL82" s="259"/>
      <c r="AM82" s="260"/>
      <c r="AN82" s="261"/>
      <c r="AO82" s="259"/>
      <c r="AP82" s="259"/>
      <c r="AQ82" s="260"/>
      <c r="AR82" s="261"/>
      <c r="AS82" s="259"/>
      <c r="AT82" s="259"/>
      <c r="AU82" s="259"/>
      <c r="AV82" s="264"/>
      <c r="AW82" s="261"/>
      <c r="AX82" s="259"/>
      <c r="AY82" s="259"/>
      <c r="AZ82" s="263"/>
      <c r="BA82" s="261"/>
      <c r="BB82" s="259"/>
      <c r="BC82" s="259"/>
      <c r="BD82" s="260"/>
      <c r="BE82" s="261"/>
      <c r="BF82" s="259"/>
      <c r="BG82" s="259"/>
      <c r="BH82" s="259"/>
      <c r="BI82" s="264"/>
      <c r="BJ82" s="261"/>
      <c r="BK82" s="259"/>
      <c r="BL82" s="259"/>
      <c r="BM82" s="260"/>
      <c r="BN82" s="261"/>
      <c r="BO82" s="259"/>
      <c r="BP82" s="259"/>
      <c r="BQ82" s="260"/>
      <c r="BR82" s="261"/>
      <c r="BS82" s="259"/>
      <c r="BT82" s="259"/>
      <c r="BU82" s="263"/>
      <c r="BV82" s="264"/>
      <c r="BW82" s="261"/>
      <c r="BX82" s="259"/>
      <c r="BY82" s="259"/>
      <c r="BZ82" s="260"/>
      <c r="CA82" s="261"/>
      <c r="CB82" s="259"/>
      <c r="CC82" s="259"/>
      <c r="CD82" s="260"/>
      <c r="CE82" s="261"/>
      <c r="CF82" s="259"/>
      <c r="CG82" s="259"/>
      <c r="CH82" s="259"/>
      <c r="CI82" s="264"/>
      <c r="CJ82" s="261"/>
      <c r="CK82" s="259"/>
      <c r="CL82" s="259"/>
      <c r="CM82" s="260"/>
      <c r="CN82" s="257">
        <f t="shared" ref="CN82:CY82" si="213">SUMPRODUCT(($G$84:$G$99="P")*$F$84:$F$99*CN84:CN99)/$F$82</f>
        <v>0</v>
      </c>
      <c r="CO82" s="255">
        <f t="shared" si="213"/>
        <v>0</v>
      </c>
      <c r="CP82" s="255">
        <f t="shared" si="213"/>
        <v>0</v>
      </c>
      <c r="CQ82" s="256">
        <f t="shared" si="213"/>
        <v>0</v>
      </c>
      <c r="CR82" s="257">
        <f t="shared" si="213"/>
        <v>0</v>
      </c>
      <c r="CS82" s="255">
        <f t="shared" si="213"/>
        <v>0</v>
      </c>
      <c r="CT82" s="255">
        <f t="shared" si="213"/>
        <v>0</v>
      </c>
      <c r="CU82" s="256">
        <f t="shared" si="213"/>
        <v>0</v>
      </c>
      <c r="CV82" s="257">
        <f t="shared" si="213"/>
        <v>0</v>
      </c>
      <c r="CW82" s="255">
        <f t="shared" si="213"/>
        <v>0</v>
      </c>
      <c r="CX82" s="255">
        <f t="shared" si="213"/>
        <v>0</v>
      </c>
      <c r="CY82" s="256">
        <f t="shared" si="213"/>
        <v>0</v>
      </c>
      <c r="CZ82" s="105"/>
      <c r="DA82" s="102"/>
      <c r="DB82" s="102"/>
    </row>
    <row r="83" spans="1:106" ht="24.95" customHeight="1" x14ac:dyDescent="0.55000000000000004">
      <c r="A83" s="346"/>
      <c r="B83" s="184">
        <f t="shared" ref="B83" si="214">B82</f>
        <v>1.6</v>
      </c>
      <c r="C83" s="348"/>
      <c r="D83" s="169" t="str">
        <f t="shared" ref="D83" si="215">D82</f>
        <v xml:space="preserve">      งานถนนและผังบริเวณ</v>
      </c>
      <c r="E83" s="49"/>
      <c r="F83" s="50">
        <f t="shared" ref="F83" si="216">E82</f>
        <v>7134397.0247208467</v>
      </c>
      <c r="G83" s="214" t="s">
        <v>87</v>
      </c>
      <c r="H83" s="221">
        <f>SUM(J83:CZ83)</f>
        <v>0</v>
      </c>
      <c r="I83" s="215">
        <f>I85+I87+I89+I93+I95+I97+I99</f>
        <v>0</v>
      </c>
      <c r="J83" s="265"/>
      <c r="K83" s="266"/>
      <c r="L83" s="266"/>
      <c r="M83" s="267"/>
      <c r="N83" s="268"/>
      <c r="O83" s="266"/>
      <c r="P83" s="266"/>
      <c r="Q83" s="267"/>
      <c r="R83" s="269"/>
      <c r="S83" s="266"/>
      <c r="T83" s="266"/>
      <c r="U83" s="267"/>
      <c r="V83" s="268"/>
      <c r="W83" s="266"/>
      <c r="X83" s="266"/>
      <c r="Y83" s="270"/>
      <c r="Z83" s="267"/>
      <c r="AA83" s="268"/>
      <c r="AB83" s="266"/>
      <c r="AC83" s="266"/>
      <c r="AD83" s="267"/>
      <c r="AE83" s="269"/>
      <c r="AF83" s="266"/>
      <c r="AG83" s="266"/>
      <c r="AH83" s="266"/>
      <c r="AI83" s="271"/>
      <c r="AJ83" s="268"/>
      <c r="AK83" s="266"/>
      <c r="AL83" s="266"/>
      <c r="AM83" s="267"/>
      <c r="AN83" s="268"/>
      <c r="AO83" s="266"/>
      <c r="AP83" s="266"/>
      <c r="AQ83" s="267"/>
      <c r="AR83" s="268"/>
      <c r="AS83" s="266"/>
      <c r="AT83" s="266"/>
      <c r="AU83" s="266"/>
      <c r="AV83" s="271"/>
      <c r="AW83" s="268"/>
      <c r="AX83" s="266"/>
      <c r="AY83" s="266"/>
      <c r="AZ83" s="270"/>
      <c r="BA83" s="268"/>
      <c r="BB83" s="266"/>
      <c r="BC83" s="266"/>
      <c r="BD83" s="267"/>
      <c r="BE83" s="268"/>
      <c r="BF83" s="266"/>
      <c r="BG83" s="266"/>
      <c r="BH83" s="266"/>
      <c r="BI83" s="271"/>
      <c r="BJ83" s="268"/>
      <c r="BK83" s="266"/>
      <c r="BL83" s="266"/>
      <c r="BM83" s="267"/>
      <c r="BN83" s="268"/>
      <c r="BO83" s="266"/>
      <c r="BP83" s="266"/>
      <c r="BQ83" s="267"/>
      <c r="BR83" s="268"/>
      <c r="BS83" s="266"/>
      <c r="BT83" s="266"/>
      <c r="BU83" s="270"/>
      <c r="BV83" s="271"/>
      <c r="BW83" s="268"/>
      <c r="BX83" s="266"/>
      <c r="BY83" s="266"/>
      <c r="BZ83" s="267"/>
      <c r="CA83" s="268"/>
      <c r="CB83" s="266"/>
      <c r="CC83" s="266"/>
      <c r="CD83" s="267"/>
      <c r="CE83" s="268"/>
      <c r="CF83" s="266"/>
      <c r="CG83" s="266"/>
      <c r="CH83" s="266"/>
      <c r="CI83" s="271"/>
      <c r="CJ83" s="268"/>
      <c r="CK83" s="266"/>
      <c r="CL83" s="266"/>
      <c r="CM83" s="267"/>
      <c r="CN83" s="251">
        <f t="shared" ref="CN83:CY83" si="217">SUMPRODUCT(($G$84:$G$99="A")*$F$84:$F$99*CN84:CN99)/$F$82</f>
        <v>0</v>
      </c>
      <c r="CO83" s="249">
        <f t="shared" si="217"/>
        <v>0</v>
      </c>
      <c r="CP83" s="249">
        <f t="shared" si="217"/>
        <v>0</v>
      </c>
      <c r="CQ83" s="250">
        <f t="shared" si="217"/>
        <v>0</v>
      </c>
      <c r="CR83" s="251">
        <f t="shared" si="217"/>
        <v>0</v>
      </c>
      <c r="CS83" s="249">
        <f t="shared" si="217"/>
        <v>0</v>
      </c>
      <c r="CT83" s="249">
        <f t="shared" si="217"/>
        <v>0</v>
      </c>
      <c r="CU83" s="250">
        <f t="shared" si="217"/>
        <v>0</v>
      </c>
      <c r="CV83" s="251">
        <f t="shared" si="217"/>
        <v>0</v>
      </c>
      <c r="CW83" s="249">
        <f t="shared" si="217"/>
        <v>0</v>
      </c>
      <c r="CX83" s="249">
        <f t="shared" si="217"/>
        <v>0</v>
      </c>
      <c r="CY83" s="250">
        <f t="shared" si="217"/>
        <v>0</v>
      </c>
      <c r="CZ83" s="103"/>
      <c r="DA83" s="102"/>
      <c r="DB83" s="102"/>
    </row>
    <row r="84" spans="1:106" ht="24.95" customHeight="1" outlineLevel="1" x14ac:dyDescent="0.55000000000000004">
      <c r="A84" s="326" t="s">
        <v>117</v>
      </c>
      <c r="B84" s="179" t="str">
        <f t="shared" ref="B84" si="218">A84</f>
        <v>1.6.1</v>
      </c>
      <c r="C84" s="343" t="s">
        <v>39</v>
      </c>
      <c r="D84" s="166" t="str">
        <f t="shared" ref="D84" si="219">C84</f>
        <v xml:space="preserve">             ติดตั้งถังบำบัดน้ำเสีย ( WWTP )</v>
      </c>
      <c r="E84" s="33">
        <v>592429.84990668099</v>
      </c>
      <c r="F84" s="34">
        <f t="shared" ref="F84" si="220">E84</f>
        <v>592429.84990668099</v>
      </c>
      <c r="G84" s="104" t="s">
        <v>86</v>
      </c>
      <c r="H84" s="216">
        <f>SUM(J84:CZ84)</f>
        <v>1</v>
      </c>
      <c r="I84" s="206">
        <f t="shared" si="209"/>
        <v>592429.84990668099</v>
      </c>
      <c r="J84" s="258"/>
      <c r="K84" s="259"/>
      <c r="L84" s="259"/>
      <c r="M84" s="260"/>
      <c r="N84" s="261"/>
      <c r="O84" s="259"/>
      <c r="P84" s="259"/>
      <c r="Q84" s="260"/>
      <c r="R84" s="262"/>
      <c r="S84" s="259"/>
      <c r="T84" s="259"/>
      <c r="U84" s="260"/>
      <c r="V84" s="261"/>
      <c r="W84" s="259"/>
      <c r="X84" s="259"/>
      <c r="Y84" s="263"/>
      <c r="Z84" s="260"/>
      <c r="AA84" s="261"/>
      <c r="AB84" s="259"/>
      <c r="AC84" s="259"/>
      <c r="AD84" s="260"/>
      <c r="AE84" s="283">
        <v>0.25</v>
      </c>
      <c r="AF84" s="277">
        <v>0.25</v>
      </c>
      <c r="AG84" s="277">
        <v>0.25</v>
      </c>
      <c r="AH84" s="277">
        <v>0.25</v>
      </c>
      <c r="AI84" s="278"/>
      <c r="AJ84" s="261"/>
      <c r="AK84" s="259"/>
      <c r="AL84" s="259"/>
      <c r="AM84" s="260"/>
      <c r="AN84" s="261"/>
      <c r="AO84" s="259"/>
      <c r="AP84" s="259"/>
      <c r="AQ84" s="260"/>
      <c r="AR84" s="279"/>
      <c r="AS84" s="280"/>
      <c r="AT84" s="280"/>
      <c r="AU84" s="280"/>
      <c r="AV84" s="264"/>
      <c r="AW84" s="261"/>
      <c r="AX84" s="259"/>
      <c r="AY84" s="259"/>
      <c r="AZ84" s="263"/>
      <c r="BA84" s="261"/>
      <c r="BB84" s="259"/>
      <c r="BC84" s="259"/>
      <c r="BD84" s="260"/>
      <c r="BE84" s="261"/>
      <c r="BF84" s="259"/>
      <c r="BG84" s="259"/>
      <c r="BH84" s="259"/>
      <c r="BI84" s="264"/>
      <c r="BJ84" s="261"/>
      <c r="BK84" s="259"/>
      <c r="BL84" s="259"/>
      <c r="BM84" s="260"/>
      <c r="BN84" s="261"/>
      <c r="BO84" s="259"/>
      <c r="BP84" s="259"/>
      <c r="BQ84" s="260"/>
      <c r="BR84" s="261"/>
      <c r="BS84" s="259"/>
      <c r="BT84" s="259"/>
      <c r="BU84" s="263"/>
      <c r="BV84" s="264"/>
      <c r="BW84" s="261"/>
      <c r="BX84" s="259"/>
      <c r="BY84" s="259"/>
      <c r="BZ84" s="260"/>
      <c r="CA84" s="261"/>
      <c r="CB84" s="259"/>
      <c r="CC84" s="259"/>
      <c r="CD84" s="260"/>
      <c r="CE84" s="261"/>
      <c r="CF84" s="259"/>
      <c r="CG84" s="259"/>
      <c r="CH84" s="259"/>
      <c r="CI84" s="264"/>
      <c r="CJ84" s="261"/>
      <c r="CK84" s="259"/>
      <c r="CL84" s="259"/>
      <c r="CM84" s="260"/>
      <c r="CN84" s="257"/>
      <c r="CO84" s="255"/>
      <c r="CP84" s="255"/>
      <c r="CQ84" s="256"/>
      <c r="CR84" s="257"/>
      <c r="CS84" s="255"/>
      <c r="CT84" s="255"/>
      <c r="CU84" s="256"/>
      <c r="CV84" s="257"/>
      <c r="CW84" s="255"/>
      <c r="CX84" s="255"/>
      <c r="CY84" s="256"/>
      <c r="CZ84" s="105"/>
      <c r="DA84" s="102"/>
      <c r="DB84" s="102"/>
    </row>
    <row r="85" spans="1:106" ht="24.95" customHeight="1" outlineLevel="1" x14ac:dyDescent="0.55000000000000004">
      <c r="A85" s="326"/>
      <c r="B85" s="179" t="str">
        <f t="shared" ref="B85" si="221">B84</f>
        <v>1.6.1</v>
      </c>
      <c r="C85" s="343"/>
      <c r="D85" s="166" t="str">
        <f t="shared" ref="D85" si="222">D84</f>
        <v xml:space="preserve">             ติดตั้งถังบำบัดน้ำเสีย ( WWTP )</v>
      </c>
      <c r="E85" s="33"/>
      <c r="F85" s="34">
        <f t="shared" ref="F85" si="223">E84</f>
        <v>592429.84990668099</v>
      </c>
      <c r="G85" s="106" t="s">
        <v>87</v>
      </c>
      <c r="H85" s="217">
        <f>SUM(J85:CZ85)</f>
        <v>0</v>
      </c>
      <c r="I85" s="207">
        <f t="shared" si="209"/>
        <v>0</v>
      </c>
      <c r="J85" s="265"/>
      <c r="K85" s="266"/>
      <c r="L85" s="266"/>
      <c r="M85" s="267"/>
      <c r="N85" s="268"/>
      <c r="O85" s="266"/>
      <c r="P85" s="266"/>
      <c r="Q85" s="267"/>
      <c r="R85" s="269"/>
      <c r="S85" s="266"/>
      <c r="T85" s="266"/>
      <c r="U85" s="267"/>
      <c r="V85" s="268"/>
      <c r="W85" s="266"/>
      <c r="X85" s="282"/>
      <c r="Y85" s="270"/>
      <c r="Z85" s="267"/>
      <c r="AA85" s="268"/>
      <c r="AB85" s="266"/>
      <c r="AC85" s="266"/>
      <c r="AD85" s="267"/>
      <c r="AE85" s="294"/>
      <c r="AF85" s="291"/>
      <c r="AG85" s="291"/>
      <c r="AH85" s="291"/>
      <c r="AI85" s="296"/>
      <c r="AJ85" s="268"/>
      <c r="AK85" s="266"/>
      <c r="AL85" s="266"/>
      <c r="AM85" s="267"/>
      <c r="AN85" s="268"/>
      <c r="AO85" s="266"/>
      <c r="AP85" s="266"/>
      <c r="AQ85" s="267"/>
      <c r="AR85" s="268"/>
      <c r="AS85" s="266"/>
      <c r="AT85" s="266"/>
      <c r="AU85" s="266"/>
      <c r="AV85" s="271"/>
      <c r="AW85" s="268"/>
      <c r="AX85" s="266"/>
      <c r="AY85" s="266"/>
      <c r="AZ85" s="270"/>
      <c r="BA85" s="268"/>
      <c r="BB85" s="266"/>
      <c r="BC85" s="266"/>
      <c r="BD85" s="267"/>
      <c r="BE85" s="268"/>
      <c r="BF85" s="266"/>
      <c r="BG85" s="266"/>
      <c r="BH85" s="266"/>
      <c r="BI85" s="271"/>
      <c r="BJ85" s="268"/>
      <c r="BK85" s="266"/>
      <c r="BL85" s="266"/>
      <c r="BM85" s="267"/>
      <c r="BN85" s="268"/>
      <c r="BO85" s="266"/>
      <c r="BP85" s="266"/>
      <c r="BQ85" s="267"/>
      <c r="BR85" s="268"/>
      <c r="BS85" s="266"/>
      <c r="BT85" s="266"/>
      <c r="BU85" s="270"/>
      <c r="BV85" s="271"/>
      <c r="BW85" s="268"/>
      <c r="BX85" s="266"/>
      <c r="BY85" s="266"/>
      <c r="BZ85" s="267"/>
      <c r="CA85" s="268"/>
      <c r="CB85" s="266"/>
      <c r="CC85" s="266"/>
      <c r="CD85" s="267"/>
      <c r="CE85" s="268"/>
      <c r="CF85" s="266"/>
      <c r="CG85" s="266"/>
      <c r="CH85" s="266"/>
      <c r="CI85" s="271"/>
      <c r="CJ85" s="268"/>
      <c r="CK85" s="266"/>
      <c r="CL85" s="266"/>
      <c r="CM85" s="267"/>
      <c r="CN85" s="251"/>
      <c r="CO85" s="249"/>
      <c r="CP85" s="249"/>
      <c r="CQ85" s="250"/>
      <c r="CR85" s="251"/>
      <c r="CS85" s="249"/>
      <c r="CT85" s="249"/>
      <c r="CU85" s="250"/>
      <c r="CV85" s="251"/>
      <c r="CW85" s="249"/>
      <c r="CX85" s="249"/>
      <c r="CY85" s="250"/>
      <c r="CZ85" s="103"/>
      <c r="DA85" s="102"/>
      <c r="DB85" s="102"/>
    </row>
    <row r="86" spans="1:106" ht="24.95" customHeight="1" outlineLevel="1" x14ac:dyDescent="0.55000000000000004">
      <c r="A86" s="326" t="s">
        <v>118</v>
      </c>
      <c r="B86" s="179" t="str">
        <f t="shared" ref="B86" si="224">A86</f>
        <v>1.6.2</v>
      </c>
      <c r="C86" s="343" t="s">
        <v>40</v>
      </c>
      <c r="D86" s="166" t="str">
        <f t="shared" ref="D86" si="225">C86</f>
        <v xml:space="preserve">             ติดตั้งถังดักไขมัน</v>
      </c>
      <c r="E86" s="33">
        <v>42272.622750806899</v>
      </c>
      <c r="F86" s="34">
        <f t="shared" ref="F86" si="226">E86</f>
        <v>42272.622750806899</v>
      </c>
      <c r="G86" s="104" t="s">
        <v>86</v>
      </c>
      <c r="H86" s="216">
        <f>SUM(J86:CZ86)</f>
        <v>0.99999999999999989</v>
      </c>
      <c r="I86" s="206">
        <f t="shared" si="209"/>
        <v>42272.622750806891</v>
      </c>
      <c r="J86" s="258"/>
      <c r="K86" s="259"/>
      <c r="L86" s="259"/>
      <c r="M86" s="260"/>
      <c r="N86" s="261"/>
      <c r="O86" s="259"/>
      <c r="P86" s="259"/>
      <c r="Q86" s="260"/>
      <c r="R86" s="262"/>
      <c r="S86" s="259"/>
      <c r="T86" s="259"/>
      <c r="U86" s="260"/>
      <c r="V86" s="261"/>
      <c r="W86" s="259"/>
      <c r="X86" s="259"/>
      <c r="Y86" s="263"/>
      <c r="Z86" s="260"/>
      <c r="AA86" s="285">
        <v>0.15</v>
      </c>
      <c r="AB86" s="277">
        <v>0.15</v>
      </c>
      <c r="AC86" s="277">
        <v>0.15</v>
      </c>
      <c r="AD86" s="284">
        <v>0.15</v>
      </c>
      <c r="AE86" s="283">
        <v>0.1</v>
      </c>
      <c r="AF86" s="277">
        <v>0.1</v>
      </c>
      <c r="AG86" s="277">
        <v>0.1</v>
      </c>
      <c r="AH86" s="277">
        <v>0.1</v>
      </c>
      <c r="AI86" s="278"/>
      <c r="AJ86" s="261"/>
      <c r="AK86" s="259"/>
      <c r="AL86" s="259"/>
      <c r="AM86" s="260"/>
      <c r="AN86" s="261"/>
      <c r="AO86" s="259"/>
      <c r="AP86" s="259"/>
      <c r="AQ86" s="260"/>
      <c r="AR86" s="261"/>
      <c r="AS86" s="259"/>
      <c r="AT86" s="280"/>
      <c r="AU86" s="280"/>
      <c r="AV86" s="287"/>
      <c r="AW86" s="279"/>
      <c r="AX86" s="259"/>
      <c r="AY86" s="259"/>
      <c r="AZ86" s="263"/>
      <c r="BA86" s="261"/>
      <c r="BB86" s="259"/>
      <c r="BC86" s="259"/>
      <c r="BD86" s="260"/>
      <c r="BE86" s="261"/>
      <c r="BF86" s="259"/>
      <c r="BG86" s="259"/>
      <c r="BH86" s="259"/>
      <c r="BI86" s="264"/>
      <c r="BJ86" s="261"/>
      <c r="BK86" s="259"/>
      <c r="BL86" s="259"/>
      <c r="BM86" s="260"/>
      <c r="BN86" s="261"/>
      <c r="BO86" s="259"/>
      <c r="BP86" s="259"/>
      <c r="BQ86" s="260"/>
      <c r="BR86" s="261"/>
      <c r="BS86" s="259"/>
      <c r="BT86" s="259"/>
      <c r="BU86" s="263"/>
      <c r="BV86" s="264"/>
      <c r="BW86" s="261"/>
      <c r="BX86" s="259"/>
      <c r="BY86" s="259"/>
      <c r="BZ86" s="260"/>
      <c r="CA86" s="261"/>
      <c r="CB86" s="259"/>
      <c r="CC86" s="259"/>
      <c r="CD86" s="260"/>
      <c r="CE86" s="261"/>
      <c r="CF86" s="259"/>
      <c r="CG86" s="259"/>
      <c r="CH86" s="259"/>
      <c r="CI86" s="264"/>
      <c r="CJ86" s="261"/>
      <c r="CK86" s="259"/>
      <c r="CL86" s="259"/>
      <c r="CM86" s="260"/>
      <c r="CN86" s="257"/>
      <c r="CO86" s="255"/>
      <c r="CP86" s="255"/>
      <c r="CQ86" s="256"/>
      <c r="CR86" s="257"/>
      <c r="CS86" s="255"/>
      <c r="CT86" s="255"/>
      <c r="CU86" s="256"/>
      <c r="CV86" s="257"/>
      <c r="CW86" s="255"/>
      <c r="CX86" s="255"/>
      <c r="CY86" s="256"/>
      <c r="CZ86" s="105"/>
      <c r="DA86" s="102"/>
      <c r="DB86" s="102"/>
    </row>
    <row r="87" spans="1:106" ht="24.95" customHeight="1" outlineLevel="1" x14ac:dyDescent="0.55000000000000004">
      <c r="A87" s="326"/>
      <c r="B87" s="179" t="str">
        <f t="shared" ref="B87" si="227">B86</f>
        <v>1.6.2</v>
      </c>
      <c r="C87" s="343"/>
      <c r="D87" s="166" t="str">
        <f t="shared" ref="D87" si="228">D86</f>
        <v xml:space="preserve">             ติดตั้งถังดักไขมัน</v>
      </c>
      <c r="E87" s="33"/>
      <c r="F87" s="34">
        <f t="shared" ref="F87" si="229">E86</f>
        <v>42272.622750806899</v>
      </c>
      <c r="G87" s="106" t="s">
        <v>87</v>
      </c>
      <c r="H87" s="217">
        <f>SUM(J87:CZ87)</f>
        <v>0</v>
      </c>
      <c r="I87" s="207">
        <f t="shared" si="209"/>
        <v>0</v>
      </c>
      <c r="J87" s="265"/>
      <c r="K87" s="266"/>
      <c r="L87" s="266"/>
      <c r="M87" s="267"/>
      <c r="N87" s="268"/>
      <c r="O87" s="266"/>
      <c r="P87" s="266"/>
      <c r="Q87" s="267"/>
      <c r="R87" s="269"/>
      <c r="S87" s="266"/>
      <c r="T87" s="266"/>
      <c r="U87" s="267"/>
      <c r="V87" s="268"/>
      <c r="W87" s="266"/>
      <c r="X87" s="282"/>
      <c r="Y87" s="270"/>
      <c r="Z87" s="267"/>
      <c r="AA87" s="293"/>
      <c r="AB87" s="291"/>
      <c r="AC87" s="291"/>
      <c r="AD87" s="292"/>
      <c r="AE87" s="294"/>
      <c r="AF87" s="291"/>
      <c r="AG87" s="291"/>
      <c r="AH87" s="291"/>
      <c r="AI87" s="296"/>
      <c r="AJ87" s="268"/>
      <c r="AK87" s="266"/>
      <c r="AL87" s="266"/>
      <c r="AM87" s="267"/>
      <c r="AN87" s="268"/>
      <c r="AO87" s="266"/>
      <c r="AP87" s="266"/>
      <c r="AQ87" s="267"/>
      <c r="AR87" s="268"/>
      <c r="AS87" s="266"/>
      <c r="AT87" s="266"/>
      <c r="AU87" s="266"/>
      <c r="AV87" s="271"/>
      <c r="AW87" s="268"/>
      <c r="AX87" s="266"/>
      <c r="AY87" s="266"/>
      <c r="AZ87" s="270"/>
      <c r="BA87" s="268"/>
      <c r="BB87" s="266"/>
      <c r="BC87" s="266"/>
      <c r="BD87" s="267"/>
      <c r="BE87" s="268"/>
      <c r="BF87" s="266"/>
      <c r="BG87" s="266"/>
      <c r="BH87" s="266"/>
      <c r="BI87" s="271"/>
      <c r="BJ87" s="268"/>
      <c r="BK87" s="266"/>
      <c r="BL87" s="266"/>
      <c r="BM87" s="267"/>
      <c r="BN87" s="268"/>
      <c r="BO87" s="266"/>
      <c r="BP87" s="266"/>
      <c r="BQ87" s="267"/>
      <c r="BR87" s="268"/>
      <c r="BS87" s="266"/>
      <c r="BT87" s="266"/>
      <c r="BU87" s="270"/>
      <c r="BV87" s="271"/>
      <c r="BW87" s="268"/>
      <c r="BX87" s="266"/>
      <c r="BY87" s="266"/>
      <c r="BZ87" s="267"/>
      <c r="CA87" s="268"/>
      <c r="CB87" s="266"/>
      <c r="CC87" s="266"/>
      <c r="CD87" s="267"/>
      <c r="CE87" s="268"/>
      <c r="CF87" s="266"/>
      <c r="CG87" s="266"/>
      <c r="CH87" s="266"/>
      <c r="CI87" s="271"/>
      <c r="CJ87" s="268"/>
      <c r="CK87" s="266"/>
      <c r="CL87" s="266"/>
      <c r="CM87" s="267"/>
      <c r="CN87" s="251"/>
      <c r="CO87" s="249"/>
      <c r="CP87" s="249"/>
      <c r="CQ87" s="250"/>
      <c r="CR87" s="251"/>
      <c r="CS87" s="249"/>
      <c r="CT87" s="249"/>
      <c r="CU87" s="250"/>
      <c r="CV87" s="251"/>
      <c r="CW87" s="249"/>
      <c r="CX87" s="249"/>
      <c r="CY87" s="250"/>
      <c r="CZ87" s="103"/>
      <c r="DA87" s="102"/>
      <c r="DB87" s="102"/>
    </row>
    <row r="88" spans="1:106" ht="24.95" customHeight="1" outlineLevel="1" x14ac:dyDescent="0.55000000000000004">
      <c r="A88" s="326" t="s">
        <v>119</v>
      </c>
      <c r="B88" s="179" t="str">
        <f t="shared" ref="B88" si="230">A88</f>
        <v>1.6.3</v>
      </c>
      <c r="C88" s="343" t="s">
        <v>41</v>
      </c>
      <c r="D88" s="166" t="str">
        <f t="shared" ref="D88" si="231">C88</f>
        <v xml:space="preserve">             ติดตั้งถังเก็บน้ำประปา ( Water Tank ) และ Cold Water Booster Pump</v>
      </c>
      <c r="E88" s="33">
        <v>927578.61846687598</v>
      </c>
      <c r="F88" s="34">
        <f t="shared" ref="F88" si="232">E88</f>
        <v>927578.61846687598</v>
      </c>
      <c r="G88" s="104" t="s">
        <v>86</v>
      </c>
      <c r="H88" s="216">
        <f>SUM(J88:CZ88)</f>
        <v>0.99999999999999989</v>
      </c>
      <c r="I88" s="206">
        <f t="shared" si="209"/>
        <v>927578.61846687587</v>
      </c>
      <c r="J88" s="258"/>
      <c r="K88" s="259"/>
      <c r="L88" s="259"/>
      <c r="M88" s="260"/>
      <c r="N88" s="261"/>
      <c r="O88" s="259"/>
      <c r="P88" s="259"/>
      <c r="Q88" s="260"/>
      <c r="R88" s="262"/>
      <c r="S88" s="259"/>
      <c r="T88" s="259"/>
      <c r="U88" s="260"/>
      <c r="V88" s="261"/>
      <c r="W88" s="259"/>
      <c r="X88" s="259"/>
      <c r="Y88" s="263"/>
      <c r="Z88" s="260"/>
      <c r="AA88" s="285">
        <v>0.1</v>
      </c>
      <c r="AB88" s="277">
        <v>0.25</v>
      </c>
      <c r="AC88" s="277">
        <v>0.35</v>
      </c>
      <c r="AD88" s="284">
        <v>0.2</v>
      </c>
      <c r="AE88" s="283">
        <v>0.1</v>
      </c>
      <c r="AF88" s="277"/>
      <c r="AG88" s="277"/>
      <c r="AH88" s="277"/>
      <c r="AI88" s="278"/>
      <c r="AJ88" s="261"/>
      <c r="AK88" s="259"/>
      <c r="AL88" s="259"/>
      <c r="AM88" s="260"/>
      <c r="AN88" s="261"/>
      <c r="AO88" s="259"/>
      <c r="AP88" s="259"/>
      <c r="AQ88" s="260"/>
      <c r="AR88" s="261"/>
      <c r="AS88" s="259"/>
      <c r="AT88" s="259"/>
      <c r="AU88" s="259"/>
      <c r="AV88" s="287"/>
      <c r="AW88" s="279"/>
      <c r="AX88" s="280"/>
      <c r="AY88" s="280"/>
      <c r="AZ88" s="263"/>
      <c r="BA88" s="261"/>
      <c r="BB88" s="259"/>
      <c r="BC88" s="259"/>
      <c r="BD88" s="260"/>
      <c r="BE88" s="261"/>
      <c r="BF88" s="259"/>
      <c r="BG88" s="259"/>
      <c r="BH88" s="259"/>
      <c r="BI88" s="264"/>
      <c r="BJ88" s="261"/>
      <c r="BK88" s="259"/>
      <c r="BL88" s="259"/>
      <c r="BM88" s="260"/>
      <c r="BN88" s="261"/>
      <c r="BO88" s="259"/>
      <c r="BP88" s="259"/>
      <c r="BQ88" s="260"/>
      <c r="BR88" s="261"/>
      <c r="BS88" s="259"/>
      <c r="BT88" s="259"/>
      <c r="BU88" s="263"/>
      <c r="BV88" s="264"/>
      <c r="BW88" s="261"/>
      <c r="BX88" s="259"/>
      <c r="BY88" s="259"/>
      <c r="BZ88" s="260"/>
      <c r="CA88" s="261"/>
      <c r="CB88" s="259"/>
      <c r="CC88" s="259"/>
      <c r="CD88" s="260"/>
      <c r="CE88" s="261"/>
      <c r="CF88" s="259"/>
      <c r="CG88" s="259"/>
      <c r="CH88" s="259"/>
      <c r="CI88" s="264"/>
      <c r="CJ88" s="261"/>
      <c r="CK88" s="259"/>
      <c r="CL88" s="259"/>
      <c r="CM88" s="260"/>
      <c r="CN88" s="257"/>
      <c r="CO88" s="255"/>
      <c r="CP88" s="255"/>
      <c r="CQ88" s="256"/>
      <c r="CR88" s="257"/>
      <c r="CS88" s="255"/>
      <c r="CT88" s="255"/>
      <c r="CU88" s="256"/>
      <c r="CV88" s="257"/>
      <c r="CW88" s="255"/>
      <c r="CX88" s="255"/>
      <c r="CY88" s="256"/>
      <c r="CZ88" s="105"/>
      <c r="DA88" s="102"/>
      <c r="DB88" s="102"/>
    </row>
    <row r="89" spans="1:106" ht="24.95" customHeight="1" outlineLevel="1" x14ac:dyDescent="0.55000000000000004">
      <c r="A89" s="326"/>
      <c r="B89" s="179" t="str">
        <f t="shared" ref="B89" si="233">B88</f>
        <v>1.6.3</v>
      </c>
      <c r="C89" s="343"/>
      <c r="D89" s="166" t="str">
        <f t="shared" ref="D89" si="234">D88</f>
        <v xml:space="preserve">             ติดตั้งถังเก็บน้ำประปา ( Water Tank ) และ Cold Water Booster Pump</v>
      </c>
      <c r="E89" s="33"/>
      <c r="F89" s="34">
        <f t="shared" ref="F89" si="235">E88</f>
        <v>927578.61846687598</v>
      </c>
      <c r="G89" s="106" t="s">
        <v>87</v>
      </c>
      <c r="H89" s="217">
        <f>SUM(J89:CZ89)</f>
        <v>0</v>
      </c>
      <c r="I89" s="207">
        <f t="shared" si="209"/>
        <v>0</v>
      </c>
      <c r="J89" s="265"/>
      <c r="K89" s="266"/>
      <c r="L89" s="266"/>
      <c r="M89" s="267"/>
      <c r="N89" s="268"/>
      <c r="O89" s="266"/>
      <c r="P89" s="266"/>
      <c r="Q89" s="267"/>
      <c r="R89" s="269"/>
      <c r="S89" s="266"/>
      <c r="T89" s="266"/>
      <c r="U89" s="267"/>
      <c r="V89" s="268"/>
      <c r="W89" s="266"/>
      <c r="X89" s="282"/>
      <c r="Y89" s="270"/>
      <c r="Z89" s="267"/>
      <c r="AA89" s="293"/>
      <c r="AB89" s="291"/>
      <c r="AC89" s="291"/>
      <c r="AD89" s="292"/>
      <c r="AE89" s="294"/>
      <c r="AF89" s="291"/>
      <c r="AG89" s="291"/>
      <c r="AH89" s="291"/>
      <c r="AI89" s="296"/>
      <c r="AJ89" s="268"/>
      <c r="AK89" s="266"/>
      <c r="AL89" s="266"/>
      <c r="AM89" s="267"/>
      <c r="AN89" s="268"/>
      <c r="AO89" s="266"/>
      <c r="AP89" s="266"/>
      <c r="AQ89" s="267"/>
      <c r="AR89" s="268"/>
      <c r="AS89" s="266"/>
      <c r="AT89" s="266"/>
      <c r="AU89" s="266"/>
      <c r="AV89" s="271"/>
      <c r="AW89" s="268"/>
      <c r="AX89" s="266"/>
      <c r="AY89" s="266"/>
      <c r="AZ89" s="270"/>
      <c r="BA89" s="268"/>
      <c r="BB89" s="266"/>
      <c r="BC89" s="266"/>
      <c r="BD89" s="267"/>
      <c r="BE89" s="268"/>
      <c r="BF89" s="266"/>
      <c r="BG89" s="266"/>
      <c r="BH89" s="266"/>
      <c r="BI89" s="271"/>
      <c r="BJ89" s="268"/>
      <c r="BK89" s="266"/>
      <c r="BL89" s="266"/>
      <c r="BM89" s="267"/>
      <c r="BN89" s="268"/>
      <c r="BO89" s="266"/>
      <c r="BP89" s="266"/>
      <c r="BQ89" s="267"/>
      <c r="BR89" s="268"/>
      <c r="BS89" s="266"/>
      <c r="BT89" s="266"/>
      <c r="BU89" s="270"/>
      <c r="BV89" s="271"/>
      <c r="BW89" s="268"/>
      <c r="BX89" s="266"/>
      <c r="BY89" s="266"/>
      <c r="BZ89" s="267"/>
      <c r="CA89" s="268"/>
      <c r="CB89" s="266"/>
      <c r="CC89" s="266"/>
      <c r="CD89" s="267"/>
      <c r="CE89" s="268"/>
      <c r="CF89" s="266"/>
      <c r="CG89" s="266"/>
      <c r="CH89" s="266"/>
      <c r="CI89" s="271"/>
      <c r="CJ89" s="268"/>
      <c r="CK89" s="266"/>
      <c r="CL89" s="266"/>
      <c r="CM89" s="267"/>
      <c r="CN89" s="251"/>
      <c r="CO89" s="249"/>
      <c r="CP89" s="249"/>
      <c r="CQ89" s="250"/>
      <c r="CR89" s="251"/>
      <c r="CS89" s="249"/>
      <c r="CT89" s="249"/>
      <c r="CU89" s="250"/>
      <c r="CV89" s="251"/>
      <c r="CW89" s="249"/>
      <c r="CX89" s="249"/>
      <c r="CY89" s="250"/>
      <c r="CZ89" s="103"/>
      <c r="DA89" s="102"/>
      <c r="DB89" s="102"/>
    </row>
    <row r="90" spans="1:106" ht="24.95" hidden="1" customHeight="1" outlineLevel="1" x14ac:dyDescent="0.55000000000000004">
      <c r="A90" s="326" t="s">
        <v>120</v>
      </c>
      <c r="B90" s="179" t="str">
        <f t="shared" ref="B90" si="236">A90</f>
        <v>1.6.4</v>
      </c>
      <c r="C90" s="343"/>
      <c r="D90" s="166">
        <f t="shared" ref="D90" si="237">C90</f>
        <v>0</v>
      </c>
      <c r="E90" s="33">
        <v>0</v>
      </c>
      <c r="F90" s="34">
        <f t="shared" ref="F90" si="238">E90</f>
        <v>0</v>
      </c>
      <c r="G90" s="104" t="s">
        <v>86</v>
      </c>
      <c r="H90" s="216">
        <f>SUM(J90:CZ90)</f>
        <v>0</v>
      </c>
      <c r="I90" s="206">
        <f t="shared" si="209"/>
        <v>0</v>
      </c>
      <c r="J90" s="258"/>
      <c r="K90" s="259"/>
      <c r="L90" s="259"/>
      <c r="M90" s="260"/>
      <c r="N90" s="261"/>
      <c r="O90" s="259"/>
      <c r="P90" s="259"/>
      <c r="Q90" s="260"/>
      <c r="R90" s="262"/>
      <c r="S90" s="259"/>
      <c r="T90" s="259"/>
      <c r="U90" s="260"/>
      <c r="V90" s="261"/>
      <c r="W90" s="259"/>
      <c r="X90" s="259"/>
      <c r="Y90" s="263"/>
      <c r="Z90" s="260"/>
      <c r="AA90" s="261"/>
      <c r="AB90" s="259"/>
      <c r="AC90" s="259"/>
      <c r="AD90" s="260"/>
      <c r="AE90" s="262"/>
      <c r="AF90" s="259"/>
      <c r="AG90" s="259"/>
      <c r="AH90" s="259"/>
      <c r="AI90" s="264"/>
      <c r="AJ90" s="261"/>
      <c r="AK90" s="259"/>
      <c r="AL90" s="259"/>
      <c r="AM90" s="260"/>
      <c r="AN90" s="261"/>
      <c r="AO90" s="259"/>
      <c r="AP90" s="259"/>
      <c r="AQ90" s="260"/>
      <c r="AR90" s="261"/>
      <c r="AS90" s="259"/>
      <c r="AT90" s="259"/>
      <c r="AU90" s="259"/>
      <c r="AV90" s="264"/>
      <c r="AW90" s="261"/>
      <c r="AX90" s="259"/>
      <c r="AY90" s="259"/>
      <c r="AZ90" s="263"/>
      <c r="BA90" s="261"/>
      <c r="BB90" s="259"/>
      <c r="BC90" s="259"/>
      <c r="BD90" s="260"/>
      <c r="BE90" s="261"/>
      <c r="BF90" s="259"/>
      <c r="BG90" s="259"/>
      <c r="BH90" s="259"/>
      <c r="BI90" s="264"/>
      <c r="BJ90" s="261"/>
      <c r="BK90" s="259"/>
      <c r="BL90" s="259"/>
      <c r="BM90" s="260"/>
      <c r="BN90" s="261"/>
      <c r="BO90" s="259"/>
      <c r="BP90" s="259"/>
      <c r="BQ90" s="260"/>
      <c r="BR90" s="261"/>
      <c r="BS90" s="259"/>
      <c r="BT90" s="259"/>
      <c r="BU90" s="263"/>
      <c r="BV90" s="264"/>
      <c r="BW90" s="261"/>
      <c r="BX90" s="259"/>
      <c r="BY90" s="259"/>
      <c r="BZ90" s="260"/>
      <c r="CA90" s="261"/>
      <c r="CB90" s="259"/>
      <c r="CC90" s="259"/>
      <c r="CD90" s="260"/>
      <c r="CE90" s="261"/>
      <c r="CF90" s="259"/>
      <c r="CG90" s="259"/>
      <c r="CH90" s="259"/>
      <c r="CI90" s="264"/>
      <c r="CJ90" s="261"/>
      <c r="CK90" s="259"/>
      <c r="CL90" s="259"/>
      <c r="CM90" s="260"/>
      <c r="CN90" s="257"/>
      <c r="CO90" s="255"/>
      <c r="CP90" s="255"/>
      <c r="CQ90" s="256"/>
      <c r="CR90" s="257"/>
      <c r="CS90" s="255"/>
      <c r="CT90" s="255"/>
      <c r="CU90" s="256"/>
      <c r="CV90" s="257"/>
      <c r="CW90" s="255"/>
      <c r="CX90" s="255"/>
      <c r="CY90" s="256"/>
      <c r="CZ90" s="105"/>
      <c r="DA90" s="102"/>
      <c r="DB90" s="102"/>
    </row>
    <row r="91" spans="1:106" ht="24.95" hidden="1" customHeight="1" outlineLevel="1" x14ac:dyDescent="0.55000000000000004">
      <c r="A91" s="326"/>
      <c r="B91" s="179" t="str">
        <f t="shared" ref="B91" si="239">B90</f>
        <v>1.6.4</v>
      </c>
      <c r="C91" s="343"/>
      <c r="D91" s="166">
        <f t="shared" ref="D91" si="240">D90</f>
        <v>0</v>
      </c>
      <c r="E91" s="33"/>
      <c r="F91" s="34">
        <f t="shared" ref="F91" si="241">E90</f>
        <v>0</v>
      </c>
      <c r="G91" s="106" t="s">
        <v>87</v>
      </c>
      <c r="H91" s="217">
        <f>SUM(J91:CZ91)</f>
        <v>0</v>
      </c>
      <c r="I91" s="207">
        <f t="shared" si="209"/>
        <v>0</v>
      </c>
      <c r="J91" s="265"/>
      <c r="K91" s="266"/>
      <c r="L91" s="266"/>
      <c r="M91" s="267"/>
      <c r="N91" s="268"/>
      <c r="O91" s="266"/>
      <c r="P91" s="266"/>
      <c r="Q91" s="267"/>
      <c r="R91" s="269"/>
      <c r="S91" s="266"/>
      <c r="T91" s="266"/>
      <c r="U91" s="267"/>
      <c r="V91" s="268"/>
      <c r="W91" s="266"/>
      <c r="X91" s="266"/>
      <c r="Y91" s="270"/>
      <c r="Z91" s="267"/>
      <c r="AA91" s="268"/>
      <c r="AB91" s="266"/>
      <c r="AC91" s="266"/>
      <c r="AD91" s="267"/>
      <c r="AE91" s="269"/>
      <c r="AF91" s="266"/>
      <c r="AG91" s="266"/>
      <c r="AH91" s="266"/>
      <c r="AI91" s="271"/>
      <c r="AJ91" s="268"/>
      <c r="AK91" s="266"/>
      <c r="AL91" s="266"/>
      <c r="AM91" s="267"/>
      <c r="AN91" s="268">
        <v>0</v>
      </c>
      <c r="AO91" s="266"/>
      <c r="AP91" s="266"/>
      <c r="AQ91" s="267"/>
      <c r="AR91" s="268">
        <v>0</v>
      </c>
      <c r="AS91" s="266"/>
      <c r="AT91" s="266"/>
      <c r="AU91" s="266"/>
      <c r="AV91" s="271"/>
      <c r="AW91" s="268">
        <v>0</v>
      </c>
      <c r="AX91" s="266"/>
      <c r="AY91" s="266"/>
      <c r="AZ91" s="270"/>
      <c r="BA91" s="268"/>
      <c r="BB91" s="266"/>
      <c r="BC91" s="266"/>
      <c r="BD91" s="267"/>
      <c r="BE91" s="268"/>
      <c r="BF91" s="266"/>
      <c r="BG91" s="266"/>
      <c r="BH91" s="266"/>
      <c r="BI91" s="271"/>
      <c r="BJ91" s="268"/>
      <c r="BK91" s="266"/>
      <c r="BL91" s="266"/>
      <c r="BM91" s="267"/>
      <c r="BN91" s="268"/>
      <c r="BO91" s="266"/>
      <c r="BP91" s="266"/>
      <c r="BQ91" s="267"/>
      <c r="BR91" s="268"/>
      <c r="BS91" s="266"/>
      <c r="BT91" s="266"/>
      <c r="BU91" s="270"/>
      <c r="BV91" s="271"/>
      <c r="BW91" s="268"/>
      <c r="BX91" s="266"/>
      <c r="BY91" s="266"/>
      <c r="BZ91" s="267"/>
      <c r="CA91" s="268"/>
      <c r="CB91" s="266"/>
      <c r="CC91" s="266"/>
      <c r="CD91" s="267"/>
      <c r="CE91" s="268"/>
      <c r="CF91" s="266"/>
      <c r="CG91" s="266"/>
      <c r="CH91" s="266"/>
      <c r="CI91" s="271"/>
      <c r="CJ91" s="268"/>
      <c r="CK91" s="266"/>
      <c r="CL91" s="266"/>
      <c r="CM91" s="267"/>
      <c r="CN91" s="251"/>
      <c r="CO91" s="249"/>
      <c r="CP91" s="249"/>
      <c r="CQ91" s="250"/>
      <c r="CR91" s="251"/>
      <c r="CS91" s="249"/>
      <c r="CT91" s="249"/>
      <c r="CU91" s="250"/>
      <c r="CV91" s="251"/>
      <c r="CW91" s="249"/>
      <c r="CX91" s="249"/>
      <c r="CY91" s="250"/>
      <c r="CZ91" s="103"/>
      <c r="DA91" s="102"/>
      <c r="DB91" s="102"/>
    </row>
    <row r="92" spans="1:106" ht="24.95" customHeight="1" outlineLevel="1" x14ac:dyDescent="0.55000000000000004">
      <c r="A92" s="326" t="s">
        <v>121</v>
      </c>
      <c r="B92" s="179" t="str">
        <f t="shared" ref="B92" si="242">A92</f>
        <v>1.6.5</v>
      </c>
      <c r="C92" s="343" t="s">
        <v>42</v>
      </c>
      <c r="D92" s="166" t="str">
        <f t="shared" ref="D92" si="243">C92</f>
        <v xml:space="preserve">              Drainage Work</v>
      </c>
      <c r="E92" s="33">
        <v>336808.7939435874</v>
      </c>
      <c r="F92" s="34">
        <f t="shared" ref="F92" si="244">E92</f>
        <v>336808.7939435874</v>
      </c>
      <c r="G92" s="104" t="s">
        <v>86</v>
      </c>
      <c r="H92" s="216">
        <f>SUM(J92:CZ92)</f>
        <v>0.99999999999999989</v>
      </c>
      <c r="I92" s="206">
        <f t="shared" si="209"/>
        <v>336808.79394358734</v>
      </c>
      <c r="J92" s="258"/>
      <c r="K92" s="259"/>
      <c r="L92" s="259"/>
      <c r="M92" s="260"/>
      <c r="N92" s="261"/>
      <c r="O92" s="259"/>
      <c r="P92" s="259"/>
      <c r="Q92" s="260"/>
      <c r="R92" s="262"/>
      <c r="S92" s="259"/>
      <c r="T92" s="259"/>
      <c r="U92" s="260"/>
      <c r="V92" s="261"/>
      <c r="W92" s="259"/>
      <c r="X92" s="259"/>
      <c r="Y92" s="263"/>
      <c r="Z92" s="260"/>
      <c r="AA92" s="261"/>
      <c r="AB92" s="259"/>
      <c r="AC92" s="259"/>
      <c r="AD92" s="260"/>
      <c r="AE92" s="262"/>
      <c r="AF92" s="259"/>
      <c r="AG92" s="259"/>
      <c r="AH92" s="259"/>
      <c r="AI92" s="264"/>
      <c r="AJ92" s="261"/>
      <c r="AK92" s="259"/>
      <c r="AL92" s="259"/>
      <c r="AM92" s="260"/>
      <c r="AN92" s="261"/>
      <c r="AO92" s="259"/>
      <c r="AP92" s="259"/>
      <c r="AQ92" s="260"/>
      <c r="AR92" s="285">
        <v>0.05</v>
      </c>
      <c r="AS92" s="277">
        <v>0.1</v>
      </c>
      <c r="AT92" s="277">
        <v>0.1</v>
      </c>
      <c r="AU92" s="277">
        <v>0.1</v>
      </c>
      <c r="AV92" s="278">
        <v>0.1</v>
      </c>
      <c r="AW92" s="285">
        <v>0.25</v>
      </c>
      <c r="AX92" s="277">
        <v>0.2</v>
      </c>
      <c r="AY92" s="277">
        <v>0.1</v>
      </c>
      <c r="AZ92" s="286"/>
      <c r="BA92" s="261"/>
      <c r="BB92" s="259"/>
      <c r="BC92" s="259"/>
      <c r="BD92" s="260"/>
      <c r="BE92" s="261"/>
      <c r="BF92" s="259"/>
      <c r="BG92" s="259"/>
      <c r="BH92" s="259"/>
      <c r="BI92" s="264"/>
      <c r="BJ92" s="261"/>
      <c r="BK92" s="259"/>
      <c r="BL92" s="259"/>
      <c r="BM92" s="260"/>
      <c r="BN92" s="279"/>
      <c r="BO92" s="280"/>
      <c r="BP92" s="280"/>
      <c r="BQ92" s="281"/>
      <c r="BR92" s="279"/>
      <c r="BS92" s="280"/>
      <c r="BT92" s="280"/>
      <c r="BU92" s="297"/>
      <c r="BV92" s="287"/>
      <c r="BW92" s="261"/>
      <c r="BX92" s="259"/>
      <c r="BY92" s="259"/>
      <c r="BZ92" s="260"/>
      <c r="CA92" s="261"/>
      <c r="CB92" s="259"/>
      <c r="CC92" s="259"/>
      <c r="CD92" s="260"/>
      <c r="CE92" s="261"/>
      <c r="CF92" s="259"/>
      <c r="CG92" s="259"/>
      <c r="CH92" s="259"/>
      <c r="CI92" s="264"/>
      <c r="CJ92" s="261"/>
      <c r="CK92" s="259"/>
      <c r="CL92" s="259"/>
      <c r="CM92" s="260"/>
      <c r="CN92" s="257"/>
      <c r="CO92" s="255"/>
      <c r="CP92" s="255"/>
      <c r="CQ92" s="256"/>
      <c r="CR92" s="257"/>
      <c r="CS92" s="255"/>
      <c r="CT92" s="255"/>
      <c r="CU92" s="256"/>
      <c r="CV92" s="257"/>
      <c r="CW92" s="255"/>
      <c r="CX92" s="255"/>
      <c r="CY92" s="256"/>
      <c r="CZ92" s="105"/>
      <c r="DA92" s="102"/>
      <c r="DB92" s="102"/>
    </row>
    <row r="93" spans="1:106" ht="24.95" customHeight="1" outlineLevel="1" x14ac:dyDescent="0.55000000000000004">
      <c r="A93" s="326"/>
      <c r="B93" s="179" t="str">
        <f t="shared" ref="B93" si="245">B92</f>
        <v>1.6.5</v>
      </c>
      <c r="C93" s="343"/>
      <c r="D93" s="166" t="str">
        <f t="shared" ref="D93" si="246">D92</f>
        <v xml:space="preserve">              Drainage Work</v>
      </c>
      <c r="E93" s="33"/>
      <c r="F93" s="34">
        <f t="shared" ref="F93" si="247">E92</f>
        <v>336808.7939435874</v>
      </c>
      <c r="G93" s="106" t="s">
        <v>87</v>
      </c>
      <c r="H93" s="217">
        <f>SUM(J93:CZ93)</f>
        <v>0</v>
      </c>
      <c r="I93" s="207">
        <f t="shared" si="209"/>
        <v>0</v>
      </c>
      <c r="J93" s="265"/>
      <c r="K93" s="266"/>
      <c r="L93" s="266"/>
      <c r="M93" s="267"/>
      <c r="N93" s="268"/>
      <c r="O93" s="266"/>
      <c r="P93" s="266"/>
      <c r="Q93" s="267"/>
      <c r="R93" s="269"/>
      <c r="S93" s="266"/>
      <c r="T93" s="266"/>
      <c r="U93" s="267"/>
      <c r="V93" s="268"/>
      <c r="W93" s="266"/>
      <c r="X93" s="266"/>
      <c r="Y93" s="270"/>
      <c r="Z93" s="267"/>
      <c r="AA93" s="268"/>
      <c r="AB93" s="266"/>
      <c r="AC93" s="266"/>
      <c r="AD93" s="267"/>
      <c r="AE93" s="269"/>
      <c r="AF93" s="266"/>
      <c r="AG93" s="266"/>
      <c r="AH93" s="266"/>
      <c r="AI93" s="271"/>
      <c r="AJ93" s="268"/>
      <c r="AK93" s="266"/>
      <c r="AL93" s="266"/>
      <c r="AM93" s="267"/>
      <c r="AN93" s="268"/>
      <c r="AO93" s="266"/>
      <c r="AP93" s="282"/>
      <c r="AQ93" s="267"/>
      <c r="AR93" s="293"/>
      <c r="AS93" s="291"/>
      <c r="AT93" s="291"/>
      <c r="AU93" s="291"/>
      <c r="AV93" s="296"/>
      <c r="AW93" s="293"/>
      <c r="AX93" s="291"/>
      <c r="AY93" s="291"/>
      <c r="AZ93" s="295"/>
      <c r="BA93" s="268"/>
      <c r="BB93" s="266"/>
      <c r="BC93" s="266"/>
      <c r="BD93" s="267"/>
      <c r="BE93" s="268"/>
      <c r="BF93" s="266"/>
      <c r="BG93" s="266"/>
      <c r="BH93" s="266"/>
      <c r="BI93" s="271"/>
      <c r="BJ93" s="268"/>
      <c r="BK93" s="266"/>
      <c r="BL93" s="266"/>
      <c r="BM93" s="267"/>
      <c r="BN93" s="268"/>
      <c r="BO93" s="266"/>
      <c r="BP93" s="266"/>
      <c r="BQ93" s="267"/>
      <c r="BR93" s="268"/>
      <c r="BS93" s="266"/>
      <c r="BT93" s="266"/>
      <c r="BU93" s="270"/>
      <c r="BV93" s="271"/>
      <c r="BW93" s="268"/>
      <c r="BX93" s="266"/>
      <c r="BY93" s="266"/>
      <c r="BZ93" s="267"/>
      <c r="CA93" s="268"/>
      <c r="CB93" s="266"/>
      <c r="CC93" s="266"/>
      <c r="CD93" s="267"/>
      <c r="CE93" s="268"/>
      <c r="CF93" s="266"/>
      <c r="CG93" s="266"/>
      <c r="CH93" s="266"/>
      <c r="CI93" s="271"/>
      <c r="CJ93" s="268"/>
      <c r="CK93" s="266"/>
      <c r="CL93" s="266"/>
      <c r="CM93" s="267"/>
      <c r="CN93" s="251"/>
      <c r="CO93" s="249"/>
      <c r="CP93" s="249"/>
      <c r="CQ93" s="250"/>
      <c r="CR93" s="251"/>
      <c r="CS93" s="249"/>
      <c r="CT93" s="249"/>
      <c r="CU93" s="250"/>
      <c r="CV93" s="251"/>
      <c r="CW93" s="249"/>
      <c r="CX93" s="249"/>
      <c r="CY93" s="250"/>
      <c r="CZ93" s="103"/>
      <c r="DA93" s="102"/>
      <c r="DB93" s="102"/>
    </row>
    <row r="94" spans="1:106" ht="24.95" customHeight="1" outlineLevel="1" x14ac:dyDescent="0.55000000000000004">
      <c r="A94" s="326" t="s">
        <v>122</v>
      </c>
      <c r="B94" s="179" t="str">
        <f t="shared" ref="B94" si="248">A94</f>
        <v>1.6.6</v>
      </c>
      <c r="C94" s="343" t="s">
        <v>43</v>
      </c>
      <c r="D94" s="166" t="str">
        <f t="shared" ref="D94" si="249">C94</f>
        <v xml:space="preserve">             Electrical and Communication Main Incomming</v>
      </c>
      <c r="E94" s="33">
        <v>1856142.6956037888</v>
      </c>
      <c r="F94" s="34">
        <f t="shared" ref="F94" si="250">E94</f>
        <v>1856142.6956037888</v>
      </c>
      <c r="G94" s="104" t="s">
        <v>86</v>
      </c>
      <c r="H94" s="216">
        <f>SUM(J94:CZ94)</f>
        <v>1</v>
      </c>
      <c r="I94" s="206">
        <f t="shared" si="209"/>
        <v>1856142.6956037888</v>
      </c>
      <c r="J94" s="258"/>
      <c r="K94" s="259"/>
      <c r="L94" s="259"/>
      <c r="M94" s="260"/>
      <c r="N94" s="261"/>
      <c r="O94" s="259"/>
      <c r="P94" s="259"/>
      <c r="Q94" s="260"/>
      <c r="R94" s="262"/>
      <c r="S94" s="259"/>
      <c r="T94" s="259"/>
      <c r="U94" s="260"/>
      <c r="V94" s="261"/>
      <c r="W94" s="259"/>
      <c r="X94" s="282"/>
      <c r="Y94" s="263"/>
      <c r="Z94" s="260"/>
      <c r="AA94" s="261"/>
      <c r="AB94" s="259"/>
      <c r="AC94" s="259"/>
      <c r="AD94" s="260"/>
      <c r="AE94" s="262"/>
      <c r="AF94" s="259"/>
      <c r="AG94" s="259"/>
      <c r="AH94" s="259"/>
      <c r="AI94" s="264"/>
      <c r="AJ94" s="261"/>
      <c r="AK94" s="259"/>
      <c r="AL94" s="259"/>
      <c r="AM94" s="260"/>
      <c r="AN94" s="285">
        <v>0.08</v>
      </c>
      <c r="AO94" s="277">
        <v>0.08</v>
      </c>
      <c r="AP94" s="277">
        <v>0.08</v>
      </c>
      <c r="AQ94" s="284">
        <v>0.11</v>
      </c>
      <c r="AR94" s="285">
        <v>0.15</v>
      </c>
      <c r="AS94" s="277">
        <v>0.15</v>
      </c>
      <c r="AT94" s="277">
        <v>0.15</v>
      </c>
      <c r="AU94" s="277">
        <v>0.1</v>
      </c>
      <c r="AV94" s="278">
        <v>0.05</v>
      </c>
      <c r="AW94" s="285">
        <v>0.05</v>
      </c>
      <c r="AX94" s="277"/>
      <c r="AY94" s="277"/>
      <c r="AZ94" s="299"/>
      <c r="BA94" s="279"/>
      <c r="BB94" s="280"/>
      <c r="BC94" s="280"/>
      <c r="BD94" s="281"/>
      <c r="BE94" s="279"/>
      <c r="BF94" s="280"/>
      <c r="BG94" s="280"/>
      <c r="BH94" s="280"/>
      <c r="BI94" s="287"/>
      <c r="BJ94" s="279"/>
      <c r="BK94" s="280"/>
      <c r="BL94" s="259"/>
      <c r="BM94" s="260"/>
      <c r="BN94" s="261"/>
      <c r="BO94" s="259"/>
      <c r="BP94" s="259"/>
      <c r="BQ94" s="260"/>
      <c r="BR94" s="261"/>
      <c r="BS94" s="259"/>
      <c r="BT94" s="259"/>
      <c r="BU94" s="263"/>
      <c r="BV94" s="264"/>
      <c r="BW94" s="261"/>
      <c r="BX94" s="259"/>
      <c r="BY94" s="259"/>
      <c r="BZ94" s="260"/>
      <c r="CA94" s="261"/>
      <c r="CB94" s="259"/>
      <c r="CC94" s="259"/>
      <c r="CD94" s="260"/>
      <c r="CE94" s="261"/>
      <c r="CF94" s="259"/>
      <c r="CG94" s="259"/>
      <c r="CH94" s="259"/>
      <c r="CI94" s="264"/>
      <c r="CJ94" s="261"/>
      <c r="CK94" s="259"/>
      <c r="CL94" s="259"/>
      <c r="CM94" s="260"/>
      <c r="CN94" s="257"/>
      <c r="CO94" s="255"/>
      <c r="CP94" s="255"/>
      <c r="CQ94" s="256"/>
      <c r="CR94" s="257"/>
      <c r="CS94" s="255"/>
      <c r="CT94" s="255"/>
      <c r="CU94" s="256"/>
      <c r="CV94" s="257"/>
      <c r="CW94" s="255"/>
      <c r="CX94" s="255"/>
      <c r="CY94" s="256"/>
      <c r="CZ94" s="105"/>
      <c r="DA94" s="102"/>
      <c r="DB94" s="102"/>
    </row>
    <row r="95" spans="1:106" ht="24.95" customHeight="1" outlineLevel="1" x14ac:dyDescent="0.55000000000000004">
      <c r="A95" s="326"/>
      <c r="B95" s="179" t="str">
        <f t="shared" ref="B95" si="251">B94</f>
        <v>1.6.6</v>
      </c>
      <c r="C95" s="343"/>
      <c r="D95" s="166" t="str">
        <f t="shared" ref="D95" si="252">D94</f>
        <v xml:space="preserve">             Electrical and Communication Main Incomming</v>
      </c>
      <c r="E95" s="33"/>
      <c r="F95" s="34">
        <f t="shared" ref="F95" si="253">E94</f>
        <v>1856142.6956037888</v>
      </c>
      <c r="G95" s="106" t="s">
        <v>87</v>
      </c>
      <c r="H95" s="217">
        <f>SUM(J95:CZ95)</f>
        <v>0</v>
      </c>
      <c r="I95" s="207">
        <f t="shared" si="209"/>
        <v>0</v>
      </c>
      <c r="J95" s="265"/>
      <c r="K95" s="266"/>
      <c r="L95" s="266"/>
      <c r="M95" s="267"/>
      <c r="N95" s="268"/>
      <c r="O95" s="266"/>
      <c r="P95" s="266"/>
      <c r="Q95" s="267"/>
      <c r="R95" s="269"/>
      <c r="S95" s="266"/>
      <c r="T95" s="266"/>
      <c r="U95" s="267"/>
      <c r="V95" s="268"/>
      <c r="W95" s="266"/>
      <c r="X95" s="266"/>
      <c r="Y95" s="270"/>
      <c r="Z95" s="267"/>
      <c r="AA95" s="268"/>
      <c r="AB95" s="266"/>
      <c r="AC95" s="266"/>
      <c r="AD95" s="267"/>
      <c r="AE95" s="269"/>
      <c r="AF95" s="266"/>
      <c r="AG95" s="266"/>
      <c r="AH95" s="266"/>
      <c r="AI95" s="271"/>
      <c r="AJ95" s="268"/>
      <c r="AK95" s="266"/>
      <c r="AL95" s="282"/>
      <c r="AM95" s="267"/>
      <c r="AN95" s="293"/>
      <c r="AO95" s="291"/>
      <c r="AP95" s="291"/>
      <c r="AQ95" s="292"/>
      <c r="AR95" s="293"/>
      <c r="AS95" s="291"/>
      <c r="AT95" s="291"/>
      <c r="AU95" s="291"/>
      <c r="AV95" s="296"/>
      <c r="AW95" s="293"/>
      <c r="AX95" s="291"/>
      <c r="AY95" s="291"/>
      <c r="AZ95" s="295"/>
      <c r="BA95" s="268"/>
      <c r="BB95" s="266"/>
      <c r="BC95" s="266"/>
      <c r="BD95" s="267"/>
      <c r="BE95" s="268"/>
      <c r="BF95" s="266"/>
      <c r="BG95" s="266"/>
      <c r="BH95" s="266"/>
      <c r="BI95" s="271"/>
      <c r="BJ95" s="268"/>
      <c r="BK95" s="266"/>
      <c r="BL95" s="266"/>
      <c r="BM95" s="267"/>
      <c r="BN95" s="268"/>
      <c r="BO95" s="266"/>
      <c r="BP95" s="266"/>
      <c r="BQ95" s="267"/>
      <c r="BR95" s="268"/>
      <c r="BS95" s="266"/>
      <c r="BT95" s="266"/>
      <c r="BU95" s="270"/>
      <c r="BV95" s="271"/>
      <c r="BW95" s="268"/>
      <c r="BX95" s="266"/>
      <c r="BY95" s="266"/>
      <c r="BZ95" s="267"/>
      <c r="CA95" s="268"/>
      <c r="CB95" s="266"/>
      <c r="CC95" s="266"/>
      <c r="CD95" s="267"/>
      <c r="CE95" s="268"/>
      <c r="CF95" s="266"/>
      <c r="CG95" s="266"/>
      <c r="CH95" s="266"/>
      <c r="CI95" s="271"/>
      <c r="CJ95" s="268"/>
      <c r="CK95" s="266"/>
      <c r="CL95" s="266"/>
      <c r="CM95" s="267"/>
      <c r="CN95" s="251"/>
      <c r="CO95" s="249"/>
      <c r="CP95" s="249"/>
      <c r="CQ95" s="250"/>
      <c r="CR95" s="251"/>
      <c r="CS95" s="249"/>
      <c r="CT95" s="249"/>
      <c r="CU95" s="250"/>
      <c r="CV95" s="251"/>
      <c r="CW95" s="249"/>
      <c r="CX95" s="249"/>
      <c r="CY95" s="250"/>
      <c r="CZ95" s="103"/>
      <c r="DA95" s="102"/>
      <c r="DB95" s="102"/>
    </row>
    <row r="96" spans="1:106" ht="24.95" customHeight="1" outlineLevel="1" x14ac:dyDescent="0.55000000000000004">
      <c r="A96" s="326" t="s">
        <v>123</v>
      </c>
      <c r="B96" s="179" t="str">
        <f t="shared" ref="B96" si="254">A96</f>
        <v>1.6.7</v>
      </c>
      <c r="C96" s="343" t="s">
        <v>44</v>
      </c>
      <c r="D96" s="166" t="str">
        <f t="shared" ref="D96" si="255">C96</f>
        <v xml:space="preserve">             ติดตั้ง Unit Substation และ Generator Set</v>
      </c>
      <c r="E96" s="33">
        <v>3062745.3903982169</v>
      </c>
      <c r="F96" s="34">
        <f t="shared" ref="F96" si="256">E96</f>
        <v>3062745.3903982169</v>
      </c>
      <c r="G96" s="104" t="s">
        <v>86</v>
      </c>
      <c r="H96" s="216">
        <f>SUM(J96:CZ96)</f>
        <v>0.99999999999999989</v>
      </c>
      <c r="I96" s="206">
        <f t="shared" si="209"/>
        <v>3062745.3903982164</v>
      </c>
      <c r="J96" s="258"/>
      <c r="K96" s="259"/>
      <c r="L96" s="259"/>
      <c r="M96" s="260"/>
      <c r="N96" s="261"/>
      <c r="O96" s="259"/>
      <c r="P96" s="259"/>
      <c r="Q96" s="260"/>
      <c r="R96" s="262"/>
      <c r="S96" s="259"/>
      <c r="T96" s="259"/>
      <c r="U96" s="260"/>
      <c r="V96" s="261"/>
      <c r="W96" s="259"/>
      <c r="X96" s="259"/>
      <c r="Y96" s="263"/>
      <c r="Z96" s="260"/>
      <c r="AA96" s="261"/>
      <c r="AB96" s="259"/>
      <c r="AC96" s="259"/>
      <c r="AD96" s="260"/>
      <c r="AE96" s="262"/>
      <c r="AF96" s="259"/>
      <c r="AG96" s="259"/>
      <c r="AH96" s="259"/>
      <c r="AI96" s="264"/>
      <c r="AJ96" s="261"/>
      <c r="AK96" s="259"/>
      <c r="AL96" s="259"/>
      <c r="AM96" s="260"/>
      <c r="AN96" s="285">
        <v>0.05</v>
      </c>
      <c r="AO96" s="277">
        <v>0.05</v>
      </c>
      <c r="AP96" s="277">
        <v>0.05</v>
      </c>
      <c r="AQ96" s="284">
        <v>0.05</v>
      </c>
      <c r="AR96" s="285">
        <v>0.15</v>
      </c>
      <c r="AS96" s="277">
        <v>0.1</v>
      </c>
      <c r="AT96" s="277">
        <v>0.1</v>
      </c>
      <c r="AU96" s="277">
        <v>0.1</v>
      </c>
      <c r="AV96" s="278">
        <v>0.1</v>
      </c>
      <c r="AW96" s="285">
        <v>0.1</v>
      </c>
      <c r="AX96" s="277">
        <v>0.08</v>
      </c>
      <c r="AY96" s="277">
        <v>0.05</v>
      </c>
      <c r="AZ96" s="286">
        <v>0.02</v>
      </c>
      <c r="BA96" s="261"/>
      <c r="BB96" s="259"/>
      <c r="BC96" s="280"/>
      <c r="BD96" s="281"/>
      <c r="BE96" s="279"/>
      <c r="BF96" s="280"/>
      <c r="BG96" s="280"/>
      <c r="BH96" s="280"/>
      <c r="BI96" s="287"/>
      <c r="BJ96" s="279"/>
      <c r="BK96" s="280"/>
      <c r="BL96" s="280"/>
      <c r="BM96" s="281"/>
      <c r="BN96" s="261"/>
      <c r="BO96" s="259"/>
      <c r="BP96" s="259"/>
      <c r="BQ96" s="260"/>
      <c r="BR96" s="261"/>
      <c r="BS96" s="259"/>
      <c r="BT96" s="259"/>
      <c r="BU96" s="263"/>
      <c r="BV96" s="264"/>
      <c r="BW96" s="261"/>
      <c r="BX96" s="259"/>
      <c r="BY96" s="259"/>
      <c r="BZ96" s="260"/>
      <c r="CA96" s="261"/>
      <c r="CB96" s="259"/>
      <c r="CC96" s="259"/>
      <c r="CD96" s="260"/>
      <c r="CE96" s="261"/>
      <c r="CF96" s="259"/>
      <c r="CG96" s="259"/>
      <c r="CH96" s="259"/>
      <c r="CI96" s="264"/>
      <c r="CJ96" s="261"/>
      <c r="CK96" s="259"/>
      <c r="CL96" s="259"/>
      <c r="CM96" s="260"/>
      <c r="CN96" s="257"/>
      <c r="CO96" s="255"/>
      <c r="CP96" s="255"/>
      <c r="CQ96" s="256"/>
      <c r="CR96" s="257"/>
      <c r="CS96" s="255"/>
      <c r="CT96" s="255"/>
      <c r="CU96" s="256"/>
      <c r="CV96" s="257"/>
      <c r="CW96" s="255"/>
      <c r="CX96" s="255"/>
      <c r="CY96" s="256"/>
      <c r="CZ96" s="105"/>
      <c r="DA96" s="102"/>
      <c r="DB96" s="102"/>
    </row>
    <row r="97" spans="1:106" ht="24.95" customHeight="1" outlineLevel="1" x14ac:dyDescent="0.55000000000000004">
      <c r="A97" s="326"/>
      <c r="B97" s="179" t="str">
        <f t="shared" ref="B97" si="257">B96</f>
        <v>1.6.7</v>
      </c>
      <c r="C97" s="343"/>
      <c r="D97" s="166" t="str">
        <f t="shared" ref="D97" si="258">D96</f>
        <v xml:space="preserve">             ติดตั้ง Unit Substation และ Generator Set</v>
      </c>
      <c r="E97" s="33"/>
      <c r="F97" s="34">
        <f t="shared" ref="F97" si="259">E96</f>
        <v>3062745.3903982169</v>
      </c>
      <c r="G97" s="106" t="s">
        <v>87</v>
      </c>
      <c r="H97" s="217">
        <f>SUM(J97:CZ97)</f>
        <v>0</v>
      </c>
      <c r="I97" s="207">
        <f t="shared" si="209"/>
        <v>0</v>
      </c>
      <c r="J97" s="265"/>
      <c r="K97" s="266"/>
      <c r="L97" s="266"/>
      <c r="M97" s="267"/>
      <c r="N97" s="268"/>
      <c r="O97" s="266"/>
      <c r="P97" s="266"/>
      <c r="Q97" s="267"/>
      <c r="R97" s="269"/>
      <c r="S97" s="266"/>
      <c r="T97" s="266"/>
      <c r="U97" s="267"/>
      <c r="V97" s="268"/>
      <c r="W97" s="266"/>
      <c r="X97" s="266"/>
      <c r="Y97" s="270"/>
      <c r="Z97" s="267"/>
      <c r="AA97" s="268"/>
      <c r="AB97" s="266"/>
      <c r="AC97" s="266"/>
      <c r="AD97" s="267"/>
      <c r="AE97" s="269"/>
      <c r="AF97" s="266"/>
      <c r="AG97" s="266"/>
      <c r="AH97" s="266"/>
      <c r="AI97" s="271"/>
      <c r="AJ97" s="268"/>
      <c r="AK97" s="266"/>
      <c r="AL97" s="282"/>
      <c r="AM97" s="267"/>
      <c r="AN97" s="293"/>
      <c r="AO97" s="291"/>
      <c r="AP97" s="291"/>
      <c r="AQ97" s="292"/>
      <c r="AR97" s="293"/>
      <c r="AS97" s="291"/>
      <c r="AT97" s="291"/>
      <c r="AU97" s="291"/>
      <c r="AV97" s="296"/>
      <c r="AW97" s="293"/>
      <c r="AX97" s="291"/>
      <c r="AY97" s="291"/>
      <c r="AZ97" s="295"/>
      <c r="BA97" s="268"/>
      <c r="BB97" s="266"/>
      <c r="BC97" s="266"/>
      <c r="BD97" s="267"/>
      <c r="BE97" s="268"/>
      <c r="BF97" s="266"/>
      <c r="BG97" s="266"/>
      <c r="BH97" s="266"/>
      <c r="BI97" s="271"/>
      <c r="BJ97" s="268"/>
      <c r="BK97" s="266"/>
      <c r="BL97" s="266"/>
      <c r="BM97" s="267"/>
      <c r="BN97" s="268"/>
      <c r="BO97" s="266"/>
      <c r="BP97" s="266"/>
      <c r="BQ97" s="267"/>
      <c r="BR97" s="268"/>
      <c r="BS97" s="266"/>
      <c r="BT97" s="266"/>
      <c r="BU97" s="270"/>
      <c r="BV97" s="271"/>
      <c r="BW97" s="268"/>
      <c r="BX97" s="266"/>
      <c r="BY97" s="266"/>
      <c r="BZ97" s="267"/>
      <c r="CA97" s="268"/>
      <c r="CB97" s="266"/>
      <c r="CC97" s="266"/>
      <c r="CD97" s="267"/>
      <c r="CE97" s="268"/>
      <c r="CF97" s="266"/>
      <c r="CG97" s="266"/>
      <c r="CH97" s="266"/>
      <c r="CI97" s="271"/>
      <c r="CJ97" s="268"/>
      <c r="CK97" s="266"/>
      <c r="CL97" s="266"/>
      <c r="CM97" s="267"/>
      <c r="CN97" s="251"/>
      <c r="CO97" s="249"/>
      <c r="CP97" s="249"/>
      <c r="CQ97" s="250"/>
      <c r="CR97" s="251"/>
      <c r="CS97" s="249"/>
      <c r="CT97" s="249"/>
      <c r="CU97" s="250"/>
      <c r="CV97" s="251"/>
      <c r="CW97" s="249"/>
      <c r="CX97" s="249"/>
      <c r="CY97" s="250"/>
      <c r="CZ97" s="103"/>
      <c r="DA97" s="102"/>
      <c r="DB97" s="102"/>
    </row>
    <row r="98" spans="1:106" ht="24.95" customHeight="1" outlineLevel="1" x14ac:dyDescent="0.55000000000000004">
      <c r="A98" s="326" t="s">
        <v>124</v>
      </c>
      <c r="B98" s="179" t="str">
        <f t="shared" ref="B98" si="260">A98</f>
        <v>1.6.8</v>
      </c>
      <c r="C98" s="343" t="s">
        <v>45</v>
      </c>
      <c r="D98" s="166" t="str">
        <f t="shared" ref="D98" si="261">C98</f>
        <v xml:space="preserve">             Grounding System</v>
      </c>
      <c r="E98" s="33">
        <v>316419.05365089042</v>
      </c>
      <c r="F98" s="34">
        <f t="shared" ref="F98" si="262">E98</f>
        <v>316419.05365089042</v>
      </c>
      <c r="G98" s="104" t="s">
        <v>86</v>
      </c>
      <c r="H98" s="216">
        <f>SUM(J98:CZ98)</f>
        <v>1</v>
      </c>
      <c r="I98" s="206">
        <f t="shared" si="209"/>
        <v>316419.05365089042</v>
      </c>
      <c r="J98" s="258"/>
      <c r="K98" s="259"/>
      <c r="L98" s="259"/>
      <c r="M98" s="260"/>
      <c r="N98" s="261"/>
      <c r="O98" s="259"/>
      <c r="P98" s="259"/>
      <c r="Q98" s="260"/>
      <c r="R98" s="262"/>
      <c r="S98" s="259"/>
      <c r="T98" s="259"/>
      <c r="U98" s="260"/>
      <c r="V98" s="261"/>
      <c r="W98" s="259"/>
      <c r="X98" s="259"/>
      <c r="Y98" s="263"/>
      <c r="Z98" s="260"/>
      <c r="AA98" s="261"/>
      <c r="AB98" s="259"/>
      <c r="AC98" s="259"/>
      <c r="AD98" s="260"/>
      <c r="AE98" s="262"/>
      <c r="AF98" s="259"/>
      <c r="AG98" s="259"/>
      <c r="AH98" s="259"/>
      <c r="AI98" s="264"/>
      <c r="AJ98" s="261"/>
      <c r="AK98" s="259"/>
      <c r="AL98" s="259"/>
      <c r="AM98" s="260"/>
      <c r="AN98" s="285">
        <v>0.05</v>
      </c>
      <c r="AO98" s="277">
        <v>0.1</v>
      </c>
      <c r="AP98" s="277">
        <v>0.1</v>
      </c>
      <c r="AQ98" s="284">
        <v>0.1</v>
      </c>
      <c r="AR98" s="285">
        <v>0.15</v>
      </c>
      <c r="AS98" s="277">
        <v>0.15</v>
      </c>
      <c r="AT98" s="277">
        <v>0.15</v>
      </c>
      <c r="AU98" s="277">
        <v>0.1</v>
      </c>
      <c r="AV98" s="278">
        <v>0.05</v>
      </c>
      <c r="AW98" s="285">
        <v>0.05</v>
      </c>
      <c r="AX98" s="277"/>
      <c r="AY98" s="277"/>
      <c r="AZ98" s="286"/>
      <c r="BA98" s="261"/>
      <c r="BB98" s="259"/>
      <c r="BC98" s="259"/>
      <c r="BD98" s="260"/>
      <c r="BE98" s="261"/>
      <c r="BF98" s="259"/>
      <c r="BG98" s="259"/>
      <c r="BH98" s="259"/>
      <c r="BI98" s="264"/>
      <c r="BJ98" s="279"/>
      <c r="BK98" s="280"/>
      <c r="BL98" s="280"/>
      <c r="BM98" s="281"/>
      <c r="BN98" s="279"/>
      <c r="BO98" s="280"/>
      <c r="BP98" s="280"/>
      <c r="BQ98" s="281"/>
      <c r="BR98" s="261"/>
      <c r="BS98" s="259"/>
      <c r="BT98" s="259"/>
      <c r="BU98" s="263"/>
      <c r="BV98" s="264"/>
      <c r="BW98" s="261"/>
      <c r="BX98" s="259"/>
      <c r="BY98" s="259"/>
      <c r="BZ98" s="260"/>
      <c r="CA98" s="261"/>
      <c r="CB98" s="259"/>
      <c r="CC98" s="259"/>
      <c r="CD98" s="260"/>
      <c r="CE98" s="261"/>
      <c r="CF98" s="259"/>
      <c r="CG98" s="259"/>
      <c r="CH98" s="259"/>
      <c r="CI98" s="264"/>
      <c r="CJ98" s="261"/>
      <c r="CK98" s="259"/>
      <c r="CL98" s="259"/>
      <c r="CM98" s="260"/>
      <c r="CN98" s="257"/>
      <c r="CO98" s="255"/>
      <c r="CP98" s="255"/>
      <c r="CQ98" s="256"/>
      <c r="CR98" s="257"/>
      <c r="CS98" s="255"/>
      <c r="CT98" s="255"/>
      <c r="CU98" s="256"/>
      <c r="CV98" s="257"/>
      <c r="CW98" s="255"/>
      <c r="CX98" s="255"/>
      <c r="CY98" s="256"/>
      <c r="CZ98" s="105"/>
      <c r="DA98" s="102"/>
      <c r="DB98" s="102"/>
    </row>
    <row r="99" spans="1:106" ht="24.95" customHeight="1" outlineLevel="1" x14ac:dyDescent="0.55000000000000004">
      <c r="A99" s="326"/>
      <c r="B99" s="179" t="str">
        <f t="shared" ref="B99" si="263">B98</f>
        <v>1.6.8</v>
      </c>
      <c r="C99" s="343"/>
      <c r="D99" s="166" t="str">
        <f t="shared" ref="D99" si="264">D98</f>
        <v xml:space="preserve">             Grounding System</v>
      </c>
      <c r="E99" s="33"/>
      <c r="F99" s="34">
        <f t="shared" ref="F99" si="265">E98</f>
        <v>316419.05365089042</v>
      </c>
      <c r="G99" s="106" t="s">
        <v>87</v>
      </c>
      <c r="H99" s="217">
        <f>SUM(J99:CZ99)</f>
        <v>0</v>
      </c>
      <c r="I99" s="207">
        <f t="shared" si="209"/>
        <v>0</v>
      </c>
      <c r="J99" s="265"/>
      <c r="K99" s="266"/>
      <c r="L99" s="266"/>
      <c r="M99" s="267"/>
      <c r="N99" s="268"/>
      <c r="O99" s="266"/>
      <c r="P99" s="266"/>
      <c r="Q99" s="267"/>
      <c r="R99" s="269"/>
      <c r="S99" s="266"/>
      <c r="T99" s="266"/>
      <c r="U99" s="267"/>
      <c r="V99" s="268"/>
      <c r="W99" s="266"/>
      <c r="X99" s="266"/>
      <c r="Y99" s="270"/>
      <c r="Z99" s="267"/>
      <c r="AA99" s="268"/>
      <c r="AB99" s="266"/>
      <c r="AC99" s="266"/>
      <c r="AD99" s="267"/>
      <c r="AE99" s="269"/>
      <c r="AF99" s="266"/>
      <c r="AG99" s="266"/>
      <c r="AH99" s="266"/>
      <c r="AI99" s="271"/>
      <c r="AJ99" s="268"/>
      <c r="AK99" s="266"/>
      <c r="AL99" s="282"/>
      <c r="AM99" s="267"/>
      <c r="AN99" s="293"/>
      <c r="AO99" s="291"/>
      <c r="AP99" s="291"/>
      <c r="AQ99" s="292"/>
      <c r="AR99" s="293"/>
      <c r="AS99" s="291"/>
      <c r="AT99" s="291"/>
      <c r="AU99" s="291"/>
      <c r="AV99" s="296"/>
      <c r="AW99" s="293"/>
      <c r="AX99" s="291"/>
      <c r="AY99" s="291"/>
      <c r="AZ99" s="295"/>
      <c r="BA99" s="268"/>
      <c r="BB99" s="266"/>
      <c r="BC99" s="266"/>
      <c r="BD99" s="267"/>
      <c r="BE99" s="268"/>
      <c r="BF99" s="266"/>
      <c r="BG99" s="266"/>
      <c r="BH99" s="266"/>
      <c r="BI99" s="271"/>
      <c r="BJ99" s="268"/>
      <c r="BK99" s="266"/>
      <c r="BL99" s="266"/>
      <c r="BM99" s="267"/>
      <c r="BN99" s="268"/>
      <c r="BO99" s="266"/>
      <c r="BP99" s="266"/>
      <c r="BQ99" s="267"/>
      <c r="BR99" s="268"/>
      <c r="BS99" s="266"/>
      <c r="BT99" s="266"/>
      <c r="BU99" s="270"/>
      <c r="BV99" s="271"/>
      <c r="BW99" s="268"/>
      <c r="BX99" s="266"/>
      <c r="BY99" s="266"/>
      <c r="BZ99" s="267"/>
      <c r="CA99" s="268"/>
      <c r="CB99" s="266"/>
      <c r="CC99" s="266"/>
      <c r="CD99" s="267"/>
      <c r="CE99" s="268"/>
      <c r="CF99" s="266"/>
      <c r="CG99" s="266"/>
      <c r="CH99" s="266"/>
      <c r="CI99" s="271"/>
      <c r="CJ99" s="268"/>
      <c r="CK99" s="266"/>
      <c r="CL99" s="266"/>
      <c r="CM99" s="267"/>
      <c r="CN99" s="251"/>
      <c r="CO99" s="249"/>
      <c r="CP99" s="249"/>
      <c r="CQ99" s="250"/>
      <c r="CR99" s="251"/>
      <c r="CS99" s="249"/>
      <c r="CT99" s="249"/>
      <c r="CU99" s="250"/>
      <c r="CV99" s="251"/>
      <c r="CW99" s="249"/>
      <c r="CX99" s="249"/>
      <c r="CY99" s="250"/>
      <c r="CZ99" s="103"/>
      <c r="DA99" s="102"/>
      <c r="DB99" s="102"/>
    </row>
    <row r="100" spans="1:106" ht="24.95" hidden="1" customHeight="1" outlineLevel="1" x14ac:dyDescent="0.55000000000000004">
      <c r="A100" s="326"/>
      <c r="B100" s="179"/>
      <c r="C100" s="343"/>
      <c r="D100" s="166"/>
      <c r="E100" s="33"/>
      <c r="F100" s="34"/>
      <c r="G100" s="104"/>
      <c r="H100" s="216"/>
      <c r="I100" s="206"/>
      <c r="J100" s="258"/>
      <c r="K100" s="259"/>
      <c r="L100" s="259"/>
      <c r="M100" s="260"/>
      <c r="N100" s="261"/>
      <c r="O100" s="259"/>
      <c r="P100" s="259"/>
      <c r="Q100" s="260"/>
      <c r="R100" s="262"/>
      <c r="S100" s="259"/>
      <c r="T100" s="259"/>
      <c r="U100" s="260"/>
      <c r="V100" s="261"/>
      <c r="W100" s="259"/>
      <c r="X100" s="259"/>
      <c r="Y100" s="263"/>
      <c r="Z100" s="260"/>
      <c r="AA100" s="261"/>
      <c r="AB100" s="259"/>
      <c r="AC100" s="259"/>
      <c r="AD100" s="260"/>
      <c r="AE100" s="262"/>
      <c r="AF100" s="259"/>
      <c r="AG100" s="259"/>
      <c r="AH100" s="259"/>
      <c r="AI100" s="264"/>
      <c r="AJ100" s="261"/>
      <c r="AK100" s="259"/>
      <c r="AL100" s="259"/>
      <c r="AM100" s="260"/>
      <c r="AN100" s="261"/>
      <c r="AO100" s="259"/>
      <c r="AP100" s="259"/>
      <c r="AQ100" s="260"/>
      <c r="AR100" s="261"/>
      <c r="AS100" s="259"/>
      <c r="AT100" s="259"/>
      <c r="AU100" s="259"/>
      <c r="AV100" s="264"/>
      <c r="AW100" s="261"/>
      <c r="AX100" s="259"/>
      <c r="AY100" s="259"/>
      <c r="AZ100" s="263"/>
      <c r="BA100" s="261"/>
      <c r="BB100" s="259"/>
      <c r="BC100" s="259"/>
      <c r="BD100" s="260"/>
      <c r="BE100" s="261"/>
      <c r="BF100" s="259"/>
      <c r="BG100" s="259"/>
      <c r="BH100" s="259"/>
      <c r="BI100" s="264"/>
      <c r="BJ100" s="261"/>
      <c r="BK100" s="259"/>
      <c r="BL100" s="259"/>
      <c r="BM100" s="260"/>
      <c r="BN100" s="261"/>
      <c r="BO100" s="259"/>
      <c r="BP100" s="259"/>
      <c r="BQ100" s="260"/>
      <c r="BR100" s="261"/>
      <c r="BS100" s="259"/>
      <c r="BT100" s="259"/>
      <c r="BU100" s="263"/>
      <c r="BV100" s="264"/>
      <c r="BW100" s="261"/>
      <c r="BX100" s="259"/>
      <c r="BY100" s="259"/>
      <c r="BZ100" s="260"/>
      <c r="CA100" s="261"/>
      <c r="CB100" s="259"/>
      <c r="CC100" s="259"/>
      <c r="CD100" s="260"/>
      <c r="CE100" s="261"/>
      <c r="CF100" s="259"/>
      <c r="CG100" s="259"/>
      <c r="CH100" s="259"/>
      <c r="CI100" s="264"/>
      <c r="CJ100" s="261"/>
      <c r="CK100" s="259"/>
      <c r="CL100" s="259"/>
      <c r="CM100" s="260"/>
      <c r="CN100" s="257"/>
      <c r="CO100" s="255"/>
      <c r="CP100" s="255"/>
      <c r="CQ100" s="256"/>
      <c r="CR100" s="257"/>
      <c r="CS100" s="255"/>
      <c r="CT100" s="255"/>
      <c r="CU100" s="256"/>
      <c r="CV100" s="257"/>
      <c r="CW100" s="255"/>
      <c r="CX100" s="255"/>
      <c r="CY100" s="256"/>
      <c r="CZ100" s="105"/>
      <c r="DA100" s="102"/>
      <c r="DB100" s="102"/>
    </row>
    <row r="101" spans="1:106" ht="24.95" hidden="1" customHeight="1" outlineLevel="1" x14ac:dyDescent="0.55000000000000004">
      <c r="A101" s="326"/>
      <c r="B101" s="179"/>
      <c r="C101" s="343"/>
      <c r="D101" s="166"/>
      <c r="E101" s="33"/>
      <c r="F101" s="34"/>
      <c r="G101" s="106"/>
      <c r="H101" s="217"/>
      <c r="I101" s="207"/>
      <c r="J101" s="265"/>
      <c r="K101" s="266"/>
      <c r="L101" s="266"/>
      <c r="M101" s="267"/>
      <c r="N101" s="268"/>
      <c r="O101" s="266"/>
      <c r="P101" s="266"/>
      <c r="Q101" s="267"/>
      <c r="R101" s="269"/>
      <c r="S101" s="266"/>
      <c r="T101" s="266"/>
      <c r="U101" s="267"/>
      <c r="V101" s="268"/>
      <c r="W101" s="266"/>
      <c r="X101" s="266"/>
      <c r="Y101" s="270"/>
      <c r="Z101" s="267"/>
      <c r="AA101" s="268"/>
      <c r="AB101" s="266"/>
      <c r="AC101" s="266"/>
      <c r="AD101" s="267"/>
      <c r="AE101" s="269"/>
      <c r="AF101" s="266"/>
      <c r="AG101" s="266"/>
      <c r="AH101" s="266"/>
      <c r="AI101" s="271"/>
      <c r="AJ101" s="268"/>
      <c r="AK101" s="266"/>
      <c r="AL101" s="266"/>
      <c r="AM101" s="267"/>
      <c r="AN101" s="268"/>
      <c r="AO101" s="266"/>
      <c r="AP101" s="266"/>
      <c r="AQ101" s="267"/>
      <c r="AR101" s="268"/>
      <c r="AS101" s="266"/>
      <c r="AT101" s="266"/>
      <c r="AU101" s="266"/>
      <c r="AV101" s="271"/>
      <c r="AW101" s="268"/>
      <c r="AX101" s="266"/>
      <c r="AY101" s="266"/>
      <c r="AZ101" s="270"/>
      <c r="BA101" s="268"/>
      <c r="BB101" s="266"/>
      <c r="BC101" s="266"/>
      <c r="BD101" s="267"/>
      <c r="BE101" s="268"/>
      <c r="BF101" s="266"/>
      <c r="BG101" s="266"/>
      <c r="BH101" s="266"/>
      <c r="BI101" s="271"/>
      <c r="BJ101" s="268"/>
      <c r="BK101" s="266"/>
      <c r="BL101" s="266"/>
      <c r="BM101" s="267"/>
      <c r="BN101" s="268"/>
      <c r="BO101" s="266"/>
      <c r="BP101" s="266"/>
      <c r="BQ101" s="267"/>
      <c r="BR101" s="268"/>
      <c r="BS101" s="266"/>
      <c r="BT101" s="266"/>
      <c r="BU101" s="270"/>
      <c r="BV101" s="271"/>
      <c r="BW101" s="268"/>
      <c r="BX101" s="266"/>
      <c r="BY101" s="266"/>
      <c r="BZ101" s="267"/>
      <c r="CA101" s="268"/>
      <c r="CB101" s="266"/>
      <c r="CC101" s="266"/>
      <c r="CD101" s="267"/>
      <c r="CE101" s="268"/>
      <c r="CF101" s="266"/>
      <c r="CG101" s="266"/>
      <c r="CH101" s="266"/>
      <c r="CI101" s="271"/>
      <c r="CJ101" s="268"/>
      <c r="CK101" s="266"/>
      <c r="CL101" s="266"/>
      <c r="CM101" s="267"/>
      <c r="CN101" s="251"/>
      <c r="CO101" s="249"/>
      <c r="CP101" s="249"/>
      <c r="CQ101" s="250"/>
      <c r="CR101" s="251"/>
      <c r="CS101" s="249"/>
      <c r="CT101" s="249"/>
      <c r="CU101" s="250"/>
      <c r="CV101" s="251"/>
      <c r="CW101" s="249"/>
      <c r="CX101" s="249"/>
      <c r="CY101" s="250"/>
      <c r="CZ101" s="103"/>
      <c r="DA101" s="102"/>
      <c r="DB101" s="102"/>
    </row>
    <row r="102" spans="1:106" ht="24.95" hidden="1" customHeight="1" outlineLevel="1" x14ac:dyDescent="0.55000000000000004">
      <c r="A102" s="326"/>
      <c r="B102" s="179"/>
      <c r="C102" s="344"/>
      <c r="D102" s="170"/>
      <c r="E102" s="33"/>
      <c r="F102" s="34"/>
      <c r="G102" s="104"/>
      <c r="H102" s="216"/>
      <c r="I102" s="206"/>
      <c r="J102" s="258"/>
      <c r="K102" s="259"/>
      <c r="L102" s="259"/>
      <c r="M102" s="260"/>
      <c r="N102" s="261"/>
      <c r="O102" s="259"/>
      <c r="P102" s="259"/>
      <c r="Q102" s="260"/>
      <c r="R102" s="262"/>
      <c r="S102" s="259"/>
      <c r="T102" s="259"/>
      <c r="U102" s="260"/>
      <c r="V102" s="261"/>
      <c r="W102" s="259"/>
      <c r="X102" s="259"/>
      <c r="Y102" s="263"/>
      <c r="Z102" s="260"/>
      <c r="AA102" s="261"/>
      <c r="AB102" s="259"/>
      <c r="AC102" s="259"/>
      <c r="AD102" s="260"/>
      <c r="AE102" s="262"/>
      <c r="AF102" s="259"/>
      <c r="AG102" s="259"/>
      <c r="AH102" s="259"/>
      <c r="AI102" s="264"/>
      <c r="AJ102" s="261"/>
      <c r="AK102" s="259"/>
      <c r="AL102" s="259"/>
      <c r="AM102" s="260"/>
      <c r="AN102" s="261"/>
      <c r="AO102" s="259"/>
      <c r="AP102" s="259"/>
      <c r="AQ102" s="260"/>
      <c r="AR102" s="261"/>
      <c r="AS102" s="259"/>
      <c r="AT102" s="259"/>
      <c r="AU102" s="259"/>
      <c r="AV102" s="264"/>
      <c r="AW102" s="261"/>
      <c r="AX102" s="259"/>
      <c r="AY102" s="259"/>
      <c r="AZ102" s="263"/>
      <c r="BA102" s="261"/>
      <c r="BB102" s="259"/>
      <c r="BC102" s="259"/>
      <c r="BD102" s="260"/>
      <c r="BE102" s="261"/>
      <c r="BF102" s="259"/>
      <c r="BG102" s="259"/>
      <c r="BH102" s="259"/>
      <c r="BI102" s="264"/>
      <c r="BJ102" s="261"/>
      <c r="BK102" s="259"/>
      <c r="BL102" s="259"/>
      <c r="BM102" s="260"/>
      <c r="BN102" s="261"/>
      <c r="BO102" s="259"/>
      <c r="BP102" s="259"/>
      <c r="BQ102" s="260"/>
      <c r="BR102" s="261"/>
      <c r="BS102" s="259"/>
      <c r="BT102" s="259"/>
      <c r="BU102" s="263"/>
      <c r="BV102" s="264"/>
      <c r="BW102" s="261"/>
      <c r="BX102" s="259"/>
      <c r="BY102" s="259"/>
      <c r="BZ102" s="260"/>
      <c r="CA102" s="261"/>
      <c r="CB102" s="259"/>
      <c r="CC102" s="259"/>
      <c r="CD102" s="260"/>
      <c r="CE102" s="261"/>
      <c r="CF102" s="259"/>
      <c r="CG102" s="259"/>
      <c r="CH102" s="259"/>
      <c r="CI102" s="264"/>
      <c r="CJ102" s="261"/>
      <c r="CK102" s="259"/>
      <c r="CL102" s="259"/>
      <c r="CM102" s="260"/>
      <c r="CN102" s="257"/>
      <c r="CO102" s="255"/>
      <c r="CP102" s="255"/>
      <c r="CQ102" s="256"/>
      <c r="CR102" s="257"/>
      <c r="CS102" s="255"/>
      <c r="CT102" s="255"/>
      <c r="CU102" s="256"/>
      <c r="CV102" s="257"/>
      <c r="CW102" s="255"/>
      <c r="CX102" s="255"/>
      <c r="CY102" s="256"/>
      <c r="CZ102" s="105"/>
      <c r="DA102" s="102"/>
      <c r="DB102" s="102"/>
    </row>
    <row r="103" spans="1:106" ht="24.95" hidden="1" customHeight="1" outlineLevel="1" x14ac:dyDescent="0.55000000000000004">
      <c r="A103" s="326"/>
      <c r="B103" s="179"/>
      <c r="C103" s="344"/>
      <c r="D103" s="170"/>
      <c r="E103" s="33"/>
      <c r="F103" s="34"/>
      <c r="G103" s="106"/>
      <c r="H103" s="217"/>
      <c r="I103" s="207"/>
      <c r="J103" s="265"/>
      <c r="K103" s="266"/>
      <c r="L103" s="266"/>
      <c r="M103" s="267"/>
      <c r="N103" s="268"/>
      <c r="O103" s="266"/>
      <c r="P103" s="266"/>
      <c r="Q103" s="267"/>
      <c r="R103" s="269"/>
      <c r="S103" s="266"/>
      <c r="T103" s="266"/>
      <c r="U103" s="267"/>
      <c r="V103" s="268"/>
      <c r="W103" s="266"/>
      <c r="X103" s="266"/>
      <c r="Y103" s="270"/>
      <c r="Z103" s="267"/>
      <c r="AA103" s="268"/>
      <c r="AB103" s="266"/>
      <c r="AC103" s="266"/>
      <c r="AD103" s="267"/>
      <c r="AE103" s="269"/>
      <c r="AF103" s="266"/>
      <c r="AG103" s="266"/>
      <c r="AH103" s="266"/>
      <c r="AI103" s="271"/>
      <c r="AJ103" s="268"/>
      <c r="AK103" s="266"/>
      <c r="AL103" s="266"/>
      <c r="AM103" s="267"/>
      <c r="AN103" s="268"/>
      <c r="AO103" s="266"/>
      <c r="AP103" s="266"/>
      <c r="AQ103" s="267"/>
      <c r="AR103" s="268"/>
      <c r="AS103" s="266"/>
      <c r="AT103" s="266"/>
      <c r="AU103" s="266"/>
      <c r="AV103" s="271"/>
      <c r="AW103" s="268"/>
      <c r="AX103" s="266"/>
      <c r="AY103" s="266"/>
      <c r="AZ103" s="270"/>
      <c r="BA103" s="268"/>
      <c r="BB103" s="266"/>
      <c r="BC103" s="266"/>
      <c r="BD103" s="267"/>
      <c r="BE103" s="268"/>
      <c r="BF103" s="266"/>
      <c r="BG103" s="266"/>
      <c r="BH103" s="266"/>
      <c r="BI103" s="271"/>
      <c r="BJ103" s="268"/>
      <c r="BK103" s="266"/>
      <c r="BL103" s="266"/>
      <c r="BM103" s="267"/>
      <c r="BN103" s="268"/>
      <c r="BO103" s="266"/>
      <c r="BP103" s="266"/>
      <c r="BQ103" s="267"/>
      <c r="BR103" s="268"/>
      <c r="BS103" s="266"/>
      <c r="BT103" s="266"/>
      <c r="BU103" s="270"/>
      <c r="BV103" s="271"/>
      <c r="BW103" s="268"/>
      <c r="BX103" s="266"/>
      <c r="BY103" s="266"/>
      <c r="BZ103" s="267"/>
      <c r="CA103" s="268"/>
      <c r="CB103" s="266"/>
      <c r="CC103" s="266"/>
      <c r="CD103" s="267"/>
      <c r="CE103" s="268"/>
      <c r="CF103" s="266"/>
      <c r="CG103" s="266"/>
      <c r="CH103" s="266"/>
      <c r="CI103" s="271"/>
      <c r="CJ103" s="268"/>
      <c r="CK103" s="266"/>
      <c r="CL103" s="266"/>
      <c r="CM103" s="267"/>
      <c r="CN103" s="251"/>
      <c r="CO103" s="249"/>
      <c r="CP103" s="249"/>
      <c r="CQ103" s="250"/>
      <c r="CR103" s="251"/>
      <c r="CS103" s="249"/>
      <c r="CT103" s="249"/>
      <c r="CU103" s="250"/>
      <c r="CV103" s="251"/>
      <c r="CW103" s="249"/>
      <c r="CX103" s="249"/>
      <c r="CY103" s="250"/>
      <c r="CZ103" s="103"/>
      <c r="DA103" s="102"/>
      <c r="DB103" s="102"/>
    </row>
    <row r="104" spans="1:106" ht="24.95" customHeight="1" x14ac:dyDescent="0.55000000000000004">
      <c r="A104" s="338">
        <v>1.7</v>
      </c>
      <c r="B104" s="180">
        <f t="shared" ref="B104" si="266">A104</f>
        <v>1.7</v>
      </c>
      <c r="C104" s="340" t="s">
        <v>13</v>
      </c>
      <c r="D104" s="165" t="str">
        <f t="shared" ref="D104" si="267">C104</f>
        <v xml:space="preserve">      งานภูมิสภาปัตยกรรม</v>
      </c>
      <c r="E104" s="84">
        <f>SUM(E106:E111)</f>
        <v>2143352.4729750021</v>
      </c>
      <c r="F104" s="32">
        <f t="shared" ref="F104" si="268">E104</f>
        <v>2143352.4729750021</v>
      </c>
      <c r="G104" s="208" t="s">
        <v>86</v>
      </c>
      <c r="H104" s="218">
        <f>SUM(J104:CZ104)</f>
        <v>0</v>
      </c>
      <c r="I104" s="209">
        <f>I106+I110</f>
        <v>2143352.4729750026</v>
      </c>
      <c r="J104" s="258"/>
      <c r="K104" s="259"/>
      <c r="L104" s="259"/>
      <c r="M104" s="260"/>
      <c r="N104" s="261"/>
      <c r="O104" s="259"/>
      <c r="P104" s="259"/>
      <c r="Q104" s="260"/>
      <c r="R104" s="262"/>
      <c r="S104" s="259"/>
      <c r="T104" s="259"/>
      <c r="U104" s="260"/>
      <c r="V104" s="261"/>
      <c r="W104" s="259"/>
      <c r="X104" s="259"/>
      <c r="Y104" s="263"/>
      <c r="Z104" s="260"/>
      <c r="AA104" s="261"/>
      <c r="AB104" s="259"/>
      <c r="AC104" s="259"/>
      <c r="AD104" s="260"/>
      <c r="AE104" s="262"/>
      <c r="AF104" s="259"/>
      <c r="AG104" s="259"/>
      <c r="AH104" s="259"/>
      <c r="AI104" s="264"/>
      <c r="AJ104" s="261"/>
      <c r="AK104" s="259"/>
      <c r="AL104" s="259"/>
      <c r="AM104" s="260"/>
      <c r="AN104" s="261"/>
      <c r="AO104" s="259"/>
      <c r="AP104" s="259"/>
      <c r="AQ104" s="260"/>
      <c r="AR104" s="261"/>
      <c r="AS104" s="259"/>
      <c r="AT104" s="259"/>
      <c r="AU104" s="259"/>
      <c r="AV104" s="264"/>
      <c r="AW104" s="261"/>
      <c r="AX104" s="259"/>
      <c r="AY104" s="259"/>
      <c r="AZ104" s="263"/>
      <c r="BA104" s="261"/>
      <c r="BB104" s="259"/>
      <c r="BC104" s="259"/>
      <c r="BD104" s="260"/>
      <c r="BE104" s="261"/>
      <c r="BF104" s="259"/>
      <c r="BG104" s="259"/>
      <c r="BH104" s="259"/>
      <c r="BI104" s="264"/>
      <c r="BJ104" s="261"/>
      <c r="BK104" s="259"/>
      <c r="BL104" s="259"/>
      <c r="BM104" s="260"/>
      <c r="BN104" s="261"/>
      <c r="BO104" s="259"/>
      <c r="BP104" s="259"/>
      <c r="BQ104" s="260"/>
      <c r="BR104" s="261"/>
      <c r="BS104" s="259"/>
      <c r="BT104" s="259"/>
      <c r="BU104" s="263"/>
      <c r="BV104" s="264"/>
      <c r="BW104" s="261"/>
      <c r="BX104" s="259"/>
      <c r="BY104" s="259"/>
      <c r="BZ104" s="260"/>
      <c r="CA104" s="261"/>
      <c r="CB104" s="259"/>
      <c r="CC104" s="259"/>
      <c r="CD104" s="260"/>
      <c r="CE104" s="261"/>
      <c r="CF104" s="259"/>
      <c r="CG104" s="259"/>
      <c r="CH104" s="259"/>
      <c r="CI104" s="264"/>
      <c r="CJ104" s="261"/>
      <c r="CK104" s="259"/>
      <c r="CL104" s="259"/>
      <c r="CM104" s="260"/>
      <c r="CN104" s="257">
        <f t="shared" ref="CN104:CY104" si="269">SUMPRODUCT(($G$106:$G$111="P")*$F$106:$F$111*CN106:CN111)/$E$104</f>
        <v>0</v>
      </c>
      <c r="CO104" s="255">
        <f t="shared" si="269"/>
        <v>0</v>
      </c>
      <c r="CP104" s="255">
        <f t="shared" si="269"/>
        <v>0</v>
      </c>
      <c r="CQ104" s="256">
        <f t="shared" si="269"/>
        <v>0</v>
      </c>
      <c r="CR104" s="257">
        <f t="shared" si="269"/>
        <v>0</v>
      </c>
      <c r="CS104" s="255">
        <f t="shared" si="269"/>
        <v>0</v>
      </c>
      <c r="CT104" s="255">
        <f t="shared" si="269"/>
        <v>0</v>
      </c>
      <c r="CU104" s="256">
        <f t="shared" si="269"/>
        <v>0</v>
      </c>
      <c r="CV104" s="257">
        <f t="shared" si="269"/>
        <v>0</v>
      </c>
      <c r="CW104" s="255">
        <f t="shared" si="269"/>
        <v>0</v>
      </c>
      <c r="CX104" s="255">
        <f t="shared" si="269"/>
        <v>0</v>
      </c>
      <c r="CY104" s="256">
        <f t="shared" si="269"/>
        <v>0</v>
      </c>
      <c r="CZ104" s="105"/>
      <c r="DA104" s="102"/>
      <c r="DB104" s="102"/>
    </row>
    <row r="105" spans="1:106" ht="24.95" customHeight="1" x14ac:dyDescent="0.55000000000000004">
      <c r="A105" s="339"/>
      <c r="B105" s="181">
        <f t="shared" ref="B105" si="270">B104</f>
        <v>1.7</v>
      </c>
      <c r="C105" s="340"/>
      <c r="D105" s="165" t="str">
        <f t="shared" ref="D105" si="271">D104</f>
        <v xml:space="preserve">      งานภูมิสภาปัตยกรรม</v>
      </c>
      <c r="E105" s="31"/>
      <c r="F105" s="32">
        <f t="shared" ref="F105" si="272">E104</f>
        <v>2143352.4729750021</v>
      </c>
      <c r="G105" s="210" t="s">
        <v>87</v>
      </c>
      <c r="H105" s="219">
        <f>SUM(J105:CZ105)</f>
        <v>0</v>
      </c>
      <c r="I105" s="211">
        <f>I107+I111</f>
        <v>0</v>
      </c>
      <c r="J105" s="265"/>
      <c r="K105" s="266"/>
      <c r="L105" s="266"/>
      <c r="M105" s="267"/>
      <c r="N105" s="268"/>
      <c r="O105" s="266"/>
      <c r="P105" s="266"/>
      <c r="Q105" s="267"/>
      <c r="R105" s="269"/>
      <c r="S105" s="266"/>
      <c r="T105" s="266"/>
      <c r="U105" s="267"/>
      <c r="V105" s="268"/>
      <c r="W105" s="266"/>
      <c r="X105" s="266"/>
      <c r="Y105" s="270"/>
      <c r="Z105" s="267"/>
      <c r="AA105" s="268"/>
      <c r="AB105" s="266"/>
      <c r="AC105" s="266"/>
      <c r="AD105" s="267"/>
      <c r="AE105" s="269"/>
      <c r="AF105" s="266"/>
      <c r="AG105" s="266"/>
      <c r="AH105" s="266"/>
      <c r="AI105" s="271"/>
      <c r="AJ105" s="268"/>
      <c r="AK105" s="266"/>
      <c r="AL105" s="266"/>
      <c r="AM105" s="267"/>
      <c r="AN105" s="268"/>
      <c r="AO105" s="266"/>
      <c r="AP105" s="266"/>
      <c r="AQ105" s="267"/>
      <c r="AR105" s="268"/>
      <c r="AS105" s="266"/>
      <c r="AT105" s="266"/>
      <c r="AU105" s="266"/>
      <c r="AV105" s="271"/>
      <c r="AW105" s="268"/>
      <c r="AX105" s="266"/>
      <c r="AY105" s="266"/>
      <c r="AZ105" s="270"/>
      <c r="BA105" s="268"/>
      <c r="BB105" s="266"/>
      <c r="BC105" s="266"/>
      <c r="BD105" s="267"/>
      <c r="BE105" s="268"/>
      <c r="BF105" s="266"/>
      <c r="BG105" s="266"/>
      <c r="BH105" s="266"/>
      <c r="BI105" s="271"/>
      <c r="BJ105" s="268"/>
      <c r="BK105" s="266"/>
      <c r="BL105" s="266"/>
      <c r="BM105" s="267"/>
      <c r="BN105" s="268"/>
      <c r="BO105" s="266"/>
      <c r="BP105" s="266"/>
      <c r="BQ105" s="267"/>
      <c r="BR105" s="268"/>
      <c r="BS105" s="266"/>
      <c r="BT105" s="266"/>
      <c r="BU105" s="270"/>
      <c r="BV105" s="271"/>
      <c r="BW105" s="268"/>
      <c r="BX105" s="266"/>
      <c r="BY105" s="266"/>
      <c r="BZ105" s="267"/>
      <c r="CA105" s="268"/>
      <c r="CB105" s="266"/>
      <c r="CC105" s="266"/>
      <c r="CD105" s="267"/>
      <c r="CE105" s="268"/>
      <c r="CF105" s="266"/>
      <c r="CG105" s="266"/>
      <c r="CH105" s="266"/>
      <c r="CI105" s="271"/>
      <c r="CJ105" s="268"/>
      <c r="CK105" s="266"/>
      <c r="CL105" s="266"/>
      <c r="CM105" s="267"/>
      <c r="CN105" s="251">
        <f t="shared" ref="CN105:CY105" si="273">SUMPRODUCT(($G$106:$G$111="A")*$F$106:$F$111*CN106:CN111)/$E$104</f>
        <v>0</v>
      </c>
      <c r="CO105" s="249">
        <f t="shared" si="273"/>
        <v>0</v>
      </c>
      <c r="CP105" s="249">
        <f t="shared" si="273"/>
        <v>0</v>
      </c>
      <c r="CQ105" s="250">
        <f t="shared" si="273"/>
        <v>0</v>
      </c>
      <c r="CR105" s="251">
        <f t="shared" si="273"/>
        <v>0</v>
      </c>
      <c r="CS105" s="249">
        <f t="shared" si="273"/>
        <v>0</v>
      </c>
      <c r="CT105" s="249">
        <f t="shared" si="273"/>
        <v>0</v>
      </c>
      <c r="CU105" s="250">
        <f t="shared" si="273"/>
        <v>0</v>
      </c>
      <c r="CV105" s="251">
        <f t="shared" si="273"/>
        <v>0</v>
      </c>
      <c r="CW105" s="249">
        <f t="shared" si="273"/>
        <v>0</v>
      </c>
      <c r="CX105" s="249">
        <f t="shared" si="273"/>
        <v>0</v>
      </c>
      <c r="CY105" s="250">
        <f t="shared" si="273"/>
        <v>0</v>
      </c>
      <c r="CZ105" s="103"/>
      <c r="DA105" s="102"/>
      <c r="DB105" s="102"/>
    </row>
    <row r="106" spans="1:106" ht="24.95" customHeight="1" outlineLevel="1" x14ac:dyDescent="0.55000000000000004">
      <c r="A106" s="326" t="s">
        <v>125</v>
      </c>
      <c r="B106" s="179" t="str">
        <f t="shared" ref="B106" si="274">A106</f>
        <v>1.7.1</v>
      </c>
      <c r="C106" s="343" t="s">
        <v>14</v>
      </c>
      <c r="D106" s="166" t="str">
        <f t="shared" ref="D106" si="275">C106</f>
        <v xml:space="preserve">            งาน Hardscape</v>
      </c>
      <c r="E106" s="33">
        <v>1046078.0249000001</v>
      </c>
      <c r="F106" s="34">
        <f t="shared" ref="F106" si="276">E106</f>
        <v>1046078.0249000001</v>
      </c>
      <c r="G106" s="104" t="s">
        <v>86</v>
      </c>
      <c r="H106" s="216">
        <f>SUM(J106:CZ106)</f>
        <v>1.0000000000000002</v>
      </c>
      <c r="I106" s="206">
        <f t="shared" si="209"/>
        <v>1046078.0249000003</v>
      </c>
      <c r="J106" s="258"/>
      <c r="K106" s="259"/>
      <c r="L106" s="259"/>
      <c r="M106" s="260"/>
      <c r="N106" s="261"/>
      <c r="O106" s="259"/>
      <c r="P106" s="259"/>
      <c r="Q106" s="260"/>
      <c r="R106" s="262"/>
      <c r="S106" s="259"/>
      <c r="T106" s="259"/>
      <c r="U106" s="260"/>
      <c r="V106" s="261"/>
      <c r="W106" s="259"/>
      <c r="X106" s="259"/>
      <c r="Y106" s="263"/>
      <c r="Z106" s="260"/>
      <c r="AA106" s="261"/>
      <c r="AB106" s="259"/>
      <c r="AC106" s="259"/>
      <c r="AD106" s="260"/>
      <c r="AE106" s="262"/>
      <c r="AF106" s="259"/>
      <c r="AG106" s="259"/>
      <c r="AH106" s="259"/>
      <c r="AI106" s="264"/>
      <c r="AJ106" s="261"/>
      <c r="AK106" s="259"/>
      <c r="AL106" s="259"/>
      <c r="AM106" s="260"/>
      <c r="AN106" s="285">
        <v>0.04</v>
      </c>
      <c r="AO106" s="277">
        <v>0.05</v>
      </c>
      <c r="AP106" s="277">
        <v>0.05</v>
      </c>
      <c r="AQ106" s="284">
        <v>0.05</v>
      </c>
      <c r="AR106" s="285">
        <v>0.08</v>
      </c>
      <c r="AS106" s="277">
        <v>0.08</v>
      </c>
      <c r="AT106" s="277">
        <v>0.1</v>
      </c>
      <c r="AU106" s="277">
        <v>0.1</v>
      </c>
      <c r="AV106" s="278">
        <v>0.1</v>
      </c>
      <c r="AW106" s="285">
        <v>0.1</v>
      </c>
      <c r="AX106" s="277">
        <v>0.05</v>
      </c>
      <c r="AY106" s="277">
        <v>0.05</v>
      </c>
      <c r="AZ106" s="286">
        <v>0.05</v>
      </c>
      <c r="BA106" s="285">
        <v>0.05</v>
      </c>
      <c r="BB106" s="277">
        <v>0.05</v>
      </c>
      <c r="BC106" s="277"/>
      <c r="BD106" s="300"/>
      <c r="BE106" s="279"/>
      <c r="BF106" s="280"/>
      <c r="BG106" s="280"/>
      <c r="BH106" s="280"/>
      <c r="BI106" s="287"/>
      <c r="BJ106" s="279"/>
      <c r="BK106" s="280"/>
      <c r="BL106" s="280"/>
      <c r="BM106" s="281"/>
      <c r="BN106" s="279"/>
      <c r="BO106" s="280"/>
      <c r="BP106" s="259"/>
      <c r="BQ106" s="260"/>
      <c r="BR106" s="261"/>
      <c r="BS106" s="259"/>
      <c r="BT106" s="259"/>
      <c r="BU106" s="263"/>
      <c r="BV106" s="264"/>
      <c r="BW106" s="261"/>
      <c r="BX106" s="259"/>
      <c r="BY106" s="259"/>
      <c r="BZ106" s="260"/>
      <c r="CA106" s="261"/>
      <c r="CB106" s="259"/>
      <c r="CC106" s="259"/>
      <c r="CD106" s="260"/>
      <c r="CE106" s="261"/>
      <c r="CF106" s="259"/>
      <c r="CG106" s="259"/>
      <c r="CH106" s="259"/>
      <c r="CI106" s="264"/>
      <c r="CJ106" s="261"/>
      <c r="CK106" s="259"/>
      <c r="CL106" s="259"/>
      <c r="CM106" s="260"/>
      <c r="CN106" s="257"/>
      <c r="CO106" s="255"/>
      <c r="CP106" s="255"/>
      <c r="CQ106" s="256"/>
      <c r="CR106" s="257"/>
      <c r="CS106" s="255"/>
      <c r="CT106" s="255"/>
      <c r="CU106" s="256"/>
      <c r="CV106" s="257"/>
      <c r="CW106" s="255"/>
      <c r="CX106" s="255"/>
      <c r="CY106" s="256"/>
      <c r="CZ106" s="105"/>
      <c r="DA106" s="102"/>
      <c r="DB106" s="102"/>
    </row>
    <row r="107" spans="1:106" ht="24.95" customHeight="1" outlineLevel="1" x14ac:dyDescent="0.55000000000000004">
      <c r="A107" s="326"/>
      <c r="B107" s="179" t="str">
        <f t="shared" ref="B107" si="277">B106</f>
        <v>1.7.1</v>
      </c>
      <c r="C107" s="343"/>
      <c r="D107" s="166" t="str">
        <f t="shared" ref="D107" si="278">D106</f>
        <v xml:space="preserve">            งาน Hardscape</v>
      </c>
      <c r="E107" s="33"/>
      <c r="F107" s="34">
        <f t="shared" ref="F107" si="279">E106</f>
        <v>1046078.0249000001</v>
      </c>
      <c r="G107" s="106" t="s">
        <v>87</v>
      </c>
      <c r="H107" s="217">
        <f>SUM(J107:CZ107)</f>
        <v>0</v>
      </c>
      <c r="I107" s="207">
        <f t="shared" si="209"/>
        <v>0</v>
      </c>
      <c r="J107" s="265"/>
      <c r="K107" s="266"/>
      <c r="L107" s="266"/>
      <c r="M107" s="267"/>
      <c r="N107" s="268"/>
      <c r="O107" s="266"/>
      <c r="P107" s="266"/>
      <c r="Q107" s="267"/>
      <c r="R107" s="269"/>
      <c r="S107" s="266"/>
      <c r="T107" s="266"/>
      <c r="U107" s="267"/>
      <c r="V107" s="268"/>
      <c r="W107" s="266"/>
      <c r="X107" s="266"/>
      <c r="Y107" s="270"/>
      <c r="Z107" s="267"/>
      <c r="AA107" s="268"/>
      <c r="AB107" s="266"/>
      <c r="AC107" s="266"/>
      <c r="AD107" s="267"/>
      <c r="AE107" s="269"/>
      <c r="AF107" s="266"/>
      <c r="AG107" s="266"/>
      <c r="AH107" s="266"/>
      <c r="AI107" s="271"/>
      <c r="AJ107" s="268"/>
      <c r="AK107" s="266"/>
      <c r="AL107" s="282"/>
      <c r="AM107" s="267"/>
      <c r="AN107" s="293"/>
      <c r="AO107" s="291"/>
      <c r="AP107" s="291"/>
      <c r="AQ107" s="292"/>
      <c r="AR107" s="293"/>
      <c r="AS107" s="291"/>
      <c r="AT107" s="291"/>
      <c r="AU107" s="291"/>
      <c r="AV107" s="296"/>
      <c r="AW107" s="293"/>
      <c r="AX107" s="291"/>
      <c r="AY107" s="291"/>
      <c r="AZ107" s="295"/>
      <c r="BA107" s="293"/>
      <c r="BB107" s="291"/>
      <c r="BC107" s="291"/>
      <c r="BD107" s="292"/>
      <c r="BE107" s="268"/>
      <c r="BF107" s="266"/>
      <c r="BG107" s="266"/>
      <c r="BH107" s="266"/>
      <c r="BI107" s="271"/>
      <c r="BJ107" s="268"/>
      <c r="BK107" s="266"/>
      <c r="BL107" s="266"/>
      <c r="BM107" s="267"/>
      <c r="BN107" s="268"/>
      <c r="BO107" s="266"/>
      <c r="BP107" s="266"/>
      <c r="BQ107" s="267"/>
      <c r="BR107" s="268"/>
      <c r="BS107" s="266"/>
      <c r="BT107" s="266"/>
      <c r="BU107" s="270"/>
      <c r="BV107" s="271"/>
      <c r="BW107" s="268"/>
      <c r="BX107" s="266"/>
      <c r="BY107" s="266"/>
      <c r="BZ107" s="267"/>
      <c r="CA107" s="268"/>
      <c r="CB107" s="266"/>
      <c r="CC107" s="266"/>
      <c r="CD107" s="267"/>
      <c r="CE107" s="268"/>
      <c r="CF107" s="266"/>
      <c r="CG107" s="266"/>
      <c r="CH107" s="266"/>
      <c r="CI107" s="271"/>
      <c r="CJ107" s="268"/>
      <c r="CK107" s="266"/>
      <c r="CL107" s="266"/>
      <c r="CM107" s="267"/>
      <c r="CN107" s="251"/>
      <c r="CO107" s="249"/>
      <c r="CP107" s="249"/>
      <c r="CQ107" s="250"/>
      <c r="CR107" s="251"/>
      <c r="CS107" s="249"/>
      <c r="CT107" s="249"/>
      <c r="CU107" s="250"/>
      <c r="CV107" s="251"/>
      <c r="CW107" s="249"/>
      <c r="CX107" s="249"/>
      <c r="CY107" s="250"/>
      <c r="CZ107" s="103"/>
      <c r="DA107" s="102"/>
      <c r="DB107" s="102"/>
    </row>
    <row r="108" spans="1:106" ht="24.95" hidden="1" customHeight="1" outlineLevel="1" x14ac:dyDescent="0.55000000000000004">
      <c r="A108" s="326" t="s">
        <v>126</v>
      </c>
      <c r="B108" s="179" t="str">
        <f t="shared" ref="B108" si="280">A108</f>
        <v>1.7.2</v>
      </c>
      <c r="C108" s="343" t="s">
        <v>15</v>
      </c>
      <c r="D108" s="166" t="str">
        <f t="shared" ref="D108" si="281">C108</f>
        <v xml:space="preserve">            งาน Softscape</v>
      </c>
      <c r="E108" s="33">
        <v>0</v>
      </c>
      <c r="F108" s="34">
        <f t="shared" ref="F108" si="282">E108</f>
        <v>0</v>
      </c>
      <c r="G108" s="104" t="s">
        <v>86</v>
      </c>
      <c r="H108" s="216">
        <f>SUM(J108:CZ108)</f>
        <v>0</v>
      </c>
      <c r="I108" s="206">
        <f t="shared" si="209"/>
        <v>0</v>
      </c>
      <c r="J108" s="258"/>
      <c r="K108" s="259"/>
      <c r="L108" s="259"/>
      <c r="M108" s="260"/>
      <c r="N108" s="261"/>
      <c r="O108" s="259"/>
      <c r="P108" s="259"/>
      <c r="Q108" s="260"/>
      <c r="R108" s="262"/>
      <c r="S108" s="259"/>
      <c r="T108" s="259"/>
      <c r="U108" s="260"/>
      <c r="V108" s="261"/>
      <c r="W108" s="259"/>
      <c r="X108" s="259"/>
      <c r="Y108" s="263"/>
      <c r="Z108" s="260"/>
      <c r="AA108" s="261"/>
      <c r="AB108" s="259"/>
      <c r="AC108" s="259"/>
      <c r="AD108" s="260"/>
      <c r="AE108" s="262"/>
      <c r="AF108" s="259"/>
      <c r="AG108" s="259"/>
      <c r="AH108" s="259"/>
      <c r="AI108" s="264"/>
      <c r="AJ108" s="261"/>
      <c r="AK108" s="259"/>
      <c r="AL108" s="259"/>
      <c r="AM108" s="260"/>
      <c r="AN108" s="261"/>
      <c r="AO108" s="259"/>
      <c r="AP108" s="259"/>
      <c r="AQ108" s="260"/>
      <c r="AR108" s="261"/>
      <c r="AS108" s="259"/>
      <c r="AT108" s="259"/>
      <c r="AU108" s="259"/>
      <c r="AV108" s="264"/>
      <c r="AW108" s="261"/>
      <c r="AX108" s="259"/>
      <c r="AY108" s="259"/>
      <c r="AZ108" s="263"/>
      <c r="BA108" s="261"/>
      <c r="BB108" s="259"/>
      <c r="BC108" s="259"/>
      <c r="BD108" s="260"/>
      <c r="BE108" s="261">
        <f>'[11]S-Curve Center 1 (Vat%) Weekly'!Y239*1.07</f>
        <v>0</v>
      </c>
      <c r="BF108" s="259"/>
      <c r="BG108" s="259"/>
      <c r="BH108" s="259"/>
      <c r="BI108" s="264"/>
      <c r="BJ108" s="261">
        <f>'[11]S-Curve Center 1 (Vat%) Weekly'!Z239*1.07</f>
        <v>0</v>
      </c>
      <c r="BK108" s="259"/>
      <c r="BL108" s="259"/>
      <c r="BM108" s="260"/>
      <c r="BN108" s="279"/>
      <c r="BO108" s="280"/>
      <c r="BP108" s="280"/>
      <c r="BQ108" s="281"/>
      <c r="BR108" s="279"/>
      <c r="BS108" s="280"/>
      <c r="BT108" s="280"/>
      <c r="BU108" s="297"/>
      <c r="BV108" s="287"/>
      <c r="BW108" s="261"/>
      <c r="BX108" s="259"/>
      <c r="BY108" s="259"/>
      <c r="BZ108" s="260"/>
      <c r="CA108" s="261"/>
      <c r="CB108" s="259"/>
      <c r="CC108" s="259"/>
      <c r="CD108" s="260"/>
      <c r="CE108" s="261"/>
      <c r="CF108" s="259"/>
      <c r="CG108" s="259"/>
      <c r="CH108" s="259"/>
      <c r="CI108" s="264"/>
      <c r="CJ108" s="261"/>
      <c r="CK108" s="259"/>
      <c r="CL108" s="259"/>
      <c r="CM108" s="260"/>
      <c r="CN108" s="257"/>
      <c r="CO108" s="255"/>
      <c r="CP108" s="255"/>
      <c r="CQ108" s="256"/>
      <c r="CR108" s="257"/>
      <c r="CS108" s="255"/>
      <c r="CT108" s="255"/>
      <c r="CU108" s="256"/>
      <c r="CV108" s="257"/>
      <c r="CW108" s="255"/>
      <c r="CX108" s="255"/>
      <c r="CY108" s="256"/>
      <c r="CZ108" s="105"/>
      <c r="DA108" s="102"/>
      <c r="DB108" s="102"/>
    </row>
    <row r="109" spans="1:106" ht="24.95" hidden="1" customHeight="1" outlineLevel="1" x14ac:dyDescent="0.55000000000000004">
      <c r="A109" s="326"/>
      <c r="B109" s="179" t="str">
        <f t="shared" ref="B109" si="283">B108</f>
        <v>1.7.2</v>
      </c>
      <c r="C109" s="343"/>
      <c r="D109" s="166" t="str">
        <f t="shared" ref="D109" si="284">D108</f>
        <v xml:space="preserve">            งาน Softscape</v>
      </c>
      <c r="E109" s="33"/>
      <c r="F109" s="34">
        <f t="shared" ref="F109" si="285">E108</f>
        <v>0</v>
      </c>
      <c r="G109" s="106" t="s">
        <v>87</v>
      </c>
      <c r="H109" s="217">
        <f>SUM(J109:CZ109)</f>
        <v>0</v>
      </c>
      <c r="I109" s="207">
        <f t="shared" si="209"/>
        <v>0</v>
      </c>
      <c r="J109" s="265"/>
      <c r="K109" s="266"/>
      <c r="L109" s="266"/>
      <c r="M109" s="267"/>
      <c r="N109" s="268"/>
      <c r="O109" s="266"/>
      <c r="P109" s="266"/>
      <c r="Q109" s="267"/>
      <c r="R109" s="269"/>
      <c r="S109" s="266"/>
      <c r="T109" s="266"/>
      <c r="U109" s="267"/>
      <c r="V109" s="268"/>
      <c r="W109" s="266"/>
      <c r="X109" s="266"/>
      <c r="Y109" s="270"/>
      <c r="Z109" s="267"/>
      <c r="AA109" s="268"/>
      <c r="AB109" s="266"/>
      <c r="AC109" s="266"/>
      <c r="AD109" s="267"/>
      <c r="AE109" s="269">
        <v>0</v>
      </c>
      <c r="AF109" s="266"/>
      <c r="AG109" s="266"/>
      <c r="AH109" s="266"/>
      <c r="AI109" s="271"/>
      <c r="AJ109" s="268"/>
      <c r="AK109" s="266"/>
      <c r="AL109" s="266"/>
      <c r="AM109" s="267"/>
      <c r="AN109" s="268"/>
      <c r="AO109" s="266"/>
      <c r="AP109" s="266"/>
      <c r="AQ109" s="267"/>
      <c r="AR109" s="268">
        <v>0</v>
      </c>
      <c r="AS109" s="266"/>
      <c r="AT109" s="266"/>
      <c r="AU109" s="266"/>
      <c r="AV109" s="271"/>
      <c r="AW109" s="268">
        <v>0</v>
      </c>
      <c r="AX109" s="266"/>
      <c r="AY109" s="266"/>
      <c r="AZ109" s="270"/>
      <c r="BA109" s="268">
        <v>0</v>
      </c>
      <c r="BB109" s="266"/>
      <c r="BC109" s="266"/>
      <c r="BD109" s="267"/>
      <c r="BE109" s="268">
        <f>'[11]S-Curve Center 1 (Vat%) Weekly'!Y240*1.07</f>
        <v>0</v>
      </c>
      <c r="BF109" s="266"/>
      <c r="BG109" s="266"/>
      <c r="BH109" s="266"/>
      <c r="BI109" s="271"/>
      <c r="BJ109" s="268">
        <f>'[11]S-Curve Center 1 (Vat%) Weekly'!Z240*1.07</f>
        <v>0</v>
      </c>
      <c r="BK109" s="266"/>
      <c r="BL109" s="266"/>
      <c r="BM109" s="267"/>
      <c r="BN109" s="268"/>
      <c r="BO109" s="266"/>
      <c r="BP109" s="266"/>
      <c r="BQ109" s="267"/>
      <c r="BR109" s="268"/>
      <c r="BS109" s="266"/>
      <c r="BT109" s="266"/>
      <c r="BU109" s="270"/>
      <c r="BV109" s="271"/>
      <c r="BW109" s="268"/>
      <c r="BX109" s="266"/>
      <c r="BY109" s="266"/>
      <c r="BZ109" s="267"/>
      <c r="CA109" s="268"/>
      <c r="CB109" s="266"/>
      <c r="CC109" s="266"/>
      <c r="CD109" s="267"/>
      <c r="CE109" s="268"/>
      <c r="CF109" s="266"/>
      <c r="CG109" s="266"/>
      <c r="CH109" s="266"/>
      <c r="CI109" s="271"/>
      <c r="CJ109" s="268"/>
      <c r="CK109" s="266"/>
      <c r="CL109" s="266"/>
      <c r="CM109" s="267"/>
      <c r="CN109" s="251"/>
      <c r="CO109" s="249"/>
      <c r="CP109" s="249"/>
      <c r="CQ109" s="250"/>
      <c r="CR109" s="251"/>
      <c r="CS109" s="249"/>
      <c r="CT109" s="249"/>
      <c r="CU109" s="250"/>
      <c r="CV109" s="251"/>
      <c r="CW109" s="249"/>
      <c r="CX109" s="249"/>
      <c r="CY109" s="250"/>
      <c r="CZ109" s="103"/>
      <c r="DA109" s="102"/>
      <c r="DB109" s="102"/>
    </row>
    <row r="110" spans="1:106" ht="24.95" customHeight="1" outlineLevel="1" x14ac:dyDescent="0.55000000000000004">
      <c r="A110" s="326" t="s">
        <v>127</v>
      </c>
      <c r="B110" s="179" t="str">
        <f t="shared" ref="B110" si="286">A110</f>
        <v>1.7.3</v>
      </c>
      <c r="C110" s="343" t="s">
        <v>46</v>
      </c>
      <c r="D110" s="166" t="str">
        <f t="shared" ref="D110" si="287">C110</f>
        <v xml:space="preserve">            Lighting Landscape</v>
      </c>
      <c r="E110" s="33">
        <v>1097274.4480750021</v>
      </c>
      <c r="F110" s="34">
        <f t="shared" ref="F110" si="288">E110</f>
        <v>1097274.4480750021</v>
      </c>
      <c r="G110" s="104" t="s">
        <v>86</v>
      </c>
      <c r="H110" s="216">
        <f>SUM(J110:CZ110)</f>
        <v>1</v>
      </c>
      <c r="I110" s="206">
        <f t="shared" si="209"/>
        <v>1097274.4480750021</v>
      </c>
      <c r="J110" s="258"/>
      <c r="K110" s="259"/>
      <c r="L110" s="259"/>
      <c r="M110" s="260"/>
      <c r="N110" s="261"/>
      <c r="O110" s="259"/>
      <c r="P110" s="259"/>
      <c r="Q110" s="260"/>
      <c r="R110" s="262"/>
      <c r="S110" s="259"/>
      <c r="T110" s="259"/>
      <c r="U110" s="260"/>
      <c r="V110" s="261"/>
      <c r="W110" s="259"/>
      <c r="X110" s="259"/>
      <c r="Y110" s="263"/>
      <c r="Z110" s="260"/>
      <c r="AA110" s="261"/>
      <c r="AB110" s="259"/>
      <c r="AC110" s="259"/>
      <c r="AD110" s="260"/>
      <c r="AE110" s="262"/>
      <c r="AF110" s="259"/>
      <c r="AG110" s="259"/>
      <c r="AH110" s="259"/>
      <c r="AI110" s="264"/>
      <c r="AJ110" s="261"/>
      <c r="AK110" s="259"/>
      <c r="AL110" s="259"/>
      <c r="AM110" s="260"/>
      <c r="AN110" s="261"/>
      <c r="AO110" s="259"/>
      <c r="AP110" s="259"/>
      <c r="AQ110" s="260"/>
      <c r="AR110" s="285">
        <v>0.05</v>
      </c>
      <c r="AS110" s="277">
        <v>0.05</v>
      </c>
      <c r="AT110" s="277">
        <v>0.1</v>
      </c>
      <c r="AU110" s="277">
        <v>0.1</v>
      </c>
      <c r="AV110" s="278">
        <v>0.1</v>
      </c>
      <c r="AW110" s="285">
        <v>0.25</v>
      </c>
      <c r="AX110" s="277">
        <v>0.2</v>
      </c>
      <c r="AY110" s="277">
        <v>0.1</v>
      </c>
      <c r="AZ110" s="286">
        <v>0.05</v>
      </c>
      <c r="BA110" s="261"/>
      <c r="BB110" s="259"/>
      <c r="BC110" s="259"/>
      <c r="BD110" s="260"/>
      <c r="BE110" s="261"/>
      <c r="BF110" s="259"/>
      <c r="BG110" s="259"/>
      <c r="BH110" s="259"/>
      <c r="BI110" s="264"/>
      <c r="BJ110" s="279"/>
      <c r="BK110" s="280"/>
      <c r="BL110" s="280"/>
      <c r="BM110" s="281"/>
      <c r="BN110" s="279"/>
      <c r="BO110" s="280"/>
      <c r="BP110" s="259"/>
      <c r="BQ110" s="260"/>
      <c r="BR110" s="261"/>
      <c r="BS110" s="259"/>
      <c r="BT110" s="259"/>
      <c r="BU110" s="263"/>
      <c r="BV110" s="264"/>
      <c r="BW110" s="261"/>
      <c r="BX110" s="259"/>
      <c r="BY110" s="259"/>
      <c r="BZ110" s="260"/>
      <c r="CA110" s="261"/>
      <c r="CB110" s="259"/>
      <c r="CC110" s="259"/>
      <c r="CD110" s="260"/>
      <c r="CE110" s="261"/>
      <c r="CF110" s="259"/>
      <c r="CG110" s="259"/>
      <c r="CH110" s="259"/>
      <c r="CI110" s="264"/>
      <c r="CJ110" s="261"/>
      <c r="CK110" s="259"/>
      <c r="CL110" s="259"/>
      <c r="CM110" s="260"/>
      <c r="CN110" s="257"/>
      <c r="CO110" s="255"/>
      <c r="CP110" s="255"/>
      <c r="CQ110" s="256"/>
      <c r="CR110" s="257"/>
      <c r="CS110" s="255"/>
      <c r="CT110" s="255"/>
      <c r="CU110" s="256"/>
      <c r="CV110" s="257"/>
      <c r="CW110" s="255"/>
      <c r="CX110" s="255"/>
      <c r="CY110" s="256"/>
      <c r="CZ110" s="105"/>
      <c r="DA110" s="102"/>
      <c r="DB110" s="102"/>
    </row>
    <row r="111" spans="1:106" ht="24.95" customHeight="1" outlineLevel="1" x14ac:dyDescent="0.55000000000000004">
      <c r="A111" s="326"/>
      <c r="B111" s="179" t="str">
        <f t="shared" ref="B111" si="289">B110</f>
        <v>1.7.3</v>
      </c>
      <c r="C111" s="343"/>
      <c r="D111" s="166" t="str">
        <f t="shared" ref="D111" si="290">D110</f>
        <v xml:space="preserve">            Lighting Landscape</v>
      </c>
      <c r="E111" s="33"/>
      <c r="F111" s="34">
        <f t="shared" ref="F111" si="291">E110</f>
        <v>1097274.4480750021</v>
      </c>
      <c r="G111" s="106" t="s">
        <v>87</v>
      </c>
      <c r="H111" s="217">
        <f>SUM(J111:CZ111)</f>
        <v>0</v>
      </c>
      <c r="I111" s="207">
        <f t="shared" si="209"/>
        <v>0</v>
      </c>
      <c r="J111" s="265"/>
      <c r="K111" s="266"/>
      <c r="L111" s="266"/>
      <c r="M111" s="267"/>
      <c r="N111" s="268"/>
      <c r="O111" s="266"/>
      <c r="P111" s="266"/>
      <c r="Q111" s="267"/>
      <c r="R111" s="269"/>
      <c r="S111" s="266"/>
      <c r="T111" s="266"/>
      <c r="U111" s="267"/>
      <c r="V111" s="268"/>
      <c r="W111" s="266"/>
      <c r="X111" s="266"/>
      <c r="Y111" s="270"/>
      <c r="Z111" s="267"/>
      <c r="AA111" s="268"/>
      <c r="AB111" s="266"/>
      <c r="AC111" s="266"/>
      <c r="AD111" s="267"/>
      <c r="AE111" s="269"/>
      <c r="AF111" s="266"/>
      <c r="AG111" s="266"/>
      <c r="AH111" s="266"/>
      <c r="AI111" s="271"/>
      <c r="AJ111" s="268"/>
      <c r="AK111" s="266"/>
      <c r="AL111" s="266"/>
      <c r="AM111" s="267"/>
      <c r="AN111" s="268"/>
      <c r="AO111" s="266"/>
      <c r="AP111" s="282"/>
      <c r="AQ111" s="267"/>
      <c r="AR111" s="293"/>
      <c r="AS111" s="291"/>
      <c r="AT111" s="291"/>
      <c r="AU111" s="291"/>
      <c r="AV111" s="296"/>
      <c r="AW111" s="293"/>
      <c r="AX111" s="291"/>
      <c r="AY111" s="291"/>
      <c r="AZ111" s="295"/>
      <c r="BA111" s="268"/>
      <c r="BB111" s="266"/>
      <c r="BC111" s="266"/>
      <c r="BD111" s="267"/>
      <c r="BE111" s="268"/>
      <c r="BF111" s="266"/>
      <c r="BG111" s="266"/>
      <c r="BH111" s="266"/>
      <c r="BI111" s="271"/>
      <c r="BJ111" s="268"/>
      <c r="BK111" s="266"/>
      <c r="BL111" s="266"/>
      <c r="BM111" s="267"/>
      <c r="BN111" s="268"/>
      <c r="BO111" s="266"/>
      <c r="BP111" s="266"/>
      <c r="BQ111" s="267"/>
      <c r="BR111" s="268"/>
      <c r="BS111" s="266"/>
      <c r="BT111" s="266"/>
      <c r="BU111" s="270"/>
      <c r="BV111" s="271"/>
      <c r="BW111" s="268"/>
      <c r="BX111" s="266"/>
      <c r="BY111" s="266"/>
      <c r="BZ111" s="267"/>
      <c r="CA111" s="268"/>
      <c r="CB111" s="266"/>
      <c r="CC111" s="266"/>
      <c r="CD111" s="267"/>
      <c r="CE111" s="268"/>
      <c r="CF111" s="266"/>
      <c r="CG111" s="266"/>
      <c r="CH111" s="266"/>
      <c r="CI111" s="271"/>
      <c r="CJ111" s="268"/>
      <c r="CK111" s="266"/>
      <c r="CL111" s="266"/>
      <c r="CM111" s="267"/>
      <c r="CN111" s="251"/>
      <c r="CO111" s="249"/>
      <c r="CP111" s="249"/>
      <c r="CQ111" s="250"/>
      <c r="CR111" s="251"/>
      <c r="CS111" s="249"/>
      <c r="CT111" s="249"/>
      <c r="CU111" s="250"/>
      <c r="CV111" s="251"/>
      <c r="CW111" s="249"/>
      <c r="CX111" s="249"/>
      <c r="CY111" s="250"/>
      <c r="CZ111" s="103"/>
      <c r="DA111" s="102"/>
      <c r="DB111" s="102"/>
    </row>
    <row r="112" spans="1:106" ht="24.95" customHeight="1" x14ac:dyDescent="0.55000000000000004">
      <c r="A112" s="338">
        <v>1.8</v>
      </c>
      <c r="B112" s="180">
        <f t="shared" ref="B112" si="292">A112</f>
        <v>1.8</v>
      </c>
      <c r="C112" s="340" t="s">
        <v>47</v>
      </c>
      <c r="D112" s="165" t="str">
        <f t="shared" ref="D112" si="293">C112</f>
        <v xml:space="preserve">      งานติดตั้งครุภัณฑ์</v>
      </c>
      <c r="E112" s="84">
        <f>SUM(E114:E125)</f>
        <v>33207814.05848429</v>
      </c>
      <c r="F112" s="32">
        <f t="shared" ref="F112" si="294">E112</f>
        <v>33207814.05848429</v>
      </c>
      <c r="G112" s="208" t="s">
        <v>86</v>
      </c>
      <c r="H112" s="218">
        <f>I112/F112</f>
        <v>1</v>
      </c>
      <c r="I112" s="209">
        <f>I114+I116+I122+I124</f>
        <v>33207814.05848429</v>
      </c>
      <c r="J112" s="258"/>
      <c r="K112" s="259"/>
      <c r="L112" s="259"/>
      <c r="M112" s="260"/>
      <c r="N112" s="261"/>
      <c r="O112" s="259"/>
      <c r="P112" s="259"/>
      <c r="Q112" s="260"/>
      <c r="R112" s="262"/>
      <c r="S112" s="259"/>
      <c r="T112" s="259"/>
      <c r="U112" s="260"/>
      <c r="V112" s="261"/>
      <c r="W112" s="259"/>
      <c r="X112" s="259"/>
      <c r="Y112" s="263"/>
      <c r="Z112" s="260"/>
      <c r="AA112" s="261"/>
      <c r="AB112" s="259"/>
      <c r="AC112" s="259"/>
      <c r="AD112" s="260"/>
      <c r="AE112" s="262"/>
      <c r="AF112" s="259"/>
      <c r="AG112" s="259"/>
      <c r="AH112" s="259"/>
      <c r="AI112" s="264"/>
      <c r="AJ112" s="261"/>
      <c r="AK112" s="259"/>
      <c r="AL112" s="259"/>
      <c r="AM112" s="260"/>
      <c r="AN112" s="261"/>
      <c r="AO112" s="259"/>
      <c r="AP112" s="259"/>
      <c r="AQ112" s="260"/>
      <c r="AR112" s="261"/>
      <c r="AS112" s="259"/>
      <c r="AT112" s="259"/>
      <c r="AU112" s="259"/>
      <c r="AV112" s="264"/>
      <c r="AW112" s="261"/>
      <c r="AX112" s="259"/>
      <c r="AY112" s="259"/>
      <c r="AZ112" s="263"/>
      <c r="BA112" s="261"/>
      <c r="BB112" s="259"/>
      <c r="BC112" s="259"/>
      <c r="BD112" s="260"/>
      <c r="BE112" s="261"/>
      <c r="BF112" s="259"/>
      <c r="BG112" s="259"/>
      <c r="BH112" s="259"/>
      <c r="BI112" s="264"/>
      <c r="BJ112" s="261"/>
      <c r="BK112" s="259"/>
      <c r="BL112" s="259"/>
      <c r="BM112" s="260"/>
      <c r="BN112" s="261"/>
      <c r="BO112" s="259"/>
      <c r="BP112" s="259"/>
      <c r="BQ112" s="260"/>
      <c r="BR112" s="261"/>
      <c r="BS112" s="259"/>
      <c r="BT112" s="259"/>
      <c r="BU112" s="263"/>
      <c r="BV112" s="264"/>
      <c r="BW112" s="261"/>
      <c r="BX112" s="259"/>
      <c r="BY112" s="259"/>
      <c r="BZ112" s="260"/>
      <c r="CA112" s="261"/>
      <c r="CB112" s="259"/>
      <c r="CC112" s="259"/>
      <c r="CD112" s="260"/>
      <c r="CE112" s="261"/>
      <c r="CF112" s="259"/>
      <c r="CG112" s="259"/>
      <c r="CH112" s="259"/>
      <c r="CI112" s="264"/>
      <c r="CJ112" s="261"/>
      <c r="CK112" s="259"/>
      <c r="CL112" s="259"/>
      <c r="CM112" s="260"/>
      <c r="CN112" s="257">
        <f t="shared" ref="CN112:CY112" si="295">SUMPRODUCT(($G$114:$G$125="P")*$F$114:$F$125*CN114:CN125)/$E$112</f>
        <v>0</v>
      </c>
      <c r="CO112" s="255">
        <f t="shared" si="295"/>
        <v>0</v>
      </c>
      <c r="CP112" s="255">
        <f t="shared" si="295"/>
        <v>0</v>
      </c>
      <c r="CQ112" s="256">
        <f t="shared" si="295"/>
        <v>0</v>
      </c>
      <c r="CR112" s="257">
        <f t="shared" si="295"/>
        <v>0</v>
      </c>
      <c r="CS112" s="255">
        <f t="shared" si="295"/>
        <v>0</v>
      </c>
      <c r="CT112" s="255">
        <f t="shared" si="295"/>
        <v>0</v>
      </c>
      <c r="CU112" s="256">
        <f t="shared" si="295"/>
        <v>0</v>
      </c>
      <c r="CV112" s="257">
        <f t="shared" si="295"/>
        <v>0</v>
      </c>
      <c r="CW112" s="255">
        <f t="shared" si="295"/>
        <v>0</v>
      </c>
      <c r="CX112" s="255">
        <f t="shared" si="295"/>
        <v>0</v>
      </c>
      <c r="CY112" s="256">
        <f t="shared" si="295"/>
        <v>0</v>
      </c>
      <c r="CZ112" s="105"/>
      <c r="DA112" s="102"/>
      <c r="DB112" s="102"/>
    </row>
    <row r="113" spans="1:106" ht="24.95" customHeight="1" x14ac:dyDescent="0.55000000000000004">
      <c r="A113" s="339"/>
      <c r="B113" s="181">
        <f t="shared" ref="B113" si="296">B112</f>
        <v>1.8</v>
      </c>
      <c r="C113" s="340"/>
      <c r="D113" s="165" t="str">
        <f t="shared" ref="D113" si="297">D112</f>
        <v xml:space="preserve">      งานติดตั้งครุภัณฑ์</v>
      </c>
      <c r="E113" s="31"/>
      <c r="F113" s="32">
        <f t="shared" ref="F113" si="298">E112</f>
        <v>33207814.05848429</v>
      </c>
      <c r="G113" s="210" t="s">
        <v>87</v>
      </c>
      <c r="H113" s="219">
        <f>I113/F113</f>
        <v>0</v>
      </c>
      <c r="I113" s="211">
        <f>I115+I117+I123+I125</f>
        <v>0</v>
      </c>
      <c r="J113" s="265"/>
      <c r="K113" s="266"/>
      <c r="L113" s="266"/>
      <c r="M113" s="267"/>
      <c r="N113" s="268"/>
      <c r="O113" s="266"/>
      <c r="P113" s="266"/>
      <c r="Q113" s="267"/>
      <c r="R113" s="269"/>
      <c r="S113" s="266"/>
      <c r="T113" s="266"/>
      <c r="U113" s="267"/>
      <c r="V113" s="268"/>
      <c r="W113" s="266"/>
      <c r="X113" s="266"/>
      <c r="Y113" s="270"/>
      <c r="Z113" s="267"/>
      <c r="AA113" s="268"/>
      <c r="AB113" s="266"/>
      <c r="AC113" s="266"/>
      <c r="AD113" s="267"/>
      <c r="AE113" s="269"/>
      <c r="AF113" s="266"/>
      <c r="AG113" s="266"/>
      <c r="AH113" s="266"/>
      <c r="AI113" s="271"/>
      <c r="AJ113" s="268"/>
      <c r="AK113" s="266"/>
      <c r="AL113" s="266"/>
      <c r="AM113" s="267"/>
      <c r="AN113" s="268"/>
      <c r="AO113" s="266"/>
      <c r="AP113" s="266"/>
      <c r="AQ113" s="267"/>
      <c r="AR113" s="268"/>
      <c r="AS113" s="266"/>
      <c r="AT113" s="266"/>
      <c r="AU113" s="266"/>
      <c r="AV113" s="271"/>
      <c r="AW113" s="268"/>
      <c r="AX113" s="266"/>
      <c r="AY113" s="266"/>
      <c r="AZ113" s="270"/>
      <c r="BA113" s="268"/>
      <c r="BB113" s="266"/>
      <c r="BC113" s="266"/>
      <c r="BD113" s="267"/>
      <c r="BE113" s="268"/>
      <c r="BF113" s="266"/>
      <c r="BG113" s="266"/>
      <c r="BH113" s="266"/>
      <c r="BI113" s="271"/>
      <c r="BJ113" s="268"/>
      <c r="BK113" s="266"/>
      <c r="BL113" s="266"/>
      <c r="BM113" s="267"/>
      <c r="BN113" s="268"/>
      <c r="BO113" s="266"/>
      <c r="BP113" s="266"/>
      <c r="BQ113" s="267"/>
      <c r="BR113" s="268"/>
      <c r="BS113" s="266"/>
      <c r="BT113" s="266"/>
      <c r="BU113" s="270"/>
      <c r="BV113" s="271"/>
      <c r="BW113" s="268"/>
      <c r="BX113" s="266"/>
      <c r="BY113" s="266"/>
      <c r="BZ113" s="267"/>
      <c r="CA113" s="268"/>
      <c r="CB113" s="266"/>
      <c r="CC113" s="266"/>
      <c r="CD113" s="267"/>
      <c r="CE113" s="268"/>
      <c r="CF113" s="266"/>
      <c r="CG113" s="266"/>
      <c r="CH113" s="266"/>
      <c r="CI113" s="271"/>
      <c r="CJ113" s="268"/>
      <c r="CK113" s="266"/>
      <c r="CL113" s="266"/>
      <c r="CM113" s="267"/>
      <c r="CN113" s="251">
        <f t="shared" ref="CN113:CY113" si="299">SUMPRODUCT(($G$114:$G$125="A")*$F$114:$F$125*CN114:CN125)/$E$112</f>
        <v>0</v>
      </c>
      <c r="CO113" s="249">
        <f t="shared" si="299"/>
        <v>0</v>
      </c>
      <c r="CP113" s="249">
        <f t="shared" si="299"/>
        <v>0</v>
      </c>
      <c r="CQ113" s="250">
        <f t="shared" si="299"/>
        <v>0</v>
      </c>
      <c r="CR113" s="251">
        <f t="shared" si="299"/>
        <v>0</v>
      </c>
      <c r="CS113" s="249">
        <f t="shared" si="299"/>
        <v>0</v>
      </c>
      <c r="CT113" s="249">
        <f t="shared" si="299"/>
        <v>0</v>
      </c>
      <c r="CU113" s="250">
        <f t="shared" si="299"/>
        <v>0</v>
      </c>
      <c r="CV113" s="251">
        <f t="shared" si="299"/>
        <v>0</v>
      </c>
      <c r="CW113" s="249">
        <f t="shared" si="299"/>
        <v>0</v>
      </c>
      <c r="CX113" s="249">
        <f t="shared" si="299"/>
        <v>0</v>
      </c>
      <c r="CY113" s="250">
        <f t="shared" si="299"/>
        <v>0</v>
      </c>
      <c r="CZ113" s="103"/>
      <c r="DA113" s="102"/>
      <c r="DB113" s="102"/>
    </row>
    <row r="114" spans="1:106" ht="24.95" customHeight="1" outlineLevel="1" x14ac:dyDescent="0.55000000000000004">
      <c r="A114" s="326" t="s">
        <v>128</v>
      </c>
      <c r="B114" s="182" t="str">
        <f t="shared" ref="B114" si="300">A114</f>
        <v>1.8.1</v>
      </c>
      <c r="C114" s="327" t="s">
        <v>89</v>
      </c>
      <c r="D114" s="166" t="str">
        <f t="shared" ref="D114" si="301">C114</f>
        <v>งานครุภัณฑ์ระบบภาพและเสียง</v>
      </c>
      <c r="E114" s="33">
        <v>7596119.9351565996</v>
      </c>
      <c r="F114" s="34">
        <f t="shared" ref="F114" si="302">E114</f>
        <v>7596119.9351565996</v>
      </c>
      <c r="G114" s="104" t="s">
        <v>86</v>
      </c>
      <c r="H114" s="216">
        <f>SUM(J114:CZ114)</f>
        <v>1</v>
      </c>
      <c r="I114" s="206">
        <f t="shared" si="209"/>
        <v>7596119.9351565996</v>
      </c>
      <c r="J114" s="258"/>
      <c r="K114" s="259"/>
      <c r="L114" s="259"/>
      <c r="M114" s="260"/>
      <c r="N114" s="261"/>
      <c r="O114" s="259"/>
      <c r="P114" s="259"/>
      <c r="Q114" s="260"/>
      <c r="R114" s="262"/>
      <c r="S114" s="259"/>
      <c r="T114" s="259"/>
      <c r="U114" s="260"/>
      <c r="V114" s="261"/>
      <c r="W114" s="259"/>
      <c r="X114" s="259"/>
      <c r="Y114" s="263"/>
      <c r="Z114" s="260"/>
      <c r="AA114" s="261"/>
      <c r="AB114" s="259"/>
      <c r="AC114" s="259"/>
      <c r="AD114" s="260"/>
      <c r="AE114" s="262"/>
      <c r="AF114" s="259"/>
      <c r="AG114" s="259"/>
      <c r="AH114" s="259"/>
      <c r="AI114" s="264"/>
      <c r="AJ114" s="261"/>
      <c r="AK114" s="259"/>
      <c r="AL114" s="259"/>
      <c r="AM114" s="260"/>
      <c r="AN114" s="261"/>
      <c r="AO114" s="259"/>
      <c r="AP114" s="259"/>
      <c r="AQ114" s="260"/>
      <c r="AR114" s="261"/>
      <c r="AS114" s="259"/>
      <c r="AT114" s="259"/>
      <c r="AU114" s="259"/>
      <c r="AV114" s="264"/>
      <c r="AW114" s="285">
        <v>0.04</v>
      </c>
      <c r="AX114" s="277">
        <v>0.04</v>
      </c>
      <c r="AY114" s="277">
        <v>0.05</v>
      </c>
      <c r="AZ114" s="286">
        <v>0.05</v>
      </c>
      <c r="BA114" s="285">
        <v>0.1</v>
      </c>
      <c r="BB114" s="277">
        <v>0.25</v>
      </c>
      <c r="BC114" s="277">
        <v>0.2</v>
      </c>
      <c r="BD114" s="284">
        <v>0.1</v>
      </c>
      <c r="BE114" s="285">
        <v>0.1</v>
      </c>
      <c r="BF114" s="277">
        <v>7.0000000000000007E-2</v>
      </c>
      <c r="BG114" s="277"/>
      <c r="BH114" s="277"/>
      <c r="BI114" s="278"/>
      <c r="BJ114" s="261"/>
      <c r="BK114" s="259"/>
      <c r="BL114" s="259"/>
      <c r="BM114" s="260"/>
      <c r="BN114" s="261"/>
      <c r="BO114" s="259"/>
      <c r="BP114" s="259"/>
      <c r="BQ114" s="260"/>
      <c r="BR114" s="279"/>
      <c r="BS114" s="280"/>
      <c r="BT114" s="280"/>
      <c r="BU114" s="297"/>
      <c r="BV114" s="287"/>
      <c r="BW114" s="279"/>
      <c r="BX114" s="280"/>
      <c r="BY114" s="280"/>
      <c r="BZ114" s="281"/>
      <c r="CA114" s="261"/>
      <c r="CB114" s="259"/>
      <c r="CC114" s="259"/>
      <c r="CD114" s="260"/>
      <c r="CE114" s="261"/>
      <c r="CF114" s="259"/>
      <c r="CG114" s="259"/>
      <c r="CH114" s="259"/>
      <c r="CI114" s="264"/>
      <c r="CJ114" s="261"/>
      <c r="CK114" s="259"/>
      <c r="CL114" s="259"/>
      <c r="CM114" s="260"/>
      <c r="CN114" s="257"/>
      <c r="CO114" s="255"/>
      <c r="CP114" s="255"/>
      <c r="CQ114" s="256"/>
      <c r="CR114" s="257"/>
      <c r="CS114" s="255"/>
      <c r="CT114" s="255"/>
      <c r="CU114" s="256"/>
      <c r="CV114" s="257"/>
      <c r="CW114" s="255"/>
      <c r="CX114" s="255"/>
      <c r="CY114" s="256"/>
      <c r="CZ114" s="105"/>
      <c r="DA114" s="102"/>
      <c r="DB114" s="102"/>
    </row>
    <row r="115" spans="1:106" ht="24.95" customHeight="1" outlineLevel="1" x14ac:dyDescent="0.55000000000000004">
      <c r="A115" s="326"/>
      <c r="B115" s="183" t="str">
        <f t="shared" ref="B115" si="303">B114</f>
        <v>1.8.1</v>
      </c>
      <c r="C115" s="328"/>
      <c r="D115" s="166" t="str">
        <f t="shared" ref="D115" si="304">D114</f>
        <v>งานครุภัณฑ์ระบบภาพและเสียง</v>
      </c>
      <c r="E115" s="33"/>
      <c r="F115" s="34">
        <f t="shared" ref="F115" si="305">E114</f>
        <v>7596119.9351565996</v>
      </c>
      <c r="G115" s="106" t="s">
        <v>87</v>
      </c>
      <c r="H115" s="217">
        <f>SUM(J115:CZ115)</f>
        <v>0</v>
      </c>
      <c r="I115" s="207">
        <f t="shared" si="209"/>
        <v>0</v>
      </c>
      <c r="J115" s="265"/>
      <c r="K115" s="266"/>
      <c r="L115" s="266"/>
      <c r="M115" s="267"/>
      <c r="N115" s="268"/>
      <c r="O115" s="266"/>
      <c r="P115" s="266"/>
      <c r="Q115" s="267"/>
      <c r="R115" s="269"/>
      <c r="S115" s="266"/>
      <c r="T115" s="266"/>
      <c r="U115" s="267"/>
      <c r="V115" s="268"/>
      <c r="W115" s="266"/>
      <c r="X115" s="266"/>
      <c r="Y115" s="270"/>
      <c r="Z115" s="267"/>
      <c r="AA115" s="268"/>
      <c r="AB115" s="266"/>
      <c r="AC115" s="266"/>
      <c r="AD115" s="267"/>
      <c r="AE115" s="269"/>
      <c r="AF115" s="266"/>
      <c r="AG115" s="266"/>
      <c r="AH115" s="266"/>
      <c r="AI115" s="271"/>
      <c r="AJ115" s="268"/>
      <c r="AK115" s="266"/>
      <c r="AL115" s="266"/>
      <c r="AM115" s="267"/>
      <c r="AN115" s="268"/>
      <c r="AO115" s="266"/>
      <c r="AP115" s="266"/>
      <c r="AQ115" s="267"/>
      <c r="AR115" s="268"/>
      <c r="AS115" s="266"/>
      <c r="AT115" s="282"/>
      <c r="AU115" s="266"/>
      <c r="AV115" s="271"/>
      <c r="AW115" s="293"/>
      <c r="AX115" s="291"/>
      <c r="AY115" s="291"/>
      <c r="AZ115" s="295"/>
      <c r="BA115" s="293"/>
      <c r="BB115" s="291"/>
      <c r="BC115" s="291"/>
      <c r="BD115" s="292"/>
      <c r="BE115" s="293"/>
      <c r="BF115" s="291"/>
      <c r="BG115" s="291"/>
      <c r="BH115" s="291"/>
      <c r="BI115" s="296"/>
      <c r="BJ115" s="268"/>
      <c r="BK115" s="266"/>
      <c r="BL115" s="266"/>
      <c r="BM115" s="267"/>
      <c r="BN115" s="268"/>
      <c r="BO115" s="266"/>
      <c r="BP115" s="266"/>
      <c r="BQ115" s="267"/>
      <c r="BR115" s="268"/>
      <c r="BS115" s="266"/>
      <c r="BT115" s="266"/>
      <c r="BU115" s="270"/>
      <c r="BV115" s="271"/>
      <c r="BW115" s="268"/>
      <c r="BX115" s="266"/>
      <c r="BY115" s="266"/>
      <c r="BZ115" s="267"/>
      <c r="CA115" s="268"/>
      <c r="CB115" s="266"/>
      <c r="CC115" s="266"/>
      <c r="CD115" s="267"/>
      <c r="CE115" s="268"/>
      <c r="CF115" s="266"/>
      <c r="CG115" s="266"/>
      <c r="CH115" s="266"/>
      <c r="CI115" s="271"/>
      <c r="CJ115" s="268"/>
      <c r="CK115" s="266"/>
      <c r="CL115" s="266"/>
      <c r="CM115" s="267"/>
      <c r="CN115" s="251"/>
      <c r="CO115" s="249"/>
      <c r="CP115" s="249"/>
      <c r="CQ115" s="250"/>
      <c r="CR115" s="251"/>
      <c r="CS115" s="249"/>
      <c r="CT115" s="249"/>
      <c r="CU115" s="250"/>
      <c r="CV115" s="251"/>
      <c r="CW115" s="249"/>
      <c r="CX115" s="249"/>
      <c r="CY115" s="250"/>
      <c r="CZ115" s="103"/>
      <c r="DA115" s="102"/>
      <c r="DB115" s="102"/>
    </row>
    <row r="116" spans="1:106" ht="24.95" customHeight="1" outlineLevel="1" x14ac:dyDescent="0.55000000000000004">
      <c r="A116" s="326" t="s">
        <v>129</v>
      </c>
      <c r="B116" s="182" t="str">
        <f t="shared" ref="B116" si="306">A116</f>
        <v>1.8.2</v>
      </c>
      <c r="C116" s="341" t="s">
        <v>16</v>
      </c>
      <c r="D116" s="171" t="str">
        <f t="shared" ref="D116" si="307">C116</f>
        <v xml:space="preserve">            งานครุภัณฑ์ลอยตัว</v>
      </c>
      <c r="E116" s="33">
        <v>13986053.81195155</v>
      </c>
      <c r="F116" s="34">
        <f t="shared" ref="F116" si="308">E116</f>
        <v>13986053.81195155</v>
      </c>
      <c r="G116" s="104" t="s">
        <v>86</v>
      </c>
      <c r="H116" s="216">
        <f>SUM(J116:CZ116)</f>
        <v>1</v>
      </c>
      <c r="I116" s="206">
        <f t="shared" si="209"/>
        <v>13986053.81195155</v>
      </c>
      <c r="J116" s="258"/>
      <c r="K116" s="259"/>
      <c r="L116" s="259"/>
      <c r="M116" s="260"/>
      <c r="N116" s="261"/>
      <c r="O116" s="259"/>
      <c r="P116" s="259"/>
      <c r="Q116" s="260"/>
      <c r="R116" s="262"/>
      <c r="S116" s="259"/>
      <c r="T116" s="259"/>
      <c r="U116" s="260"/>
      <c r="V116" s="261"/>
      <c r="W116" s="259"/>
      <c r="X116" s="259"/>
      <c r="Y116" s="263"/>
      <c r="Z116" s="260"/>
      <c r="AA116" s="261"/>
      <c r="AB116" s="259"/>
      <c r="AC116" s="259"/>
      <c r="AD116" s="260"/>
      <c r="AE116" s="262"/>
      <c r="AF116" s="259"/>
      <c r="AG116" s="259"/>
      <c r="AH116" s="259"/>
      <c r="AI116" s="264"/>
      <c r="AJ116" s="261"/>
      <c r="AK116" s="259"/>
      <c r="AL116" s="259"/>
      <c r="AM116" s="260"/>
      <c r="AN116" s="261"/>
      <c r="AO116" s="259"/>
      <c r="AP116" s="259"/>
      <c r="AQ116" s="260"/>
      <c r="AR116" s="261"/>
      <c r="AS116" s="259"/>
      <c r="AT116" s="259"/>
      <c r="AU116" s="259"/>
      <c r="AV116" s="264"/>
      <c r="AW116" s="285"/>
      <c r="AX116" s="277"/>
      <c r="AY116" s="277">
        <v>0.1</v>
      </c>
      <c r="AZ116" s="286">
        <v>0.1</v>
      </c>
      <c r="BA116" s="285">
        <v>0.15</v>
      </c>
      <c r="BB116" s="277">
        <v>0.15</v>
      </c>
      <c r="BC116" s="277">
        <v>0.1</v>
      </c>
      <c r="BD116" s="284">
        <v>0.1</v>
      </c>
      <c r="BE116" s="285">
        <v>0.1</v>
      </c>
      <c r="BF116" s="277">
        <v>0.05</v>
      </c>
      <c r="BG116" s="277">
        <v>0.05</v>
      </c>
      <c r="BH116" s="277">
        <v>0.05</v>
      </c>
      <c r="BI116" s="278"/>
      <c r="BJ116" s="285">
        <v>0.05</v>
      </c>
      <c r="BK116" s="277"/>
      <c r="BL116" s="277"/>
      <c r="BM116" s="284"/>
      <c r="BN116" s="261"/>
      <c r="BO116" s="259"/>
      <c r="BP116" s="259"/>
      <c r="BQ116" s="260"/>
      <c r="BR116" s="261"/>
      <c r="BS116" s="259"/>
      <c r="BT116" s="259"/>
      <c r="BU116" s="263"/>
      <c r="BV116" s="264"/>
      <c r="BW116" s="279"/>
      <c r="BX116" s="280"/>
      <c r="BY116" s="280"/>
      <c r="BZ116" s="281"/>
      <c r="CA116" s="279"/>
      <c r="CB116" s="280"/>
      <c r="CC116" s="280"/>
      <c r="CD116" s="281"/>
      <c r="CE116" s="261"/>
      <c r="CF116" s="259"/>
      <c r="CG116" s="259"/>
      <c r="CH116" s="259"/>
      <c r="CI116" s="264"/>
      <c r="CJ116" s="261"/>
      <c r="CK116" s="259"/>
      <c r="CL116" s="259"/>
      <c r="CM116" s="260"/>
      <c r="CN116" s="257"/>
      <c r="CO116" s="255"/>
      <c r="CP116" s="255"/>
      <c r="CQ116" s="256"/>
      <c r="CR116" s="257"/>
      <c r="CS116" s="255"/>
      <c r="CT116" s="255"/>
      <c r="CU116" s="256"/>
      <c r="CV116" s="257"/>
      <c r="CW116" s="255"/>
      <c r="CX116" s="255"/>
      <c r="CY116" s="256"/>
      <c r="CZ116" s="105"/>
      <c r="DA116" s="102"/>
      <c r="DB116" s="102"/>
    </row>
    <row r="117" spans="1:106" ht="24.95" customHeight="1" outlineLevel="1" x14ac:dyDescent="0.55000000000000004">
      <c r="A117" s="326"/>
      <c r="B117" s="183" t="str">
        <f t="shared" ref="B117" si="309">B116</f>
        <v>1.8.2</v>
      </c>
      <c r="C117" s="342"/>
      <c r="D117" s="171" t="str">
        <f t="shared" ref="D117" si="310">D116</f>
        <v xml:space="preserve">            งานครุภัณฑ์ลอยตัว</v>
      </c>
      <c r="E117" s="33"/>
      <c r="F117" s="34">
        <f t="shared" ref="F117" si="311">E116</f>
        <v>13986053.81195155</v>
      </c>
      <c r="G117" s="106" t="s">
        <v>87</v>
      </c>
      <c r="H117" s="217">
        <f>SUM(J117:CZ117)</f>
        <v>0</v>
      </c>
      <c r="I117" s="207">
        <f t="shared" si="209"/>
        <v>0</v>
      </c>
      <c r="J117" s="265"/>
      <c r="K117" s="266"/>
      <c r="L117" s="266"/>
      <c r="M117" s="267"/>
      <c r="N117" s="268"/>
      <c r="O117" s="266"/>
      <c r="P117" s="266"/>
      <c r="Q117" s="267"/>
      <c r="R117" s="269"/>
      <c r="S117" s="266"/>
      <c r="T117" s="266"/>
      <c r="U117" s="267"/>
      <c r="V117" s="268"/>
      <c r="W117" s="266"/>
      <c r="X117" s="266"/>
      <c r="Y117" s="270"/>
      <c r="Z117" s="267"/>
      <c r="AA117" s="268"/>
      <c r="AB117" s="266"/>
      <c r="AC117" s="266"/>
      <c r="AD117" s="267"/>
      <c r="AE117" s="269"/>
      <c r="AF117" s="266"/>
      <c r="AG117" s="266"/>
      <c r="AH117" s="266"/>
      <c r="AI117" s="271"/>
      <c r="AJ117" s="268"/>
      <c r="AK117" s="266"/>
      <c r="AL117" s="266"/>
      <c r="AM117" s="267"/>
      <c r="AN117" s="268"/>
      <c r="AO117" s="266"/>
      <c r="AP117" s="266"/>
      <c r="AQ117" s="267"/>
      <c r="AR117" s="268"/>
      <c r="AS117" s="266"/>
      <c r="AT117" s="282"/>
      <c r="AU117" s="266"/>
      <c r="AV117" s="271"/>
      <c r="AW117" s="268"/>
      <c r="AX117" s="266"/>
      <c r="AY117" s="266"/>
      <c r="AZ117" s="270"/>
      <c r="BA117" s="268"/>
      <c r="BB117" s="266"/>
      <c r="BC117" s="266"/>
      <c r="BD117" s="267"/>
      <c r="BE117" s="268"/>
      <c r="BF117" s="266"/>
      <c r="BG117" s="266"/>
      <c r="BH117" s="266"/>
      <c r="BI117" s="271"/>
      <c r="BJ117" s="268"/>
      <c r="BK117" s="266"/>
      <c r="BL117" s="266"/>
      <c r="BM117" s="267"/>
      <c r="BN117" s="268"/>
      <c r="BO117" s="266"/>
      <c r="BP117" s="266"/>
      <c r="BQ117" s="267"/>
      <c r="BR117" s="268"/>
      <c r="BS117" s="266"/>
      <c r="BT117" s="266"/>
      <c r="BU117" s="270"/>
      <c r="BV117" s="271"/>
      <c r="BW117" s="268"/>
      <c r="BX117" s="266"/>
      <c r="BY117" s="266"/>
      <c r="BZ117" s="267"/>
      <c r="CA117" s="268"/>
      <c r="CB117" s="266"/>
      <c r="CC117" s="266"/>
      <c r="CD117" s="267"/>
      <c r="CE117" s="268"/>
      <c r="CF117" s="266"/>
      <c r="CG117" s="266"/>
      <c r="CH117" s="266"/>
      <c r="CI117" s="271"/>
      <c r="CJ117" s="268"/>
      <c r="CK117" s="266"/>
      <c r="CL117" s="266"/>
      <c r="CM117" s="267"/>
      <c r="CN117" s="251"/>
      <c r="CO117" s="249"/>
      <c r="CP117" s="249"/>
      <c r="CQ117" s="250"/>
      <c r="CR117" s="251"/>
      <c r="CS117" s="249"/>
      <c r="CT117" s="249"/>
      <c r="CU117" s="250"/>
      <c r="CV117" s="251"/>
      <c r="CW117" s="249"/>
      <c r="CX117" s="249"/>
      <c r="CY117" s="250"/>
      <c r="CZ117" s="103"/>
      <c r="DA117" s="102"/>
      <c r="DB117" s="102"/>
    </row>
    <row r="118" spans="1:106" ht="24.95" hidden="1" customHeight="1" outlineLevel="1" x14ac:dyDescent="0.55000000000000004">
      <c r="A118" s="326" t="s">
        <v>90</v>
      </c>
      <c r="B118" s="182" t="str">
        <f t="shared" ref="B118" si="312">A118</f>
        <v>1.8.3</v>
      </c>
      <c r="C118" s="327" t="s">
        <v>17</v>
      </c>
      <c r="D118" s="166" t="str">
        <f t="shared" ref="D118" si="313">C118</f>
        <v xml:space="preserve">            งานป้ายสัญลักษณ์</v>
      </c>
      <c r="E118" s="33">
        <v>0</v>
      </c>
      <c r="F118" s="34">
        <f t="shared" ref="F118" si="314">E118</f>
        <v>0</v>
      </c>
      <c r="G118" s="104" t="s">
        <v>86</v>
      </c>
      <c r="H118" s="216">
        <f>SUM(J118:CZ118)</f>
        <v>0</v>
      </c>
      <c r="I118" s="206">
        <f t="shared" si="209"/>
        <v>0</v>
      </c>
      <c r="J118" s="258"/>
      <c r="K118" s="259"/>
      <c r="L118" s="259"/>
      <c r="M118" s="260"/>
      <c r="N118" s="261"/>
      <c r="O118" s="259"/>
      <c r="P118" s="259"/>
      <c r="Q118" s="260"/>
      <c r="R118" s="262"/>
      <c r="S118" s="259"/>
      <c r="T118" s="259"/>
      <c r="U118" s="260"/>
      <c r="V118" s="261"/>
      <c r="W118" s="259"/>
      <c r="X118" s="259"/>
      <c r="Y118" s="263"/>
      <c r="Z118" s="260"/>
      <c r="AA118" s="261"/>
      <c r="AB118" s="259"/>
      <c r="AC118" s="259"/>
      <c r="AD118" s="260"/>
      <c r="AE118" s="262"/>
      <c r="AF118" s="259"/>
      <c r="AG118" s="259"/>
      <c r="AH118" s="259"/>
      <c r="AI118" s="264"/>
      <c r="AJ118" s="261"/>
      <c r="AK118" s="259"/>
      <c r="AL118" s="259"/>
      <c r="AM118" s="260"/>
      <c r="AN118" s="261"/>
      <c r="AO118" s="259"/>
      <c r="AP118" s="259"/>
      <c r="AQ118" s="260"/>
      <c r="AR118" s="261"/>
      <c r="AS118" s="259"/>
      <c r="AT118" s="259"/>
      <c r="AU118" s="259"/>
      <c r="AV118" s="264"/>
      <c r="AW118" s="261">
        <f>AW4</f>
        <v>0</v>
      </c>
      <c r="AX118" s="259"/>
      <c r="AY118" s="259"/>
      <c r="AZ118" s="263"/>
      <c r="BA118" s="261">
        <f>BA4</f>
        <v>0</v>
      </c>
      <c r="BB118" s="259"/>
      <c r="BC118" s="259"/>
      <c r="BD118" s="260"/>
      <c r="BE118" s="261">
        <f>'[11]S-Curve Center 1 (Vat%) Weekly'!Y245*1.07</f>
        <v>0</v>
      </c>
      <c r="BF118" s="259"/>
      <c r="BG118" s="259"/>
      <c r="BH118" s="259"/>
      <c r="BI118" s="264"/>
      <c r="BJ118" s="261">
        <f>'[11]S-Curve Center 1 (Vat%) Weekly'!Z245*1.07</f>
        <v>0</v>
      </c>
      <c r="BK118" s="259"/>
      <c r="BL118" s="259"/>
      <c r="BM118" s="260"/>
      <c r="BN118" s="261"/>
      <c r="BO118" s="259"/>
      <c r="BP118" s="259"/>
      <c r="BQ118" s="260"/>
      <c r="BR118" s="261"/>
      <c r="BS118" s="259"/>
      <c r="BT118" s="259"/>
      <c r="BU118" s="263"/>
      <c r="BV118" s="264"/>
      <c r="BW118" s="261"/>
      <c r="BX118" s="259"/>
      <c r="BY118" s="280"/>
      <c r="BZ118" s="281"/>
      <c r="CA118" s="279"/>
      <c r="CB118" s="280"/>
      <c r="CC118" s="259"/>
      <c r="CD118" s="260"/>
      <c r="CE118" s="261"/>
      <c r="CF118" s="259"/>
      <c r="CG118" s="259"/>
      <c r="CH118" s="259"/>
      <c r="CI118" s="264"/>
      <c r="CJ118" s="261"/>
      <c r="CK118" s="259"/>
      <c r="CL118" s="259"/>
      <c r="CM118" s="260"/>
      <c r="CN118" s="257"/>
      <c r="CO118" s="255"/>
      <c r="CP118" s="255"/>
      <c r="CQ118" s="256"/>
      <c r="CR118" s="257"/>
      <c r="CS118" s="255"/>
      <c r="CT118" s="255"/>
      <c r="CU118" s="256"/>
      <c r="CV118" s="257"/>
      <c r="CW118" s="255"/>
      <c r="CX118" s="255"/>
      <c r="CY118" s="256"/>
      <c r="CZ118" s="105"/>
      <c r="DA118" s="102"/>
      <c r="DB118" s="102"/>
    </row>
    <row r="119" spans="1:106" ht="24.95" hidden="1" customHeight="1" outlineLevel="1" x14ac:dyDescent="0.55000000000000004">
      <c r="A119" s="326"/>
      <c r="B119" s="183" t="str">
        <f t="shared" ref="B119" si="315">B118</f>
        <v>1.8.3</v>
      </c>
      <c r="C119" s="328"/>
      <c r="D119" s="166" t="str">
        <f t="shared" ref="D119" si="316">D118</f>
        <v xml:space="preserve">            งานป้ายสัญลักษณ์</v>
      </c>
      <c r="E119" s="33"/>
      <c r="F119" s="34">
        <f t="shared" ref="F119" si="317">E118</f>
        <v>0</v>
      </c>
      <c r="G119" s="106" t="s">
        <v>87</v>
      </c>
      <c r="H119" s="217">
        <f>SUM(J119:CZ119)</f>
        <v>0</v>
      </c>
      <c r="I119" s="207">
        <f t="shared" si="209"/>
        <v>0</v>
      </c>
      <c r="J119" s="265"/>
      <c r="K119" s="266"/>
      <c r="L119" s="266"/>
      <c r="M119" s="267"/>
      <c r="N119" s="268"/>
      <c r="O119" s="266"/>
      <c r="P119" s="266"/>
      <c r="Q119" s="267"/>
      <c r="R119" s="269"/>
      <c r="S119" s="266"/>
      <c r="T119" s="266"/>
      <c r="U119" s="267"/>
      <c r="V119" s="268"/>
      <c r="W119" s="266"/>
      <c r="X119" s="266"/>
      <c r="Y119" s="270"/>
      <c r="Z119" s="267"/>
      <c r="AA119" s="268"/>
      <c r="AB119" s="266"/>
      <c r="AC119" s="266"/>
      <c r="AD119" s="267"/>
      <c r="AE119" s="269"/>
      <c r="AF119" s="266"/>
      <c r="AG119" s="266"/>
      <c r="AH119" s="266"/>
      <c r="AI119" s="271"/>
      <c r="AJ119" s="268"/>
      <c r="AK119" s="266"/>
      <c r="AL119" s="266"/>
      <c r="AM119" s="267"/>
      <c r="AN119" s="268"/>
      <c r="AO119" s="266"/>
      <c r="AP119" s="266"/>
      <c r="AQ119" s="267"/>
      <c r="AR119" s="268"/>
      <c r="AS119" s="266"/>
      <c r="AT119" s="266"/>
      <c r="AU119" s="266"/>
      <c r="AV119" s="271"/>
      <c r="AW119" s="268">
        <v>0</v>
      </c>
      <c r="AX119" s="266"/>
      <c r="AY119" s="266"/>
      <c r="AZ119" s="270"/>
      <c r="BA119" s="268">
        <v>0</v>
      </c>
      <c r="BB119" s="266"/>
      <c r="BC119" s="266"/>
      <c r="BD119" s="267"/>
      <c r="BE119" s="268">
        <f>'[11]S-Curve Center 1 (Vat%) Weekly'!Y246*1.07</f>
        <v>0</v>
      </c>
      <c r="BF119" s="266"/>
      <c r="BG119" s="266"/>
      <c r="BH119" s="266"/>
      <c r="BI119" s="271"/>
      <c r="BJ119" s="268">
        <f>'[11]S-Curve Center 1 (Vat%) Weekly'!Z246*1.07</f>
        <v>0</v>
      </c>
      <c r="BK119" s="266"/>
      <c r="BL119" s="266"/>
      <c r="BM119" s="267"/>
      <c r="BN119" s="268"/>
      <c r="BO119" s="266"/>
      <c r="BP119" s="266"/>
      <c r="BQ119" s="267"/>
      <c r="BR119" s="268"/>
      <c r="BS119" s="266"/>
      <c r="BT119" s="266"/>
      <c r="BU119" s="270"/>
      <c r="BV119" s="271"/>
      <c r="BW119" s="268"/>
      <c r="BX119" s="266"/>
      <c r="BY119" s="266"/>
      <c r="BZ119" s="267"/>
      <c r="CA119" s="268"/>
      <c r="CB119" s="266"/>
      <c r="CC119" s="266"/>
      <c r="CD119" s="267"/>
      <c r="CE119" s="268"/>
      <c r="CF119" s="266"/>
      <c r="CG119" s="266"/>
      <c r="CH119" s="266"/>
      <c r="CI119" s="271"/>
      <c r="CJ119" s="268"/>
      <c r="CK119" s="266"/>
      <c r="CL119" s="266"/>
      <c r="CM119" s="267"/>
      <c r="CN119" s="251"/>
      <c r="CO119" s="249"/>
      <c r="CP119" s="249"/>
      <c r="CQ119" s="250"/>
      <c r="CR119" s="251"/>
      <c r="CS119" s="249"/>
      <c r="CT119" s="249"/>
      <c r="CU119" s="250"/>
      <c r="CV119" s="251"/>
      <c r="CW119" s="249"/>
      <c r="CX119" s="249"/>
      <c r="CY119" s="250"/>
      <c r="CZ119" s="103"/>
      <c r="DA119" s="102"/>
      <c r="DB119" s="102"/>
    </row>
    <row r="120" spans="1:106" ht="24.95" hidden="1" customHeight="1" outlineLevel="1" x14ac:dyDescent="0.55000000000000004">
      <c r="A120" s="326" t="s">
        <v>91</v>
      </c>
      <c r="B120" s="182" t="str">
        <f t="shared" ref="B120" si="318">A120</f>
        <v>1.8.4</v>
      </c>
      <c r="C120" s="327" t="s">
        <v>18</v>
      </c>
      <c r="D120" s="166" t="str">
        <f t="shared" ref="D120" si="319">C120</f>
        <v xml:space="preserve">            งานผ้าม่าน</v>
      </c>
      <c r="E120" s="33">
        <v>0</v>
      </c>
      <c r="F120" s="34">
        <f t="shared" ref="F120" si="320">E120</f>
        <v>0</v>
      </c>
      <c r="G120" s="104" t="s">
        <v>86</v>
      </c>
      <c r="H120" s="216">
        <f>SUM(J120:CZ120)</f>
        <v>0</v>
      </c>
      <c r="I120" s="206">
        <f t="shared" si="209"/>
        <v>0</v>
      </c>
      <c r="J120" s="258"/>
      <c r="K120" s="259"/>
      <c r="L120" s="259"/>
      <c r="M120" s="260"/>
      <c r="N120" s="261"/>
      <c r="O120" s="259"/>
      <c r="P120" s="259"/>
      <c r="Q120" s="260"/>
      <c r="R120" s="262"/>
      <c r="S120" s="259"/>
      <c r="T120" s="259"/>
      <c r="U120" s="260"/>
      <c r="V120" s="261"/>
      <c r="W120" s="259"/>
      <c r="X120" s="259"/>
      <c r="Y120" s="263"/>
      <c r="Z120" s="260"/>
      <c r="AA120" s="261"/>
      <c r="AB120" s="259"/>
      <c r="AC120" s="259"/>
      <c r="AD120" s="260"/>
      <c r="AE120" s="262"/>
      <c r="AF120" s="259"/>
      <c r="AG120" s="259"/>
      <c r="AH120" s="259"/>
      <c r="AI120" s="264"/>
      <c r="AJ120" s="261"/>
      <c r="AK120" s="259"/>
      <c r="AL120" s="259"/>
      <c r="AM120" s="260"/>
      <c r="AN120" s="261"/>
      <c r="AO120" s="259"/>
      <c r="AP120" s="259"/>
      <c r="AQ120" s="260"/>
      <c r="AR120" s="261"/>
      <c r="AS120" s="259"/>
      <c r="AT120" s="259"/>
      <c r="AU120" s="259"/>
      <c r="AV120" s="264"/>
      <c r="AW120" s="261">
        <f>AW6</f>
        <v>0</v>
      </c>
      <c r="AX120" s="259"/>
      <c r="AY120" s="259"/>
      <c r="AZ120" s="263"/>
      <c r="BA120" s="261">
        <f>BA6</f>
        <v>0</v>
      </c>
      <c r="BB120" s="259"/>
      <c r="BC120" s="259"/>
      <c r="BD120" s="260"/>
      <c r="BE120" s="261">
        <f>'[11]S-Curve Center 1 (Vat%) Weekly'!Y247*1.07</f>
        <v>0</v>
      </c>
      <c r="BF120" s="259"/>
      <c r="BG120" s="259"/>
      <c r="BH120" s="259"/>
      <c r="BI120" s="264"/>
      <c r="BJ120" s="261">
        <f>'[11]S-Curve Center 1 (Vat%) Weekly'!Z247*1.07</f>
        <v>0</v>
      </c>
      <c r="BK120" s="259"/>
      <c r="BL120" s="259"/>
      <c r="BM120" s="260"/>
      <c r="BN120" s="261"/>
      <c r="BO120" s="259"/>
      <c r="BP120" s="259"/>
      <c r="BQ120" s="260"/>
      <c r="BR120" s="261"/>
      <c r="BS120" s="259"/>
      <c r="BT120" s="259"/>
      <c r="BU120" s="263"/>
      <c r="BV120" s="264"/>
      <c r="BW120" s="261"/>
      <c r="BX120" s="259"/>
      <c r="BY120" s="259"/>
      <c r="BZ120" s="281"/>
      <c r="CA120" s="279"/>
      <c r="CB120" s="280"/>
      <c r="CC120" s="280"/>
      <c r="CD120" s="260"/>
      <c r="CE120" s="261"/>
      <c r="CF120" s="259"/>
      <c r="CG120" s="259"/>
      <c r="CH120" s="259"/>
      <c r="CI120" s="264"/>
      <c r="CJ120" s="261"/>
      <c r="CK120" s="259"/>
      <c r="CL120" s="259"/>
      <c r="CM120" s="260"/>
      <c r="CN120" s="257"/>
      <c r="CO120" s="255"/>
      <c r="CP120" s="255"/>
      <c r="CQ120" s="256"/>
      <c r="CR120" s="257"/>
      <c r="CS120" s="255"/>
      <c r="CT120" s="255"/>
      <c r="CU120" s="256"/>
      <c r="CV120" s="257"/>
      <c r="CW120" s="255"/>
      <c r="CX120" s="255"/>
      <c r="CY120" s="256"/>
      <c r="CZ120" s="105"/>
      <c r="DA120" s="102"/>
      <c r="DB120" s="102"/>
    </row>
    <row r="121" spans="1:106" ht="24.95" hidden="1" customHeight="1" outlineLevel="1" x14ac:dyDescent="0.55000000000000004">
      <c r="A121" s="326"/>
      <c r="B121" s="183" t="str">
        <f t="shared" ref="B121" si="321">B120</f>
        <v>1.8.4</v>
      </c>
      <c r="C121" s="328"/>
      <c r="D121" s="166" t="str">
        <f t="shared" ref="D121" si="322">D120</f>
        <v xml:space="preserve">            งานผ้าม่าน</v>
      </c>
      <c r="E121" s="33"/>
      <c r="F121" s="34">
        <f t="shared" ref="F121" si="323">E120</f>
        <v>0</v>
      </c>
      <c r="G121" s="106" t="s">
        <v>87</v>
      </c>
      <c r="H121" s="217">
        <f>SUM(J121:CZ121)</f>
        <v>0</v>
      </c>
      <c r="I121" s="207">
        <f t="shared" si="209"/>
        <v>0</v>
      </c>
      <c r="J121" s="265"/>
      <c r="K121" s="266"/>
      <c r="L121" s="266"/>
      <c r="M121" s="267"/>
      <c r="N121" s="268"/>
      <c r="O121" s="266"/>
      <c r="P121" s="266"/>
      <c r="Q121" s="267"/>
      <c r="R121" s="269"/>
      <c r="S121" s="266"/>
      <c r="T121" s="266"/>
      <c r="U121" s="267"/>
      <c r="V121" s="268"/>
      <c r="W121" s="266"/>
      <c r="X121" s="266"/>
      <c r="Y121" s="270"/>
      <c r="Z121" s="267"/>
      <c r="AA121" s="268"/>
      <c r="AB121" s="266"/>
      <c r="AC121" s="266"/>
      <c r="AD121" s="267"/>
      <c r="AE121" s="269"/>
      <c r="AF121" s="266"/>
      <c r="AG121" s="266"/>
      <c r="AH121" s="266"/>
      <c r="AI121" s="271"/>
      <c r="AJ121" s="268"/>
      <c r="AK121" s="266"/>
      <c r="AL121" s="266"/>
      <c r="AM121" s="267"/>
      <c r="AN121" s="268"/>
      <c r="AO121" s="266"/>
      <c r="AP121" s="266"/>
      <c r="AQ121" s="267"/>
      <c r="AR121" s="268"/>
      <c r="AS121" s="266"/>
      <c r="AT121" s="266"/>
      <c r="AU121" s="266"/>
      <c r="AV121" s="271"/>
      <c r="AW121" s="268">
        <v>0</v>
      </c>
      <c r="AX121" s="266"/>
      <c r="AY121" s="266"/>
      <c r="AZ121" s="270"/>
      <c r="BA121" s="268">
        <v>0</v>
      </c>
      <c r="BB121" s="266"/>
      <c r="BC121" s="266"/>
      <c r="BD121" s="267"/>
      <c r="BE121" s="268">
        <f>'[11]S-Curve Center 1 (Vat%) Weekly'!Y248*1.07</f>
        <v>0</v>
      </c>
      <c r="BF121" s="266"/>
      <c r="BG121" s="266"/>
      <c r="BH121" s="266"/>
      <c r="BI121" s="271"/>
      <c r="BJ121" s="268">
        <f>'[11]S-Curve Center 1 (Vat%) Weekly'!Z248*1.07</f>
        <v>0</v>
      </c>
      <c r="BK121" s="266"/>
      <c r="BL121" s="266"/>
      <c r="BM121" s="267"/>
      <c r="BN121" s="268"/>
      <c r="BO121" s="266"/>
      <c r="BP121" s="266"/>
      <c r="BQ121" s="267"/>
      <c r="BR121" s="268"/>
      <c r="BS121" s="266"/>
      <c r="BT121" s="266"/>
      <c r="BU121" s="270"/>
      <c r="BV121" s="271"/>
      <c r="BW121" s="268"/>
      <c r="BX121" s="266"/>
      <c r="BY121" s="266"/>
      <c r="BZ121" s="267"/>
      <c r="CA121" s="268"/>
      <c r="CB121" s="266"/>
      <c r="CC121" s="266"/>
      <c r="CD121" s="267"/>
      <c r="CE121" s="268"/>
      <c r="CF121" s="266"/>
      <c r="CG121" s="266"/>
      <c r="CH121" s="266"/>
      <c r="CI121" s="271"/>
      <c r="CJ121" s="268"/>
      <c r="CK121" s="266"/>
      <c r="CL121" s="266"/>
      <c r="CM121" s="267"/>
      <c r="CN121" s="251"/>
      <c r="CO121" s="249"/>
      <c r="CP121" s="249"/>
      <c r="CQ121" s="250"/>
      <c r="CR121" s="251"/>
      <c r="CS121" s="249"/>
      <c r="CT121" s="249"/>
      <c r="CU121" s="250"/>
      <c r="CV121" s="251"/>
      <c r="CW121" s="249"/>
      <c r="CX121" s="249"/>
      <c r="CY121" s="250"/>
      <c r="CZ121" s="103"/>
      <c r="DA121" s="102"/>
      <c r="DB121" s="102"/>
    </row>
    <row r="122" spans="1:106" ht="24.95" customHeight="1" outlineLevel="1" x14ac:dyDescent="0.55000000000000004">
      <c r="A122" s="326" t="s">
        <v>130</v>
      </c>
      <c r="B122" s="182" t="str">
        <f t="shared" ref="B122" si="324">A122</f>
        <v>1.8.5</v>
      </c>
      <c r="C122" s="327" t="s">
        <v>48</v>
      </c>
      <c r="D122" s="166" t="str">
        <f t="shared" ref="D122" si="325">C122</f>
        <v xml:space="preserve">            งานครุภัณฑ์ประจำอาคาร</v>
      </c>
      <c r="E122" s="33">
        <v>10865162.9637</v>
      </c>
      <c r="F122" s="34">
        <f t="shared" ref="F122" si="326">E122</f>
        <v>10865162.9637</v>
      </c>
      <c r="G122" s="104" t="s">
        <v>86</v>
      </c>
      <c r="H122" s="216">
        <f>SUM(J122:CZ122)</f>
        <v>0.99999999999999989</v>
      </c>
      <c r="I122" s="206">
        <f t="shared" si="209"/>
        <v>10865162.963699998</v>
      </c>
      <c r="J122" s="258"/>
      <c r="K122" s="259"/>
      <c r="L122" s="259"/>
      <c r="M122" s="260"/>
      <c r="N122" s="261"/>
      <c r="O122" s="259"/>
      <c r="P122" s="259"/>
      <c r="Q122" s="260"/>
      <c r="R122" s="262"/>
      <c r="S122" s="259"/>
      <c r="T122" s="259"/>
      <c r="U122" s="260"/>
      <c r="V122" s="261"/>
      <c r="W122" s="259"/>
      <c r="X122" s="259"/>
      <c r="Y122" s="263"/>
      <c r="Z122" s="260"/>
      <c r="AA122" s="261"/>
      <c r="AB122" s="259"/>
      <c r="AC122" s="259"/>
      <c r="AD122" s="260"/>
      <c r="AE122" s="262"/>
      <c r="AF122" s="259"/>
      <c r="AG122" s="259"/>
      <c r="AH122" s="259"/>
      <c r="AI122" s="264"/>
      <c r="AJ122" s="261"/>
      <c r="AK122" s="259"/>
      <c r="AL122" s="259"/>
      <c r="AM122" s="260"/>
      <c r="AN122" s="261"/>
      <c r="AO122" s="259"/>
      <c r="AP122" s="259"/>
      <c r="AQ122" s="260"/>
      <c r="AR122" s="261"/>
      <c r="AS122" s="259"/>
      <c r="AT122" s="259"/>
      <c r="AU122" s="277">
        <v>0.02</v>
      </c>
      <c r="AV122" s="278">
        <v>0.02</v>
      </c>
      <c r="AW122" s="285">
        <v>0.02</v>
      </c>
      <c r="AX122" s="277">
        <v>0.02</v>
      </c>
      <c r="AY122" s="277">
        <v>0.02</v>
      </c>
      <c r="AZ122" s="286">
        <v>0.02</v>
      </c>
      <c r="BA122" s="285">
        <v>0.02</v>
      </c>
      <c r="BB122" s="277">
        <v>0.02</v>
      </c>
      <c r="BC122" s="277">
        <v>0.02</v>
      </c>
      <c r="BD122" s="284">
        <v>0.02</v>
      </c>
      <c r="BE122" s="285">
        <v>0.02</v>
      </c>
      <c r="BF122" s="277">
        <v>0.02</v>
      </c>
      <c r="BG122" s="277">
        <v>0.02</v>
      </c>
      <c r="BH122" s="277">
        <v>0.03</v>
      </c>
      <c r="BI122" s="278">
        <v>0.05</v>
      </c>
      <c r="BJ122" s="285">
        <v>0.1</v>
      </c>
      <c r="BK122" s="277">
        <v>0.1</v>
      </c>
      <c r="BL122" s="277">
        <v>0.1</v>
      </c>
      <c r="BM122" s="284">
        <v>0.1</v>
      </c>
      <c r="BN122" s="285">
        <v>0.08</v>
      </c>
      <c r="BO122" s="277">
        <v>0.08</v>
      </c>
      <c r="BP122" s="277">
        <v>0.05</v>
      </c>
      <c r="BQ122" s="284">
        <v>0.05</v>
      </c>
      <c r="BR122" s="279"/>
      <c r="BS122" s="280"/>
      <c r="BT122" s="280"/>
      <c r="BU122" s="297"/>
      <c r="BV122" s="287"/>
      <c r="BW122" s="279"/>
      <c r="BX122" s="280"/>
      <c r="BY122" s="280"/>
      <c r="BZ122" s="281"/>
      <c r="CA122" s="279"/>
      <c r="CB122" s="280"/>
      <c r="CC122" s="280"/>
      <c r="CD122" s="281"/>
      <c r="CE122" s="261"/>
      <c r="CF122" s="259"/>
      <c r="CG122" s="259"/>
      <c r="CH122" s="259"/>
      <c r="CI122" s="264"/>
      <c r="CJ122" s="261"/>
      <c r="CK122" s="259"/>
      <c r="CL122" s="259"/>
      <c r="CM122" s="260"/>
      <c r="CN122" s="257"/>
      <c r="CO122" s="255"/>
      <c r="CP122" s="255"/>
      <c r="CQ122" s="256"/>
      <c r="CR122" s="257"/>
      <c r="CS122" s="255"/>
      <c r="CT122" s="255"/>
      <c r="CU122" s="256"/>
      <c r="CV122" s="257"/>
      <c r="CW122" s="255"/>
      <c r="CX122" s="255"/>
      <c r="CY122" s="256"/>
      <c r="CZ122" s="105"/>
      <c r="DA122" s="102"/>
      <c r="DB122" s="102"/>
    </row>
    <row r="123" spans="1:106" ht="24.95" customHeight="1" outlineLevel="1" x14ac:dyDescent="0.55000000000000004">
      <c r="A123" s="326"/>
      <c r="B123" s="183" t="str">
        <f t="shared" ref="B123" si="327">B122</f>
        <v>1.8.5</v>
      </c>
      <c r="C123" s="328"/>
      <c r="D123" s="166" t="str">
        <f t="shared" ref="D123" si="328">D122</f>
        <v xml:space="preserve">            งานครุภัณฑ์ประจำอาคาร</v>
      </c>
      <c r="E123" s="33"/>
      <c r="F123" s="34">
        <f t="shared" ref="F123" si="329">E122</f>
        <v>10865162.9637</v>
      </c>
      <c r="G123" s="106" t="s">
        <v>87</v>
      </c>
      <c r="H123" s="217">
        <f>SUM(J123:CZ123)</f>
        <v>0</v>
      </c>
      <c r="I123" s="207">
        <f t="shared" si="209"/>
        <v>0</v>
      </c>
      <c r="J123" s="265"/>
      <c r="K123" s="266"/>
      <c r="L123" s="266"/>
      <c r="M123" s="267"/>
      <c r="N123" s="268"/>
      <c r="O123" s="266"/>
      <c r="P123" s="266"/>
      <c r="Q123" s="267"/>
      <c r="R123" s="269"/>
      <c r="S123" s="266"/>
      <c r="T123" s="266"/>
      <c r="U123" s="267"/>
      <c r="V123" s="268"/>
      <c r="W123" s="266"/>
      <c r="X123" s="266"/>
      <c r="Y123" s="270"/>
      <c r="Z123" s="267"/>
      <c r="AA123" s="268"/>
      <c r="AB123" s="266"/>
      <c r="AC123" s="266"/>
      <c r="AD123" s="267"/>
      <c r="AE123" s="269"/>
      <c r="AF123" s="266"/>
      <c r="AG123" s="266"/>
      <c r="AH123" s="266"/>
      <c r="AI123" s="271"/>
      <c r="AJ123" s="268"/>
      <c r="AK123" s="266"/>
      <c r="AL123" s="266"/>
      <c r="AM123" s="267"/>
      <c r="AN123" s="268"/>
      <c r="AO123" s="266"/>
      <c r="AP123" s="266"/>
      <c r="AQ123" s="267"/>
      <c r="AR123" s="268"/>
      <c r="AS123" s="266"/>
      <c r="AT123" s="282"/>
      <c r="AU123" s="291"/>
      <c r="AV123" s="296"/>
      <c r="AW123" s="293"/>
      <c r="AX123" s="291"/>
      <c r="AY123" s="291"/>
      <c r="AZ123" s="295"/>
      <c r="BA123" s="293"/>
      <c r="BB123" s="291"/>
      <c r="BC123" s="291"/>
      <c r="BD123" s="292"/>
      <c r="BE123" s="293"/>
      <c r="BF123" s="291"/>
      <c r="BG123" s="291"/>
      <c r="BH123" s="291"/>
      <c r="BI123" s="296"/>
      <c r="BJ123" s="293"/>
      <c r="BK123" s="291"/>
      <c r="BL123" s="291"/>
      <c r="BM123" s="292"/>
      <c r="BN123" s="293"/>
      <c r="BO123" s="291"/>
      <c r="BP123" s="291"/>
      <c r="BQ123" s="292"/>
      <c r="BR123" s="268"/>
      <c r="BS123" s="266"/>
      <c r="BT123" s="266"/>
      <c r="BU123" s="270"/>
      <c r="BV123" s="271"/>
      <c r="BW123" s="268"/>
      <c r="BX123" s="266"/>
      <c r="BY123" s="266"/>
      <c r="BZ123" s="267"/>
      <c r="CA123" s="268"/>
      <c r="CB123" s="266"/>
      <c r="CC123" s="266"/>
      <c r="CD123" s="267"/>
      <c r="CE123" s="268"/>
      <c r="CF123" s="266"/>
      <c r="CG123" s="266"/>
      <c r="CH123" s="266"/>
      <c r="CI123" s="271"/>
      <c r="CJ123" s="268"/>
      <c r="CK123" s="266"/>
      <c r="CL123" s="266"/>
      <c r="CM123" s="267"/>
      <c r="CN123" s="251"/>
      <c r="CO123" s="249"/>
      <c r="CP123" s="249"/>
      <c r="CQ123" s="250"/>
      <c r="CR123" s="251"/>
      <c r="CS123" s="249"/>
      <c r="CT123" s="249"/>
      <c r="CU123" s="250"/>
      <c r="CV123" s="251"/>
      <c r="CW123" s="249"/>
      <c r="CX123" s="249"/>
      <c r="CY123" s="250"/>
      <c r="CZ123" s="103"/>
      <c r="DA123" s="102"/>
      <c r="DB123" s="102"/>
    </row>
    <row r="124" spans="1:106" ht="24.95" customHeight="1" outlineLevel="1" x14ac:dyDescent="0.55000000000000004">
      <c r="A124" s="326" t="s">
        <v>131</v>
      </c>
      <c r="B124" s="182" t="str">
        <f t="shared" ref="B124" si="330">A124</f>
        <v>1.8.6</v>
      </c>
      <c r="C124" s="327" t="s">
        <v>49</v>
      </c>
      <c r="D124" s="166" t="str">
        <f t="shared" ref="D124" si="331">C124</f>
        <v xml:space="preserve">             งานครุภัณฑ์ Soft Scape</v>
      </c>
      <c r="E124" s="33">
        <v>760477.34767614095</v>
      </c>
      <c r="F124" s="34">
        <f t="shared" ref="F124" si="332">E124</f>
        <v>760477.34767614095</v>
      </c>
      <c r="G124" s="104" t="s">
        <v>86</v>
      </c>
      <c r="H124" s="216">
        <f>SUM(J124:CZ124)</f>
        <v>1</v>
      </c>
      <c r="I124" s="206">
        <f t="shared" si="209"/>
        <v>760477.34767614095</v>
      </c>
      <c r="J124" s="258"/>
      <c r="K124" s="259"/>
      <c r="L124" s="259"/>
      <c r="M124" s="260"/>
      <c r="N124" s="261"/>
      <c r="O124" s="259"/>
      <c r="P124" s="259"/>
      <c r="Q124" s="260"/>
      <c r="R124" s="262"/>
      <c r="S124" s="259"/>
      <c r="T124" s="259"/>
      <c r="U124" s="260"/>
      <c r="V124" s="261"/>
      <c r="W124" s="259"/>
      <c r="X124" s="259"/>
      <c r="Y124" s="263"/>
      <c r="Z124" s="260"/>
      <c r="AA124" s="261"/>
      <c r="AB124" s="259"/>
      <c r="AC124" s="259"/>
      <c r="AD124" s="260"/>
      <c r="AE124" s="262"/>
      <c r="AF124" s="259"/>
      <c r="AG124" s="259"/>
      <c r="AH124" s="259"/>
      <c r="AI124" s="264"/>
      <c r="AJ124" s="261"/>
      <c r="AK124" s="259"/>
      <c r="AL124" s="259"/>
      <c r="AM124" s="260"/>
      <c r="AN124" s="261"/>
      <c r="AO124" s="259"/>
      <c r="AP124" s="259"/>
      <c r="AQ124" s="260"/>
      <c r="AR124" s="261"/>
      <c r="AS124" s="259"/>
      <c r="AT124" s="259"/>
      <c r="AU124" s="259"/>
      <c r="AV124" s="264"/>
      <c r="AW124" s="261"/>
      <c r="AX124" s="259"/>
      <c r="AY124" s="259"/>
      <c r="AZ124" s="263"/>
      <c r="BA124" s="261"/>
      <c r="BB124" s="259"/>
      <c r="BC124" s="259"/>
      <c r="BD124" s="260"/>
      <c r="BE124" s="285">
        <v>0.1</v>
      </c>
      <c r="BF124" s="277">
        <v>0.1</v>
      </c>
      <c r="BG124" s="277">
        <v>0.1</v>
      </c>
      <c r="BH124" s="277">
        <v>0.1</v>
      </c>
      <c r="BI124" s="278">
        <v>0.1</v>
      </c>
      <c r="BJ124" s="285">
        <v>0.15</v>
      </c>
      <c r="BK124" s="277">
        <v>0.15</v>
      </c>
      <c r="BL124" s="277">
        <v>0.1</v>
      </c>
      <c r="BM124" s="284">
        <v>0.1</v>
      </c>
      <c r="BN124" s="261"/>
      <c r="BO124" s="259"/>
      <c r="BP124" s="259"/>
      <c r="BQ124" s="260"/>
      <c r="BR124" s="261"/>
      <c r="BS124" s="259"/>
      <c r="BT124" s="259"/>
      <c r="BU124" s="263"/>
      <c r="BV124" s="264"/>
      <c r="BW124" s="279"/>
      <c r="BX124" s="280"/>
      <c r="BY124" s="280"/>
      <c r="BZ124" s="281"/>
      <c r="CA124" s="261"/>
      <c r="CB124" s="259"/>
      <c r="CC124" s="259"/>
      <c r="CD124" s="260"/>
      <c r="CE124" s="261"/>
      <c r="CF124" s="259"/>
      <c r="CG124" s="259"/>
      <c r="CH124" s="259"/>
      <c r="CI124" s="264"/>
      <c r="CJ124" s="261"/>
      <c r="CK124" s="259"/>
      <c r="CL124" s="259"/>
      <c r="CM124" s="260"/>
      <c r="CN124" s="257"/>
      <c r="CO124" s="255"/>
      <c r="CP124" s="255"/>
      <c r="CQ124" s="256"/>
      <c r="CR124" s="257"/>
      <c r="CS124" s="255"/>
      <c r="CT124" s="255"/>
      <c r="CU124" s="256"/>
      <c r="CV124" s="257"/>
      <c r="CW124" s="255"/>
      <c r="CX124" s="255"/>
      <c r="CY124" s="256"/>
      <c r="CZ124" s="105"/>
      <c r="DA124" s="102"/>
      <c r="DB124" s="102"/>
    </row>
    <row r="125" spans="1:106" ht="24.95" customHeight="1" outlineLevel="1" x14ac:dyDescent="0.55000000000000004">
      <c r="A125" s="326"/>
      <c r="B125" s="183" t="str">
        <f t="shared" ref="B125" si="333">B124</f>
        <v>1.8.6</v>
      </c>
      <c r="C125" s="328"/>
      <c r="D125" s="166" t="str">
        <f t="shared" ref="D125" si="334">D124</f>
        <v xml:space="preserve">             งานครุภัณฑ์ Soft Scape</v>
      </c>
      <c r="E125" s="33"/>
      <c r="F125" s="34">
        <f t="shared" ref="F125" si="335">E124</f>
        <v>760477.34767614095</v>
      </c>
      <c r="G125" s="106" t="s">
        <v>87</v>
      </c>
      <c r="H125" s="217">
        <f>SUM(J125:CZ125)</f>
        <v>0</v>
      </c>
      <c r="I125" s="207">
        <f t="shared" si="209"/>
        <v>0</v>
      </c>
      <c r="J125" s="265"/>
      <c r="K125" s="266"/>
      <c r="L125" s="266"/>
      <c r="M125" s="267"/>
      <c r="N125" s="268"/>
      <c r="O125" s="266"/>
      <c r="P125" s="266"/>
      <c r="Q125" s="267"/>
      <c r="R125" s="269"/>
      <c r="S125" s="266"/>
      <c r="T125" s="266"/>
      <c r="U125" s="267"/>
      <c r="V125" s="268"/>
      <c r="W125" s="266"/>
      <c r="X125" s="266"/>
      <c r="Y125" s="270"/>
      <c r="Z125" s="267"/>
      <c r="AA125" s="268"/>
      <c r="AB125" s="266"/>
      <c r="AC125" s="266"/>
      <c r="AD125" s="267"/>
      <c r="AE125" s="269"/>
      <c r="AF125" s="266"/>
      <c r="AG125" s="266"/>
      <c r="AH125" s="266"/>
      <c r="AI125" s="271"/>
      <c r="AJ125" s="268"/>
      <c r="AK125" s="266"/>
      <c r="AL125" s="266"/>
      <c r="AM125" s="267"/>
      <c r="AN125" s="268"/>
      <c r="AO125" s="266"/>
      <c r="AP125" s="266"/>
      <c r="AQ125" s="267"/>
      <c r="AR125" s="268"/>
      <c r="AS125" s="266"/>
      <c r="AT125" s="266"/>
      <c r="AU125" s="266"/>
      <c r="AV125" s="271"/>
      <c r="AW125" s="268"/>
      <c r="AX125" s="266"/>
      <c r="AY125" s="266"/>
      <c r="AZ125" s="270"/>
      <c r="BA125" s="268"/>
      <c r="BB125" s="266"/>
      <c r="BC125" s="291"/>
      <c r="BD125" s="267"/>
      <c r="BE125" s="268"/>
      <c r="BF125" s="266"/>
      <c r="BG125" s="266"/>
      <c r="BH125" s="266"/>
      <c r="BI125" s="271"/>
      <c r="BJ125" s="268"/>
      <c r="BK125" s="266"/>
      <c r="BL125" s="266"/>
      <c r="BM125" s="267"/>
      <c r="BN125" s="268"/>
      <c r="BO125" s="266"/>
      <c r="BP125" s="266"/>
      <c r="BQ125" s="267"/>
      <c r="BR125" s="268"/>
      <c r="BS125" s="266"/>
      <c r="BT125" s="266"/>
      <c r="BU125" s="270"/>
      <c r="BV125" s="271"/>
      <c r="BW125" s="268"/>
      <c r="BX125" s="266"/>
      <c r="BY125" s="266"/>
      <c r="BZ125" s="267"/>
      <c r="CA125" s="268"/>
      <c r="CB125" s="266"/>
      <c r="CC125" s="266"/>
      <c r="CD125" s="267"/>
      <c r="CE125" s="268"/>
      <c r="CF125" s="266"/>
      <c r="CG125" s="266"/>
      <c r="CH125" s="266"/>
      <c r="CI125" s="271"/>
      <c r="CJ125" s="268"/>
      <c r="CK125" s="266"/>
      <c r="CL125" s="266"/>
      <c r="CM125" s="267"/>
      <c r="CN125" s="251"/>
      <c r="CO125" s="249"/>
      <c r="CP125" s="249"/>
      <c r="CQ125" s="250"/>
      <c r="CR125" s="251"/>
      <c r="CS125" s="249"/>
      <c r="CT125" s="249"/>
      <c r="CU125" s="250"/>
      <c r="CV125" s="251"/>
      <c r="CW125" s="249"/>
      <c r="CX125" s="249"/>
      <c r="CY125" s="250"/>
      <c r="CZ125" s="103"/>
      <c r="DA125" s="102"/>
      <c r="DB125" s="102"/>
    </row>
    <row r="126" spans="1:106" ht="24.95" customHeight="1" x14ac:dyDescent="0.55000000000000004">
      <c r="A126" s="329">
        <v>1.9</v>
      </c>
      <c r="B126" s="189">
        <f t="shared" ref="B126" si="336">A126</f>
        <v>1.9</v>
      </c>
      <c r="C126" s="331" t="s">
        <v>88</v>
      </c>
      <c r="D126" s="165" t="str">
        <f t="shared" ref="D126" si="337">C126</f>
        <v xml:space="preserve">   งานทดสอบและส่งมอบอาคาร Ratchadamnoen Center 2</v>
      </c>
      <c r="E126" s="84"/>
      <c r="F126" s="35">
        <f t="shared" ref="F126" si="338">E126</f>
        <v>0</v>
      </c>
      <c r="G126" s="208" t="s">
        <v>86</v>
      </c>
      <c r="H126" s="218">
        <f>SUM(J126:CZ126)</f>
        <v>0</v>
      </c>
      <c r="I126" s="209">
        <f t="shared" si="209"/>
        <v>0</v>
      </c>
      <c r="J126" s="258"/>
      <c r="K126" s="259"/>
      <c r="L126" s="259"/>
      <c r="M126" s="260"/>
      <c r="N126" s="261"/>
      <c r="O126" s="259"/>
      <c r="P126" s="259"/>
      <c r="Q126" s="260"/>
      <c r="R126" s="262"/>
      <c r="S126" s="259"/>
      <c r="T126" s="259"/>
      <c r="U126" s="260"/>
      <c r="V126" s="261"/>
      <c r="W126" s="259"/>
      <c r="X126" s="259"/>
      <c r="Y126" s="263"/>
      <c r="Z126" s="260"/>
      <c r="AA126" s="261"/>
      <c r="AB126" s="259"/>
      <c r="AC126" s="259"/>
      <c r="AD126" s="260"/>
      <c r="AE126" s="262"/>
      <c r="AF126" s="259"/>
      <c r="AG126" s="259"/>
      <c r="AH126" s="259"/>
      <c r="AI126" s="264"/>
      <c r="AJ126" s="261"/>
      <c r="AK126" s="259"/>
      <c r="AL126" s="259"/>
      <c r="AM126" s="260"/>
      <c r="AN126" s="261"/>
      <c r="AO126" s="259"/>
      <c r="AP126" s="259"/>
      <c r="AQ126" s="260"/>
      <c r="AR126" s="261"/>
      <c r="AS126" s="259"/>
      <c r="AT126" s="259"/>
      <c r="AU126" s="259"/>
      <c r="AV126" s="264"/>
      <c r="AW126" s="261"/>
      <c r="AX126" s="259"/>
      <c r="AY126" s="259"/>
      <c r="AZ126" s="263"/>
      <c r="BA126" s="261"/>
      <c r="BB126" s="259"/>
      <c r="BC126" s="259"/>
      <c r="BD126" s="260"/>
      <c r="BE126" s="261"/>
      <c r="BF126" s="259"/>
      <c r="BG126" s="259"/>
      <c r="BH126" s="259"/>
      <c r="BI126" s="264"/>
      <c r="BJ126" s="261"/>
      <c r="BK126" s="259"/>
      <c r="BL126" s="259"/>
      <c r="BM126" s="260"/>
      <c r="BN126" s="261"/>
      <c r="BO126" s="259"/>
      <c r="BP126" s="259"/>
      <c r="BQ126" s="260"/>
      <c r="BR126" s="261"/>
      <c r="BS126" s="259"/>
      <c r="BT126" s="259"/>
      <c r="BU126" s="263"/>
      <c r="BV126" s="264"/>
      <c r="BW126" s="261"/>
      <c r="BX126" s="259"/>
      <c r="BY126" s="259"/>
      <c r="BZ126" s="260"/>
      <c r="CA126" s="279"/>
      <c r="CB126" s="280"/>
      <c r="CC126" s="280"/>
      <c r="CD126" s="281"/>
      <c r="CE126" s="279"/>
      <c r="CF126" s="280"/>
      <c r="CG126" s="280"/>
      <c r="CH126" s="280"/>
      <c r="CI126" s="287"/>
      <c r="CJ126" s="261"/>
      <c r="CK126" s="259"/>
      <c r="CL126" s="259"/>
      <c r="CM126" s="260"/>
      <c r="CN126" s="257"/>
      <c r="CO126" s="255"/>
      <c r="CP126" s="255"/>
      <c r="CQ126" s="256"/>
      <c r="CR126" s="257"/>
      <c r="CS126" s="255"/>
      <c r="CT126" s="255"/>
      <c r="CU126" s="256"/>
      <c r="CV126" s="257"/>
      <c r="CW126" s="255"/>
      <c r="CX126" s="255"/>
      <c r="CY126" s="256"/>
      <c r="CZ126" s="105"/>
      <c r="DA126" s="102"/>
      <c r="DB126" s="102"/>
    </row>
    <row r="127" spans="1:106" ht="24.95" customHeight="1" thickBot="1" x14ac:dyDescent="0.6">
      <c r="A127" s="330"/>
      <c r="B127" s="190">
        <f t="shared" ref="B127" si="339">B126</f>
        <v>1.9</v>
      </c>
      <c r="C127" s="332"/>
      <c r="D127" s="164" t="str">
        <f t="shared" ref="D127" si="340">D126</f>
        <v xml:space="preserve">   งานทดสอบและส่งมอบอาคาร Ratchadamnoen Center 2</v>
      </c>
      <c r="E127" s="53"/>
      <c r="F127" s="36">
        <f t="shared" ref="F127" si="341">E126</f>
        <v>0</v>
      </c>
      <c r="G127" s="210" t="s">
        <v>87</v>
      </c>
      <c r="H127" s="219">
        <f>SUM(J127:CZ127)</f>
        <v>0</v>
      </c>
      <c r="I127" s="211">
        <f t="shared" si="209"/>
        <v>0</v>
      </c>
      <c r="J127" s="265"/>
      <c r="K127" s="266"/>
      <c r="L127" s="266"/>
      <c r="M127" s="267"/>
      <c r="N127" s="268"/>
      <c r="O127" s="266"/>
      <c r="P127" s="266"/>
      <c r="Q127" s="267"/>
      <c r="R127" s="269"/>
      <c r="S127" s="266"/>
      <c r="T127" s="266"/>
      <c r="U127" s="267"/>
      <c r="V127" s="268"/>
      <c r="W127" s="266"/>
      <c r="X127" s="266"/>
      <c r="Y127" s="270"/>
      <c r="Z127" s="267"/>
      <c r="AA127" s="268"/>
      <c r="AB127" s="266"/>
      <c r="AC127" s="266"/>
      <c r="AD127" s="267"/>
      <c r="AE127" s="269"/>
      <c r="AF127" s="266"/>
      <c r="AG127" s="266"/>
      <c r="AH127" s="266"/>
      <c r="AI127" s="271"/>
      <c r="AJ127" s="268"/>
      <c r="AK127" s="266"/>
      <c r="AL127" s="266"/>
      <c r="AM127" s="267"/>
      <c r="AN127" s="268"/>
      <c r="AO127" s="266"/>
      <c r="AP127" s="266"/>
      <c r="AQ127" s="267"/>
      <c r="AR127" s="268"/>
      <c r="AS127" s="266"/>
      <c r="AT127" s="266"/>
      <c r="AU127" s="266"/>
      <c r="AV127" s="271"/>
      <c r="AW127" s="268"/>
      <c r="AX127" s="266"/>
      <c r="AY127" s="266"/>
      <c r="AZ127" s="270"/>
      <c r="BA127" s="268"/>
      <c r="BB127" s="266"/>
      <c r="BC127" s="266"/>
      <c r="BD127" s="267"/>
      <c r="BE127" s="268"/>
      <c r="BF127" s="266"/>
      <c r="BG127" s="266"/>
      <c r="BH127" s="266"/>
      <c r="BI127" s="271"/>
      <c r="BJ127" s="268"/>
      <c r="BK127" s="266"/>
      <c r="BL127" s="266"/>
      <c r="BM127" s="267"/>
      <c r="BN127" s="268"/>
      <c r="BO127" s="266"/>
      <c r="BP127" s="266"/>
      <c r="BQ127" s="267"/>
      <c r="BR127" s="268"/>
      <c r="BS127" s="266"/>
      <c r="BT127" s="266"/>
      <c r="BU127" s="270"/>
      <c r="BV127" s="271"/>
      <c r="BW127" s="268"/>
      <c r="BX127" s="266"/>
      <c r="BY127" s="266"/>
      <c r="BZ127" s="267"/>
      <c r="CA127" s="268"/>
      <c r="CB127" s="266"/>
      <c r="CC127" s="266"/>
      <c r="CD127" s="267"/>
      <c r="CE127" s="268"/>
      <c r="CF127" s="266"/>
      <c r="CG127" s="266"/>
      <c r="CH127" s="266"/>
      <c r="CI127" s="271"/>
      <c r="CJ127" s="268"/>
      <c r="CK127" s="266"/>
      <c r="CL127" s="266"/>
      <c r="CM127" s="267"/>
      <c r="CN127" s="251"/>
      <c r="CO127" s="249"/>
      <c r="CP127" s="249"/>
      <c r="CQ127" s="250"/>
      <c r="CR127" s="251"/>
      <c r="CS127" s="249"/>
      <c r="CT127" s="249"/>
      <c r="CU127" s="250"/>
      <c r="CV127" s="251"/>
      <c r="CW127" s="249"/>
      <c r="CX127" s="249"/>
      <c r="CY127" s="250"/>
      <c r="CZ127" s="103"/>
      <c r="DA127" s="102"/>
      <c r="DB127" s="102"/>
    </row>
    <row r="128" spans="1:106" ht="75" customHeight="1" thickBot="1" x14ac:dyDescent="0.6">
      <c r="A128" s="107"/>
      <c r="B128" s="108"/>
      <c r="C128" s="108"/>
      <c r="D128" s="108"/>
      <c r="E128" s="119" t="s">
        <v>132</v>
      </c>
      <c r="F128" s="109" t="s">
        <v>132</v>
      </c>
      <c r="G128" s="333" t="s">
        <v>134</v>
      </c>
      <c r="H128" s="110" t="s">
        <v>138</v>
      </c>
      <c r="I128" s="199"/>
      <c r="J128" s="54" cm="1">
        <f t="array" ref="J128">SUMPRODUCT((J14:J127&gt;0)*($G$14:$G$127="P")*J14:J127*$F$14:$F$127/$F$14)</f>
        <v>0</v>
      </c>
      <c r="K128" s="55" cm="1">
        <f t="array" ref="K128">SUMPRODUCT((K14:K127&gt;0)*($G$14:$G$127="P")*K14:K127*$F$14:$F$127/$F$14)</f>
        <v>0</v>
      </c>
      <c r="L128" s="55" cm="1">
        <f t="array" ref="L128">SUMPRODUCT((L14:L127&gt;0)*($G$14:$G$127="P")*L14:L127*$F$14:$F$127/$F$14)</f>
        <v>0</v>
      </c>
      <c r="M128" s="56" cm="1">
        <f t="array" ref="M128">SUMPRODUCT((M14:M127&gt;0)*($G$14:$G$127="P")*M14:M127*$F$14:$F$127/$F$14)</f>
        <v>0</v>
      </c>
      <c r="N128" s="54" cm="1">
        <f t="array" ref="N128">SUMPRODUCT((N14:N127&gt;0)*($G$14:$G$127="P")*N14:N127*$F$14:$F$127/$F$14)</f>
        <v>1.2678716525798311E-4</v>
      </c>
      <c r="O128" s="55" cm="1">
        <f t="array" ref="O128">SUMPRODUCT((O14:O127&gt;0)*($G$14:$G$127="P")*O14:O127*$F$14:$F$127/$F$14)</f>
        <v>1.7750203136117636E-4</v>
      </c>
      <c r="P128" s="55" cm="1">
        <f t="array" ref="P128">SUMPRODUCT((P14:P127&gt;0)*($G$14:$G$127="P")*P14:P127*$F$14:$F$127/$F$14)</f>
        <v>1.7750203136117636E-4</v>
      </c>
      <c r="Q128" s="56" cm="1">
        <f t="array" ref="Q128">SUMPRODUCT((Q14:Q127&gt;0)*($G$14:$G$127="P")*Q14:Q127*$F$14:$F$127/$F$14)</f>
        <v>2.0285946441277297E-4</v>
      </c>
      <c r="R128" s="54" cm="1">
        <f t="array" ref="R128">SUMPRODUCT((R14:R127&gt;0)*($G$14:$G$127="P")*R14:R127*$F$14:$F$127/$F$14)</f>
        <v>3.3700579206666528E-3</v>
      </c>
      <c r="S128" s="55" cm="1">
        <f t="array" ref="S128">SUMPRODUCT((S14:S127&gt;0)*($G$14:$G$127="P")*S14:S127*$F$14:$F$127/$F$14)</f>
        <v>6.6364807054189456E-3</v>
      </c>
      <c r="T128" s="55" cm="1">
        <f t="array" ref="T128">SUMPRODUCT((T14:T127&gt;0)*($G$14:$G$127="P")*T14:T127*$F$14:$F$127/$F$14)</f>
        <v>8.0980663055081822E-3</v>
      </c>
      <c r="U128" s="56" cm="1">
        <f t="array" ref="U128">SUMPRODUCT((U14:U127&gt;0)*($G$14:$G$127="P")*U14:U127*$F$14:$F$127/$F$14)</f>
        <v>8.2795797813471593E-3</v>
      </c>
      <c r="V128" s="54" cm="1">
        <f t="array" ref="V128">SUMPRODUCT((V14:V127&gt;0)*($G$14:$G$127="P")*V14:V127*$F$14:$F$127/$F$14)</f>
        <v>9.1398563722503174E-3</v>
      </c>
      <c r="W128" s="55" cm="1">
        <f t="array" ref="W128">SUMPRODUCT((W14:W127&gt;0)*($G$14:$G$127="P")*W14:W127*$F$14:$F$127/$F$14)</f>
        <v>9.0693233834962823E-3</v>
      </c>
      <c r="X128" s="55" cm="1">
        <f t="array" ref="X128">SUMPRODUCT((X14:X127&gt;0)*($G$14:$G$127="P")*X14:X127*$F$14:$F$127/$F$14)</f>
        <v>8.8837952430873834E-3</v>
      </c>
      <c r="Y128" s="152" cm="1">
        <f t="array" ref="Y128">SUMPRODUCT((Y14:Y127&gt;0)*($G$14:$G$127="P")*Y14:Y127*$F$14:$F$127/$F$14)</f>
        <v>1.4987556516166161E-2</v>
      </c>
      <c r="Z128" s="56" cm="1">
        <f t="array" ref="Z128">SUMPRODUCT((Z14:Z127&gt;0)*($G$14:$G$127="P")*Z14:Z127*$F$14:$F$127/$F$14)</f>
        <v>1.6086991950754109E-2</v>
      </c>
      <c r="AA128" s="54" cm="1">
        <f t="array" ref="AA128">SUMPRODUCT((AA14:AA127&gt;0)*($G$14:$G$127="P")*AA14:AA127*$F$14:$F$127/$F$14)</f>
        <v>1.8373323390193111E-2</v>
      </c>
      <c r="AB128" s="55" cm="1">
        <f t="array" ref="AB128">SUMPRODUCT((AB14:AB127&gt;0)*($G$14:$G$127="P")*AB14:AB127*$F$14:$F$127/$F$14)</f>
        <v>2.0240241711880321E-2</v>
      </c>
      <c r="AC128" s="55" cm="1">
        <f t="array" ref="AC128">SUMPRODUCT((AC14:AC127&gt;0)*($G$14:$G$127="P")*AC14:AC127*$F$14:$F$127/$F$14)</f>
        <v>2.2333665260956013E-2</v>
      </c>
      <c r="AD128" s="56" cm="1">
        <f t="array" ref="AD128">SUMPRODUCT((AD14:AD127&gt;0)*($G$14:$G$127="P")*AD14:AD127*$F$14:$F$127/$F$14)</f>
        <v>3.3287951482579556E-2</v>
      </c>
      <c r="AE128" s="54" cm="1">
        <f t="array" ref="AE128">SUMPRODUCT((AE14:AE127&gt;0)*($G$14:$G$127="P")*AE14:AE127*$F$14:$F$127/$F$14)</f>
        <v>3.3737982329859931E-2</v>
      </c>
      <c r="AF128" s="55" cm="1">
        <f t="array" ref="AF128">SUMPRODUCT((AF14:AF127&gt;0)*($G$14:$G$127="P")*AF14:AF127*$F$14:$F$127/$F$14)</f>
        <v>3.074468628072824E-2</v>
      </c>
      <c r="AG128" s="55" cm="1">
        <f t="array" ref="AG128">SUMPRODUCT((AG14:AG127&gt;0)*($G$14:$G$127="P")*AG14:AG127*$F$14:$F$127/$F$14)</f>
        <v>3.1908702176111192E-2</v>
      </c>
      <c r="AH128" s="55" cm="1">
        <f t="array" ref="AH128">SUMPRODUCT((AH14:AH127&gt;0)*($G$14:$G$127="P")*AH14:AH127*$F$14:$F$127/$F$14)</f>
        <v>2.4928538370747062E-2</v>
      </c>
      <c r="AI128" s="148" cm="1">
        <f t="array" ref="AI128">SUMPRODUCT((AI14:AI127&gt;0)*($G$14:$G$127="P")*AI14:AI127*$F$14:$F$127/$F$14)</f>
        <v>2.4533824921175014E-2</v>
      </c>
      <c r="AJ128" s="54" cm="1">
        <f t="array" ref="AJ128">SUMPRODUCT((AJ14:AJ127&gt;0)*($G$14:$G$127="P")*AJ14:AJ127*$F$14:$F$127/$F$14)</f>
        <v>2.7136124378661648E-2</v>
      </c>
      <c r="AK128" s="55" cm="1">
        <f t="array" ref="AK128">SUMPRODUCT((AK14:AK127&gt;0)*($G$14:$G$127="P")*AK14:AK127*$F$14:$F$127/$F$14)</f>
        <v>2.8220959899741493E-2</v>
      </c>
      <c r="AL128" s="55" cm="1">
        <f t="array" ref="AL128">SUMPRODUCT((AL14:AL127&gt;0)*($G$14:$G$127="P")*AL14:AL127*$F$14:$F$127/$F$14)</f>
        <v>3.3156788083632323E-2</v>
      </c>
      <c r="AM128" s="56" cm="1">
        <f t="array" ref="AM128">SUMPRODUCT((AM14:AM127&gt;0)*($G$14:$G$127="P")*AM14:AM127*$F$14:$F$127/$F$14)</f>
        <v>3.2051829701698037E-2</v>
      </c>
      <c r="AN128" s="54" cm="1">
        <f t="array" ref="AN128">SUMPRODUCT((AN14:AN127&gt;0)*($G$14:$G$127="P")*AN14:AN127*$F$14:$F$127/$F$14)</f>
        <v>3.9493084209634932E-2</v>
      </c>
      <c r="AO128" s="55" cm="1">
        <f t="array" ref="AO128">SUMPRODUCT((AO14:AO127&gt;0)*($G$14:$G$127="P")*AO14:AO127*$F$14:$F$127/$F$14)</f>
        <v>3.2112464772825686E-2</v>
      </c>
      <c r="AP128" s="55" cm="1">
        <f t="array" ref="AP128">SUMPRODUCT((AP14:AP127&gt;0)*($G$14:$G$127="P")*AP14:AP127*$F$14:$F$127/$F$14)</f>
        <v>3.2112464772825686E-2</v>
      </c>
      <c r="AQ128" s="56" cm="1">
        <f t="array" ref="AQ128">SUMPRODUCT((AQ14:AQ127&gt;0)*($G$14:$G$127="P")*AQ14:AQ127*$F$14:$F$127/$F$14)</f>
        <v>3.2506598545171031E-2</v>
      </c>
      <c r="AR128" s="54" cm="1">
        <f t="array" ref="AR128">SUMPRODUCT((AR14:AR127&gt;0)*($G$14:$G$127="P")*AR14:AR127*$F$14:$F$127/$F$14)</f>
        <v>2.7478759706161791E-2</v>
      </c>
      <c r="AS128" s="55" cm="1">
        <f t="array" ref="AS128">SUMPRODUCT((AS14:AS127&gt;0)*($G$14:$G$127="P")*AS14:AS127*$F$14:$F$127/$F$14)</f>
        <v>2.3983524217382549E-2</v>
      </c>
      <c r="AT128" s="55" cm="1">
        <f t="array" ref="AT128">SUMPRODUCT((AT14:AT127&gt;0)*($G$14:$G$127="P")*AT14:AT127*$F$14:$F$127/$F$14)</f>
        <v>2.4969591389072589E-2</v>
      </c>
      <c r="AU128" s="55" cm="1">
        <f t="array" ref="AU128">SUMPRODUCT((AU14:AU127&gt;0)*($G$14:$G$127="P")*AU14:AU127*$F$14:$F$127/$F$14)</f>
        <v>2.573879509896157E-2</v>
      </c>
      <c r="AV128" s="148" cm="1">
        <f t="array" ref="AV128">SUMPRODUCT((AV14:AV127&gt;0)*($G$14:$G$127="P")*AV14:AV127*$F$14:$F$127/$F$14)</f>
        <v>1.9131983205900958E-2</v>
      </c>
      <c r="AW128" s="54" cm="1">
        <f t="array" ref="AW128">SUMPRODUCT((AW14:AW127&gt;0)*($G$14:$G$127="P")*AW14:AW127*$F$14:$F$127/$F$14)</f>
        <v>2.236772239207923E-2</v>
      </c>
      <c r="AX128" s="55" cm="1">
        <f t="array" ref="AX128">SUMPRODUCT((AX14:AX127&gt;0)*($G$14:$G$127="P")*AX14:AX127*$F$14:$F$127/$F$14)</f>
        <v>1.64917709937474E-2</v>
      </c>
      <c r="AY128" s="55" cm="1">
        <f t="array" ref="AY128">SUMPRODUCT((AY14:AY127&gt;0)*($G$14:$G$127="P")*AY14:AY127*$F$14:$F$127/$F$14)</f>
        <v>2.5263375398322192E-2</v>
      </c>
      <c r="AZ128" s="56" cm="1">
        <f t="array" ref="AZ128">SUMPRODUCT((AZ14:AZ127&gt;0)*($G$14:$G$127="P")*AZ14:AZ127*$F$14:$F$127/$F$14)</f>
        <v>2.1438465366523194E-2</v>
      </c>
      <c r="BA128" s="54" cm="1">
        <f t="array" ref="BA128">SUMPRODUCT((BA14:BA127&gt;0)*($G$14:$G$127="P")*BA14:BA127*$F$14:$F$127/$F$14)</f>
        <v>2.8254516468126694E-2</v>
      </c>
      <c r="BB128" s="55" cm="1">
        <f t="array" ref="BB128">SUMPRODUCT((BB14:BB127&gt;0)*($G$14:$G$127="P")*BB14:BB127*$F$14:$F$127/$F$14)</f>
        <v>3.2426575499025834E-2</v>
      </c>
      <c r="BC128" s="55" cm="1">
        <f t="array" ref="BC128">SUMPRODUCT((BC14:BC127&gt;0)*($G$14:$G$127="P")*BC14:BC127*$F$14:$F$127/$F$14)</f>
        <v>2.3304460746126691E-2</v>
      </c>
      <c r="BD128" s="56" cm="1">
        <f t="array" ref="BD128">SUMPRODUCT((BD14:BD127&gt;0)*($G$14:$G$127="P")*BD14:BD127*$F$14:$F$127/$F$14)</f>
        <v>1.7927921158012255E-2</v>
      </c>
      <c r="BE128" s="54" cm="1">
        <f t="array" ref="BE128">SUMPRODUCT((BE14:BE127&gt;0)*($G$14:$G$127="P")*BE14:BE127*$F$14:$F$127/$F$14)</f>
        <v>1.8243394081984884E-2</v>
      </c>
      <c r="BF128" s="55" cm="1">
        <f t="array" ref="BF128">SUMPRODUCT((BF14:BF127&gt;0)*($G$14:$G$127="P")*BF14:BF127*$F$14:$F$127/$F$14)</f>
        <v>1.0789588199020109E-2</v>
      </c>
      <c r="BG128" s="55" cm="1">
        <f t="array" ref="BG128">SUMPRODUCT((BG14:BG127&gt;0)*($G$14:$G$127="P")*BG14:BG127*$F$14:$F$127/$F$14)</f>
        <v>7.0260104873400044E-3</v>
      </c>
      <c r="BH128" s="55" cm="1">
        <f t="array" ref="BH128">SUMPRODUCT((BH14:BH127&gt;0)*($G$14:$G$127="P")*BH14:BH127*$F$14:$F$127/$F$14)</f>
        <v>7.7950475655367366E-3</v>
      </c>
      <c r="BI128" s="148" cm="1">
        <f t="array" ref="BI128">SUMPRODUCT((BI14:BI127&gt;0)*($G$14:$G$127="P")*BI14:BI127*$F$14:$F$127/$F$14)</f>
        <v>4.3834518481417964E-3</v>
      </c>
      <c r="BJ128" s="54" cm="1">
        <f t="array" ref="BJ128">SUMPRODUCT((BJ14:BJ127&gt;0)*($G$14:$G$127="P")*BJ14:BJ127*$F$14:$F$127/$F$14)</f>
        <v>1.3818241496262039E-2</v>
      </c>
      <c r="BK128" s="55" cm="1">
        <f t="array" ref="BK128">SUMPRODUCT((BK14:BK127&gt;0)*($G$14:$G$127="P")*BK14:BK127*$F$14:$F$127/$F$14)</f>
        <v>8.8685716224736338E-3</v>
      </c>
      <c r="BL128" s="55" cm="1">
        <f t="array" ref="BL128">SUMPRODUCT((BL14:BL127&gt;0)*($G$14:$G$127="P")*BL14:BL127*$F$14:$F$127/$F$14)</f>
        <v>8.5994383938945654E-3</v>
      </c>
      <c r="BM128" s="56" cm="1">
        <f t="array" ref="BM128">SUMPRODUCT((BM14:BM127&gt;0)*($G$14:$G$127="P")*BM14:BM127*$F$14:$F$127/$F$14)</f>
        <v>8.5994383938945654E-3</v>
      </c>
      <c r="BN128" s="54" cm="1">
        <f t="array" ref="BN128">SUMPRODUCT((BN14:BN127&gt;0)*($G$14:$G$127="P")*BN14:BN127*$F$14:$F$127/$F$14)</f>
        <v>6.3994973954199282E-3</v>
      </c>
      <c r="BO128" s="55" cm="1">
        <f t="array" ref="BO128">SUMPRODUCT((BO14:BO127&gt;0)*($G$14:$G$127="P")*BO14:BO127*$F$14:$F$127/$F$14)</f>
        <v>6.3994973954199282E-3</v>
      </c>
      <c r="BP128" s="55" cm="1">
        <f t="array" ref="BP128">SUMPRODUCT((BP14:BP127&gt;0)*($G$14:$G$127="P")*BP14:BP127*$F$14:$F$127/$F$14)</f>
        <v>4.0923861608297332E-3</v>
      </c>
      <c r="BQ128" s="56" cm="1">
        <f t="array" ref="BQ128">SUMPRODUCT((BQ14:BQ127&gt;0)*($G$14:$G$127="P")*BQ14:BQ127*$F$14:$F$127/$F$14)</f>
        <v>4.0923861608297332E-3</v>
      </c>
      <c r="BR128" s="54" cm="1">
        <f t="array" ref="BR128">SUMPRODUCT((BR14:BR127&gt;0)*($G$14:$G$127="P")*BR14:BR127*$F$14:$F$127/$F$14)</f>
        <v>0</v>
      </c>
      <c r="BS128" s="55" cm="1">
        <f t="array" ref="BS128">SUMPRODUCT((BS14:BS127&gt;0)*($G$14:$G$127="P")*BS14:BS127*$F$14:$F$127/$F$14)</f>
        <v>0</v>
      </c>
      <c r="BT128" s="55" cm="1">
        <f t="array" ref="BT128">SUMPRODUCT((BT14:BT127&gt;0)*($G$14:$G$127="P")*BT14:BT127*$F$14:$F$127/$F$14)</f>
        <v>0</v>
      </c>
      <c r="BU128" s="152" cm="1">
        <f t="array" ref="BU128">SUMPRODUCT((BU14:BU127&gt;0)*($G$14:$G$127="P")*BU14:BU127*$F$14:$F$127/$F$14)</f>
        <v>0</v>
      </c>
      <c r="BV128" s="56" cm="1">
        <f t="array" ref="BV128">SUMPRODUCT((BV14:BV127&gt;0)*($G$14:$G$127="P")*BV14:BV127*$F$14:$F$127/$F$14)</f>
        <v>0</v>
      </c>
      <c r="BW128" s="54" cm="1">
        <f t="array" ref="BW128">SUMPRODUCT((BW14:BW127&gt;0)*($G$14:$G$127="P")*BW14:BW127*$F$14:$F$127/$F$14)</f>
        <v>0</v>
      </c>
      <c r="BX128" s="55" cm="1">
        <f t="array" ref="BX128">SUMPRODUCT((BX14:BX127&gt;0)*($G$14:$G$127="P")*BX14:BX127*$F$14:$F$127/$F$14)</f>
        <v>0</v>
      </c>
      <c r="BY128" s="55" cm="1">
        <f t="array" ref="BY128">SUMPRODUCT((BY14:BY127&gt;0)*($G$14:$G$127="P")*BY14:BY127*$F$14:$F$127/$F$14)</f>
        <v>0</v>
      </c>
      <c r="BZ128" s="56" cm="1">
        <f t="array" ref="BZ128">SUMPRODUCT((BZ14:BZ127&gt;0)*($G$14:$G$127="P")*BZ14:BZ127*$F$14:$F$127/$F$14)</f>
        <v>0</v>
      </c>
      <c r="CA128" s="54" cm="1">
        <f t="array" ref="CA128">SUMPRODUCT((CA14:CA127&gt;0)*($G$14:$G$127="P")*CA14:CA127*$F$14:$F$127/$F$14)</f>
        <v>0</v>
      </c>
      <c r="CB128" s="55" cm="1">
        <f t="array" ref="CB128">SUMPRODUCT((CB14:CB127&gt;0)*($G$14:$G$127="P")*CB14:CB127*$F$14:$F$127/$F$14)</f>
        <v>0</v>
      </c>
      <c r="CC128" s="55" cm="1">
        <f t="array" ref="CC128">SUMPRODUCT((CC14:CC127&gt;0)*($G$14:$G$127="P")*CC14:CC127*$F$14:$F$127/$F$14)</f>
        <v>0</v>
      </c>
      <c r="CD128" s="56" cm="1">
        <f t="array" ref="CD128">SUMPRODUCT((CD14:CD127&gt;0)*($G$14:$G$127="P")*CD14:CD127*$F$14:$F$127/$F$14)</f>
        <v>0</v>
      </c>
      <c r="CE128" s="54" cm="1">
        <f t="array" ref="CE128">SUMPRODUCT((CE14:CE127&gt;0)*($G$14:$G$127="P")*CE14:CE127*$F$14:$F$127/$F$14)</f>
        <v>0</v>
      </c>
      <c r="CF128" s="55" cm="1">
        <f t="array" ref="CF128">SUMPRODUCT((CF14:CF127&gt;0)*($G$14:$G$127="P")*CF14:CF127*$F$14:$F$127/$F$14)</f>
        <v>0</v>
      </c>
      <c r="CG128" s="55" cm="1">
        <f t="array" ref="CG128">SUMPRODUCT((CG14:CG127&gt;0)*($G$14:$G$127="P")*CG14:CG127*$F$14:$F$127/$F$14)</f>
        <v>0</v>
      </c>
      <c r="CH128" s="55" cm="1">
        <f t="array" ref="CH128">SUMPRODUCT((CH14:CH127&gt;0)*($G$14:$G$127="P")*CH14:CH127*$F$14:$F$127/$F$14)</f>
        <v>0</v>
      </c>
      <c r="CI128" s="148" cm="1">
        <f t="array" ref="CI128">SUMPRODUCT((CI14:CI127&gt;0)*($G$14:$G$127="P")*CI14:CI127*$F$14:$F$127/$F$14)</f>
        <v>0</v>
      </c>
      <c r="CJ128" s="54" cm="1">
        <f t="array" ref="CJ128">SUMPRODUCT((CJ14:CJ127&gt;0)*($G$14:$G$127="P")*CJ14:CJ127*$F$14:$F$127/$F$14)</f>
        <v>0</v>
      </c>
      <c r="CK128" s="55" cm="1">
        <f t="array" ref="CK128">SUMPRODUCT((CK14:CK127&gt;0)*($G$14:$G$127="P")*CK14:CK127*$F$14:$F$127/$F$14)</f>
        <v>0</v>
      </c>
      <c r="CL128" s="55" cm="1">
        <f t="array" ref="CL128">SUMPRODUCT((CL14:CL127&gt;0)*($G$14:$G$127="P")*CL14:CL127*$F$14:$F$127/$F$14)</f>
        <v>0</v>
      </c>
      <c r="CM128" s="56" cm="1">
        <f t="array" ref="CM128">SUMPRODUCT((CM14:CM127&gt;0)*($G$14:$G$127="P")*CM14:CM127*$F$14:$F$127/$F$14)</f>
        <v>0</v>
      </c>
      <c r="CN128" s="54">
        <f t="shared" ref="BV128:CY128" si="342">SUMPRODUCT((CN13:CN127&gt;0)*($G$13:$G$127="P")*CN13:CN127*$F$13:$F$127/$F$12)</f>
        <v>0</v>
      </c>
      <c r="CO128" s="55">
        <f t="shared" si="342"/>
        <v>0</v>
      </c>
      <c r="CP128" s="55">
        <f t="shared" si="342"/>
        <v>0</v>
      </c>
      <c r="CQ128" s="56">
        <f t="shared" si="342"/>
        <v>0</v>
      </c>
      <c r="CR128" s="54">
        <f t="shared" si="342"/>
        <v>0</v>
      </c>
      <c r="CS128" s="55">
        <f t="shared" si="342"/>
        <v>0</v>
      </c>
      <c r="CT128" s="55">
        <f t="shared" si="342"/>
        <v>0</v>
      </c>
      <c r="CU128" s="56">
        <f t="shared" si="342"/>
        <v>0</v>
      </c>
      <c r="CV128" s="54">
        <f t="shared" si="342"/>
        <v>0</v>
      </c>
      <c r="CW128" s="55">
        <f t="shared" si="342"/>
        <v>0</v>
      </c>
      <c r="CX128" s="55">
        <f t="shared" si="342"/>
        <v>0</v>
      </c>
      <c r="CY128" s="56">
        <f t="shared" si="342"/>
        <v>0</v>
      </c>
      <c r="CZ128" s="57"/>
      <c r="DA128" s="102"/>
      <c r="DB128" s="102"/>
    </row>
    <row r="129" spans="1:106" s="426" customFormat="1" ht="75" customHeight="1" x14ac:dyDescent="0.55000000000000004">
      <c r="A129" s="413"/>
      <c r="B129" s="414"/>
      <c r="C129" s="414"/>
      <c r="D129" s="414"/>
      <c r="E129" s="415"/>
      <c r="F129" s="416"/>
      <c r="G129" s="334"/>
      <c r="H129" s="417" t="s">
        <v>145</v>
      </c>
      <c r="I129" s="418"/>
      <c r="J129" s="419">
        <f>J128</f>
        <v>0</v>
      </c>
      <c r="K129" s="420">
        <f>J129+K128</f>
        <v>0</v>
      </c>
      <c r="L129" s="420">
        <f t="shared" ref="L129:BW129" si="343">K129+L128</f>
        <v>0</v>
      </c>
      <c r="M129" s="421">
        <f t="shared" si="343"/>
        <v>0</v>
      </c>
      <c r="N129" s="419">
        <f t="shared" si="343"/>
        <v>1.2678716525798311E-4</v>
      </c>
      <c r="O129" s="420">
        <f t="shared" si="343"/>
        <v>3.0428919661915944E-4</v>
      </c>
      <c r="P129" s="420">
        <f t="shared" si="343"/>
        <v>4.817912279803358E-4</v>
      </c>
      <c r="Q129" s="421">
        <f t="shared" si="343"/>
        <v>6.8465069239310875E-4</v>
      </c>
      <c r="R129" s="419">
        <f t="shared" si="343"/>
        <v>4.0547086130597616E-3</v>
      </c>
      <c r="S129" s="420">
        <f t="shared" si="343"/>
        <v>1.0691189318478707E-2</v>
      </c>
      <c r="T129" s="420">
        <f t="shared" si="343"/>
        <v>1.8789255623986888E-2</v>
      </c>
      <c r="U129" s="421">
        <f t="shared" si="343"/>
        <v>2.7068835405334047E-2</v>
      </c>
      <c r="V129" s="419">
        <f t="shared" si="343"/>
        <v>3.6208691777584366E-2</v>
      </c>
      <c r="W129" s="420">
        <f t="shared" si="343"/>
        <v>4.5278015161080647E-2</v>
      </c>
      <c r="X129" s="420">
        <f t="shared" si="343"/>
        <v>5.416181040416803E-2</v>
      </c>
      <c r="Y129" s="422">
        <f t="shared" si="343"/>
        <v>6.9149366920334188E-2</v>
      </c>
      <c r="Z129" s="421">
        <f t="shared" si="343"/>
        <v>8.5236358871088297E-2</v>
      </c>
      <c r="AA129" s="419">
        <f t="shared" si="343"/>
        <v>0.10360968226128141</v>
      </c>
      <c r="AB129" s="420">
        <f t="shared" si="343"/>
        <v>0.12384992397316173</v>
      </c>
      <c r="AC129" s="420">
        <f t="shared" si="343"/>
        <v>0.14618358923411776</v>
      </c>
      <c r="AD129" s="421">
        <f t="shared" si="343"/>
        <v>0.1794715407166973</v>
      </c>
      <c r="AE129" s="419">
        <f t="shared" si="343"/>
        <v>0.21320952304655721</v>
      </c>
      <c r="AF129" s="420">
        <f t="shared" si="343"/>
        <v>0.24395420932728545</v>
      </c>
      <c r="AG129" s="420">
        <f t="shared" si="343"/>
        <v>0.27586291150339665</v>
      </c>
      <c r="AH129" s="420">
        <f t="shared" si="343"/>
        <v>0.30079144987414369</v>
      </c>
      <c r="AI129" s="423">
        <f t="shared" si="343"/>
        <v>0.3253252747953187</v>
      </c>
      <c r="AJ129" s="419">
        <f t="shared" si="343"/>
        <v>0.35246139917398034</v>
      </c>
      <c r="AK129" s="420">
        <f t="shared" si="343"/>
        <v>0.38068235907372183</v>
      </c>
      <c r="AL129" s="420">
        <f t="shared" si="343"/>
        <v>0.41383914715735415</v>
      </c>
      <c r="AM129" s="421">
        <f t="shared" si="343"/>
        <v>0.44589097685905221</v>
      </c>
      <c r="AN129" s="419">
        <f t="shared" si="343"/>
        <v>0.48538406106868714</v>
      </c>
      <c r="AO129" s="420">
        <f t="shared" si="343"/>
        <v>0.51749652584151284</v>
      </c>
      <c r="AP129" s="420">
        <f t="shared" si="343"/>
        <v>0.54960899061433854</v>
      </c>
      <c r="AQ129" s="421">
        <f t="shared" si="343"/>
        <v>0.58211558915950956</v>
      </c>
      <c r="AR129" s="419">
        <f t="shared" si="343"/>
        <v>0.60959434886567132</v>
      </c>
      <c r="AS129" s="420">
        <f t="shared" si="343"/>
        <v>0.63357787308305391</v>
      </c>
      <c r="AT129" s="420">
        <f t="shared" si="343"/>
        <v>0.65854746447212653</v>
      </c>
      <c r="AU129" s="420">
        <f t="shared" si="343"/>
        <v>0.68428625957108813</v>
      </c>
      <c r="AV129" s="423">
        <f t="shared" si="343"/>
        <v>0.70341824277698906</v>
      </c>
      <c r="AW129" s="419">
        <f t="shared" si="343"/>
        <v>0.72578596516906824</v>
      </c>
      <c r="AX129" s="420">
        <f t="shared" si="343"/>
        <v>0.74227773616281567</v>
      </c>
      <c r="AY129" s="420">
        <f t="shared" si="343"/>
        <v>0.76754111156113791</v>
      </c>
      <c r="AZ129" s="421">
        <f t="shared" si="343"/>
        <v>0.78897957692766107</v>
      </c>
      <c r="BA129" s="419">
        <f t="shared" si="343"/>
        <v>0.81723409339578779</v>
      </c>
      <c r="BB129" s="420">
        <f t="shared" si="343"/>
        <v>0.84966066889481362</v>
      </c>
      <c r="BC129" s="420">
        <f t="shared" si="343"/>
        <v>0.87296512964094031</v>
      </c>
      <c r="BD129" s="421">
        <f t="shared" si="343"/>
        <v>0.89089305079895253</v>
      </c>
      <c r="BE129" s="419">
        <f t="shared" si="343"/>
        <v>0.90913644488093737</v>
      </c>
      <c r="BF129" s="420">
        <f t="shared" si="343"/>
        <v>0.91992603307995746</v>
      </c>
      <c r="BG129" s="420">
        <f t="shared" si="343"/>
        <v>0.92695204356729743</v>
      </c>
      <c r="BH129" s="420">
        <f t="shared" si="343"/>
        <v>0.93474709113283416</v>
      </c>
      <c r="BI129" s="423">
        <f t="shared" si="343"/>
        <v>0.93913054298097598</v>
      </c>
      <c r="BJ129" s="419">
        <f t="shared" si="343"/>
        <v>0.95294878447723796</v>
      </c>
      <c r="BK129" s="420">
        <f t="shared" si="343"/>
        <v>0.96181735609971164</v>
      </c>
      <c r="BL129" s="420">
        <f t="shared" si="343"/>
        <v>0.97041679449360618</v>
      </c>
      <c r="BM129" s="421">
        <f t="shared" si="343"/>
        <v>0.97901623288750073</v>
      </c>
      <c r="BN129" s="419">
        <f t="shared" si="343"/>
        <v>0.98541573028292062</v>
      </c>
      <c r="BO129" s="420">
        <f t="shared" si="343"/>
        <v>0.99181522767834052</v>
      </c>
      <c r="BP129" s="420">
        <f t="shared" si="343"/>
        <v>0.99590761383917026</v>
      </c>
      <c r="BQ129" s="421">
        <f t="shared" si="343"/>
        <v>1</v>
      </c>
      <c r="BR129" s="419">
        <f t="shared" si="343"/>
        <v>1</v>
      </c>
      <c r="BS129" s="420">
        <f t="shared" si="343"/>
        <v>1</v>
      </c>
      <c r="BT129" s="420">
        <f t="shared" si="343"/>
        <v>1</v>
      </c>
      <c r="BU129" s="422">
        <f t="shared" si="343"/>
        <v>1</v>
      </c>
      <c r="BV129" s="421">
        <f t="shared" si="343"/>
        <v>1</v>
      </c>
      <c r="BW129" s="419">
        <f t="shared" si="343"/>
        <v>1</v>
      </c>
      <c r="BX129" s="420">
        <f t="shared" ref="BX129:CM129" si="344">BW129+BX128</f>
        <v>1</v>
      </c>
      <c r="BY129" s="420">
        <f t="shared" si="344"/>
        <v>1</v>
      </c>
      <c r="BZ129" s="421">
        <f t="shared" si="344"/>
        <v>1</v>
      </c>
      <c r="CA129" s="419">
        <f t="shared" si="344"/>
        <v>1</v>
      </c>
      <c r="CB129" s="420">
        <f t="shared" si="344"/>
        <v>1</v>
      </c>
      <c r="CC129" s="420">
        <f t="shared" si="344"/>
        <v>1</v>
      </c>
      <c r="CD129" s="421">
        <f t="shared" si="344"/>
        <v>1</v>
      </c>
      <c r="CE129" s="419">
        <f t="shared" si="344"/>
        <v>1</v>
      </c>
      <c r="CF129" s="420">
        <f t="shared" si="344"/>
        <v>1</v>
      </c>
      <c r="CG129" s="420">
        <f t="shared" si="344"/>
        <v>1</v>
      </c>
      <c r="CH129" s="420">
        <f t="shared" si="344"/>
        <v>1</v>
      </c>
      <c r="CI129" s="423">
        <f t="shared" si="344"/>
        <v>1</v>
      </c>
      <c r="CJ129" s="419">
        <f t="shared" si="344"/>
        <v>1</v>
      </c>
      <c r="CK129" s="420">
        <f t="shared" si="344"/>
        <v>1</v>
      </c>
      <c r="CL129" s="420">
        <f t="shared" si="344"/>
        <v>1</v>
      </c>
      <c r="CM129" s="421">
        <f t="shared" si="344"/>
        <v>1</v>
      </c>
      <c r="CN129" s="419">
        <f t="shared" ref="CN129:CY129" si="345">CM129+CN128</f>
        <v>1</v>
      </c>
      <c r="CO129" s="420">
        <f t="shared" si="345"/>
        <v>1</v>
      </c>
      <c r="CP129" s="420">
        <f t="shared" si="345"/>
        <v>1</v>
      </c>
      <c r="CQ129" s="421">
        <f t="shared" si="345"/>
        <v>1</v>
      </c>
      <c r="CR129" s="419">
        <f t="shared" si="345"/>
        <v>1</v>
      </c>
      <c r="CS129" s="420">
        <f t="shared" si="345"/>
        <v>1</v>
      </c>
      <c r="CT129" s="420">
        <f t="shared" si="345"/>
        <v>1</v>
      </c>
      <c r="CU129" s="421">
        <f t="shared" si="345"/>
        <v>1</v>
      </c>
      <c r="CV129" s="419">
        <f t="shared" si="345"/>
        <v>1</v>
      </c>
      <c r="CW129" s="420">
        <f t="shared" si="345"/>
        <v>1</v>
      </c>
      <c r="CX129" s="420">
        <f t="shared" si="345"/>
        <v>1</v>
      </c>
      <c r="CY129" s="421">
        <f t="shared" si="345"/>
        <v>1</v>
      </c>
      <c r="CZ129" s="424"/>
      <c r="DA129" s="425"/>
      <c r="DB129" s="425"/>
    </row>
    <row r="130" spans="1:106" ht="84.95" customHeight="1" x14ac:dyDescent="0.55000000000000004">
      <c r="A130" s="111"/>
      <c r="B130" s="112"/>
      <c r="C130" s="116"/>
      <c r="D130" s="116"/>
      <c r="E130" s="113"/>
      <c r="F130" s="114"/>
      <c r="G130" s="334"/>
      <c r="H130" s="117" t="s">
        <v>136</v>
      </c>
      <c r="I130" s="200"/>
      <c r="J130" s="58">
        <f>J128*$F$14</f>
        <v>0</v>
      </c>
      <c r="K130" s="59">
        <f t="shared" ref="K130:BV130" si="346">K128*$F$14</f>
        <v>0</v>
      </c>
      <c r="L130" s="59">
        <f t="shared" si="346"/>
        <v>0</v>
      </c>
      <c r="M130" s="60">
        <f t="shared" si="346"/>
        <v>0</v>
      </c>
      <c r="N130" s="58">
        <f t="shared" si="346"/>
        <v>17912.832180519999</v>
      </c>
      <c r="O130" s="59">
        <f t="shared" si="346"/>
        <v>25077.965052727999</v>
      </c>
      <c r="P130" s="59">
        <f t="shared" si="346"/>
        <v>25077.965052727999</v>
      </c>
      <c r="Q130" s="60">
        <f t="shared" si="346"/>
        <v>28660.531488831999</v>
      </c>
      <c r="R130" s="58">
        <f t="shared" si="346"/>
        <v>476130.85952903994</v>
      </c>
      <c r="S130" s="59">
        <f t="shared" si="346"/>
        <v>937619.86793803982</v>
      </c>
      <c r="T130" s="59">
        <f t="shared" si="346"/>
        <v>1144116.6179725598</v>
      </c>
      <c r="U130" s="60">
        <f t="shared" si="346"/>
        <v>1169761.3307050399</v>
      </c>
      <c r="V130" s="58">
        <f t="shared" si="346"/>
        <v>1291303.5244304244</v>
      </c>
      <c r="W130" s="59">
        <f t="shared" si="346"/>
        <v>1281338.4338144248</v>
      </c>
      <c r="X130" s="59">
        <f t="shared" si="346"/>
        <v>1255126.5184589049</v>
      </c>
      <c r="Y130" s="153">
        <f t="shared" si="346"/>
        <v>2117482.3502352838</v>
      </c>
      <c r="Z130" s="60">
        <f t="shared" si="346"/>
        <v>2272813.5495173102</v>
      </c>
      <c r="AA130" s="58">
        <f t="shared" si="346"/>
        <v>2595832.613003619</v>
      </c>
      <c r="AB130" s="59">
        <f t="shared" si="346"/>
        <v>2859595.8616185286</v>
      </c>
      <c r="AC130" s="59">
        <f t="shared" si="346"/>
        <v>3155360.3788000527</v>
      </c>
      <c r="AD130" s="60">
        <f t="shared" si="346"/>
        <v>4703011.4391109068</v>
      </c>
      <c r="AE130" s="58">
        <f t="shared" si="346"/>
        <v>4766593.0092721106</v>
      </c>
      <c r="AF130" s="59">
        <f t="shared" si="346"/>
        <v>4343692.0816773633</v>
      </c>
      <c r="AG130" s="59">
        <f t="shared" si="346"/>
        <v>4508147.3823935352</v>
      </c>
      <c r="AH130" s="59">
        <f t="shared" si="346"/>
        <v>3521971.0404616785</v>
      </c>
      <c r="AI130" s="149">
        <f t="shared" si="346"/>
        <v>3466204.8612337457</v>
      </c>
      <c r="AJ130" s="58">
        <f t="shared" si="346"/>
        <v>3833864.7372990106</v>
      </c>
      <c r="AK130" s="59">
        <f t="shared" si="346"/>
        <v>3987133.2214790103</v>
      </c>
      <c r="AL130" s="59">
        <f t="shared" si="346"/>
        <v>4684480.3208483625</v>
      </c>
      <c r="AM130" s="60">
        <f t="shared" si="346"/>
        <v>4528368.824690422</v>
      </c>
      <c r="AN130" s="58">
        <f t="shared" si="346"/>
        <v>5579689.3029264379</v>
      </c>
      <c r="AO130" s="59">
        <f t="shared" si="346"/>
        <v>4536935.5108463392</v>
      </c>
      <c r="AP130" s="59">
        <f t="shared" si="346"/>
        <v>4536935.5108463392</v>
      </c>
      <c r="AQ130" s="60">
        <f t="shared" si="346"/>
        <v>4592619.7917144522</v>
      </c>
      <c r="AR130" s="58">
        <f t="shared" si="346"/>
        <v>3882273.1791798505</v>
      </c>
      <c r="AS130" s="59">
        <f t="shared" si="346"/>
        <v>3388456.8956900816</v>
      </c>
      <c r="AT130" s="59">
        <f t="shared" si="346"/>
        <v>3527771.1214578319</v>
      </c>
      <c r="AU130" s="59">
        <f t="shared" si="346"/>
        <v>3636446.2932690978</v>
      </c>
      <c r="AV130" s="149">
        <f t="shared" si="346"/>
        <v>2703018.1150473538</v>
      </c>
      <c r="AW130" s="58">
        <f t="shared" si="346"/>
        <v>3160172.0620104061</v>
      </c>
      <c r="AX130" s="59">
        <f t="shared" si="346"/>
        <v>2330001.8228932209</v>
      </c>
      <c r="AY130" s="59">
        <f t="shared" si="346"/>
        <v>3569277.7175261364</v>
      </c>
      <c r="AZ130" s="60">
        <f t="shared" si="346"/>
        <v>3028884.1266938904</v>
      </c>
      <c r="BA130" s="58">
        <f t="shared" si="346"/>
        <v>3991874.1838375833</v>
      </c>
      <c r="BB130" s="59">
        <f t="shared" si="346"/>
        <v>4581313.9202308822</v>
      </c>
      <c r="BC130" s="59">
        <f t="shared" si="346"/>
        <v>3292516.9795654751</v>
      </c>
      <c r="BD130" s="60">
        <f t="shared" si="346"/>
        <v>2532904.9860498151</v>
      </c>
      <c r="BE130" s="58">
        <f t="shared" si="346"/>
        <v>2577475.8504044292</v>
      </c>
      <c r="BF130" s="59">
        <f t="shared" si="346"/>
        <v>1524382.0801001536</v>
      </c>
      <c r="BG130" s="59">
        <f t="shared" si="346"/>
        <v>992653.6846391916</v>
      </c>
      <c r="BH130" s="59">
        <f t="shared" si="346"/>
        <v>1101305.3142761916</v>
      </c>
      <c r="BI130" s="149">
        <f t="shared" si="346"/>
        <v>619305.88295261411</v>
      </c>
      <c r="BJ130" s="58">
        <f t="shared" si="346"/>
        <v>1952278.3749347548</v>
      </c>
      <c r="BK130" s="59">
        <f t="shared" si="346"/>
        <v>1252975.6843371773</v>
      </c>
      <c r="BL130" s="59">
        <f t="shared" si="346"/>
        <v>1214951.8169533701</v>
      </c>
      <c r="BM130" s="60">
        <f t="shared" si="346"/>
        <v>1214951.8169533701</v>
      </c>
      <c r="BN130" s="58">
        <f t="shared" si="346"/>
        <v>904138.22763983731</v>
      </c>
      <c r="BO130" s="59">
        <f t="shared" si="346"/>
        <v>904138.22763983731</v>
      </c>
      <c r="BP130" s="59">
        <f t="shared" si="346"/>
        <v>578183.33872883744</v>
      </c>
      <c r="BQ130" s="60">
        <f t="shared" si="346"/>
        <v>578183.33872883744</v>
      </c>
      <c r="BR130" s="58">
        <f t="shared" si="346"/>
        <v>0</v>
      </c>
      <c r="BS130" s="59">
        <f t="shared" si="346"/>
        <v>0</v>
      </c>
      <c r="BT130" s="59">
        <f t="shared" si="346"/>
        <v>0</v>
      </c>
      <c r="BU130" s="153">
        <f t="shared" si="346"/>
        <v>0</v>
      </c>
      <c r="BV130" s="60">
        <f t="shared" si="346"/>
        <v>0</v>
      </c>
      <c r="BW130" s="58">
        <f t="shared" ref="BW130:CM130" si="347">BW128*$F$14</f>
        <v>0</v>
      </c>
      <c r="BX130" s="59">
        <f t="shared" si="347"/>
        <v>0</v>
      </c>
      <c r="BY130" s="59">
        <f t="shared" si="347"/>
        <v>0</v>
      </c>
      <c r="BZ130" s="60">
        <f t="shared" si="347"/>
        <v>0</v>
      </c>
      <c r="CA130" s="58">
        <f t="shared" si="347"/>
        <v>0</v>
      </c>
      <c r="CB130" s="59">
        <f t="shared" si="347"/>
        <v>0</v>
      </c>
      <c r="CC130" s="59">
        <f t="shared" si="347"/>
        <v>0</v>
      </c>
      <c r="CD130" s="60">
        <f t="shared" si="347"/>
        <v>0</v>
      </c>
      <c r="CE130" s="58">
        <f t="shared" si="347"/>
        <v>0</v>
      </c>
      <c r="CF130" s="59">
        <f t="shared" si="347"/>
        <v>0</v>
      </c>
      <c r="CG130" s="59">
        <f t="shared" si="347"/>
        <v>0</v>
      </c>
      <c r="CH130" s="59">
        <f t="shared" si="347"/>
        <v>0</v>
      </c>
      <c r="CI130" s="149">
        <f t="shared" si="347"/>
        <v>0</v>
      </c>
      <c r="CJ130" s="58">
        <f t="shared" si="347"/>
        <v>0</v>
      </c>
      <c r="CK130" s="59">
        <f t="shared" si="347"/>
        <v>0</v>
      </c>
      <c r="CL130" s="59">
        <f t="shared" si="347"/>
        <v>0</v>
      </c>
      <c r="CM130" s="60">
        <f t="shared" si="347"/>
        <v>0</v>
      </c>
      <c r="CN130" s="58"/>
      <c r="CO130" s="59"/>
      <c r="CP130" s="59"/>
      <c r="CQ130" s="60"/>
      <c r="CR130" s="58"/>
      <c r="CS130" s="59"/>
      <c r="CT130" s="59"/>
      <c r="CU130" s="60"/>
      <c r="CV130" s="58"/>
      <c r="CW130" s="59"/>
      <c r="CX130" s="59"/>
      <c r="CY130" s="60"/>
      <c r="CZ130" s="61"/>
      <c r="DA130" s="102"/>
      <c r="DB130" s="102"/>
    </row>
    <row r="131" spans="1:106" ht="84.95" customHeight="1" thickBot="1" x14ac:dyDescent="0.6">
      <c r="A131" s="111"/>
      <c r="B131" s="112"/>
      <c r="C131" s="116"/>
      <c r="D131" s="116"/>
      <c r="E131" s="113"/>
      <c r="F131" s="114"/>
      <c r="G131" s="335"/>
      <c r="H131" s="118" t="s">
        <v>148</v>
      </c>
      <c r="I131" s="201"/>
      <c r="J131" s="58">
        <f t="shared" ref="J130:BZ131" si="348">J129*$F$12</f>
        <v>0</v>
      </c>
      <c r="K131" s="59">
        <f>K129*$F$12</f>
        <v>0</v>
      </c>
      <c r="L131" s="59">
        <f t="shared" si="348"/>
        <v>0</v>
      </c>
      <c r="M131" s="60">
        <f t="shared" si="348"/>
        <v>0</v>
      </c>
      <c r="N131" s="58">
        <f t="shared" si="348"/>
        <v>95090.373943487328</v>
      </c>
      <c r="O131" s="59">
        <f t="shared" si="348"/>
        <v>228216.89746436957</v>
      </c>
      <c r="P131" s="59">
        <f t="shared" si="348"/>
        <v>361343.42098525184</v>
      </c>
      <c r="Q131" s="60">
        <f t="shared" si="348"/>
        <v>513488.01929483155</v>
      </c>
      <c r="R131" s="58">
        <f t="shared" si="348"/>
        <v>3041031.4597948212</v>
      </c>
      <c r="S131" s="59">
        <f t="shared" si="348"/>
        <v>8018391.9888590304</v>
      </c>
      <c r="T131" s="59">
        <f t="shared" si="348"/>
        <v>14091941.717990166</v>
      </c>
      <c r="U131" s="60">
        <f t="shared" si="348"/>
        <v>20301626.554000534</v>
      </c>
      <c r="V131" s="58">
        <f t="shared" si="348"/>
        <v>27156518.833188273</v>
      </c>
      <c r="W131" s="59">
        <f t="shared" si="348"/>
        <v>33958511.370810486</v>
      </c>
      <c r="X131" s="59">
        <f t="shared" si="348"/>
        <v>40621357.803126022</v>
      </c>
      <c r="Y131" s="153">
        <f t="shared" si="348"/>
        <v>51862025.190250643</v>
      </c>
      <c r="Z131" s="60">
        <f t="shared" ref="Z131" si="349">Z129*$F$12</f>
        <v>63927269.153316222</v>
      </c>
      <c r="AA131" s="58">
        <f t="shared" si="348"/>
        <v>77707261.695961058</v>
      </c>
      <c r="AB131" s="59">
        <f t="shared" si="348"/>
        <v>92887442.979871303</v>
      </c>
      <c r="AC131" s="59">
        <f t="shared" si="348"/>
        <v>109637691.92558831</v>
      </c>
      <c r="AD131" s="60">
        <f t="shared" si="348"/>
        <v>134603655.53752297</v>
      </c>
      <c r="AE131" s="58">
        <f t="shared" si="348"/>
        <v>159907142.28491792</v>
      </c>
      <c r="AF131" s="59">
        <f t="shared" si="348"/>
        <v>182965656.99546409</v>
      </c>
      <c r="AG131" s="59">
        <f t="shared" si="348"/>
        <v>206897183.62754747</v>
      </c>
      <c r="AH131" s="59">
        <f t="shared" si="348"/>
        <v>225593587.40560776</v>
      </c>
      <c r="AI131" s="149">
        <f t="shared" ref="AI131" si="350">AI129*$F$12</f>
        <v>243993956.09648901</v>
      </c>
      <c r="AJ131" s="58">
        <f t="shared" si="348"/>
        <v>264346049.38048527</v>
      </c>
      <c r="AK131" s="59">
        <f t="shared" si="348"/>
        <v>285511769.30529135</v>
      </c>
      <c r="AL131" s="59">
        <f t="shared" si="348"/>
        <v>310379360.36801559</v>
      </c>
      <c r="AM131" s="60">
        <f t="shared" si="348"/>
        <v>334418232.64428914</v>
      </c>
      <c r="AN131" s="58">
        <f t="shared" si="348"/>
        <v>364038045.80151534</v>
      </c>
      <c r="AO131" s="59">
        <f t="shared" si="348"/>
        <v>388122394.38113463</v>
      </c>
      <c r="AP131" s="59">
        <f t="shared" si="348"/>
        <v>412206742.96075392</v>
      </c>
      <c r="AQ131" s="60">
        <f t="shared" si="348"/>
        <v>436586691.86963218</v>
      </c>
      <c r="AR131" s="58">
        <f t="shared" si="348"/>
        <v>457195761.64925349</v>
      </c>
      <c r="AS131" s="59">
        <f t="shared" si="348"/>
        <v>475183404.81229043</v>
      </c>
      <c r="AT131" s="59">
        <f t="shared" si="348"/>
        <v>493910598.35409492</v>
      </c>
      <c r="AU131" s="59">
        <f t="shared" si="348"/>
        <v>513214694.67831612</v>
      </c>
      <c r="AV131" s="149">
        <f t="shared" ref="AV131" si="351">AV129*$F$12</f>
        <v>527563682.0827418</v>
      </c>
      <c r="AW131" s="58">
        <f t="shared" si="348"/>
        <v>544339473.87680113</v>
      </c>
      <c r="AX131" s="59">
        <f t="shared" si="348"/>
        <v>556708302.1221118</v>
      </c>
      <c r="AY131" s="59">
        <f t="shared" si="348"/>
        <v>575655833.67085338</v>
      </c>
      <c r="AZ131" s="60">
        <f t="shared" si="348"/>
        <v>591734682.69574583</v>
      </c>
      <c r="BA131" s="58">
        <f t="shared" si="348"/>
        <v>612925570.04684079</v>
      </c>
      <c r="BB131" s="59">
        <f t="shared" si="348"/>
        <v>637245501.67111027</v>
      </c>
      <c r="BC131" s="59">
        <f t="shared" si="348"/>
        <v>654723847.23070526</v>
      </c>
      <c r="BD131" s="60">
        <f t="shared" si="348"/>
        <v>668169788.09921443</v>
      </c>
      <c r="BE131" s="58">
        <f t="shared" si="348"/>
        <v>681852333.66070306</v>
      </c>
      <c r="BF131" s="59">
        <f t="shared" si="348"/>
        <v>689944524.80996811</v>
      </c>
      <c r="BG131" s="59">
        <f t="shared" si="348"/>
        <v>695214032.67547309</v>
      </c>
      <c r="BH131" s="59">
        <f t="shared" si="348"/>
        <v>701060318.34962559</v>
      </c>
      <c r="BI131" s="149">
        <f t="shared" ref="BI131" si="352">BI129*$F$12</f>
        <v>704347907.23573196</v>
      </c>
      <c r="BJ131" s="58">
        <f t="shared" si="348"/>
        <v>714711588.35792851</v>
      </c>
      <c r="BK131" s="59">
        <f t="shared" si="348"/>
        <v>721363017.07478368</v>
      </c>
      <c r="BL131" s="59">
        <f t="shared" si="348"/>
        <v>727812595.87020469</v>
      </c>
      <c r="BM131" s="60">
        <f t="shared" si="348"/>
        <v>734262174.66562557</v>
      </c>
      <c r="BN131" s="58">
        <f t="shared" si="348"/>
        <v>739061797.71219051</v>
      </c>
      <c r="BO131" s="59">
        <f t="shared" si="348"/>
        <v>743861420.75875545</v>
      </c>
      <c r="BP131" s="59">
        <f t="shared" si="348"/>
        <v>746930710.37937772</v>
      </c>
      <c r="BQ131" s="60">
        <f t="shared" si="348"/>
        <v>750000000</v>
      </c>
      <c r="BR131" s="58">
        <f t="shared" si="348"/>
        <v>750000000</v>
      </c>
      <c r="BS131" s="59">
        <f t="shared" si="348"/>
        <v>750000000</v>
      </c>
      <c r="BT131" s="59">
        <f t="shared" si="348"/>
        <v>750000000</v>
      </c>
      <c r="BU131" s="153">
        <f t="shared" si="348"/>
        <v>750000000</v>
      </c>
      <c r="BV131" s="60">
        <f t="shared" ref="BV131" si="353">BV129*$F$12</f>
        <v>750000000</v>
      </c>
      <c r="BW131" s="58">
        <f t="shared" si="348"/>
        <v>750000000</v>
      </c>
      <c r="BX131" s="59">
        <f t="shared" si="348"/>
        <v>750000000</v>
      </c>
      <c r="BY131" s="59">
        <f t="shared" si="348"/>
        <v>750000000</v>
      </c>
      <c r="BZ131" s="60">
        <f t="shared" si="348"/>
        <v>750000000</v>
      </c>
      <c r="CA131" s="58">
        <f t="shared" ref="CA131:CM131" si="354">CA129*$F$12</f>
        <v>750000000</v>
      </c>
      <c r="CB131" s="59">
        <f t="shared" si="354"/>
        <v>750000000</v>
      </c>
      <c r="CC131" s="59">
        <f t="shared" si="354"/>
        <v>750000000</v>
      </c>
      <c r="CD131" s="60">
        <f t="shared" si="354"/>
        <v>750000000</v>
      </c>
      <c r="CE131" s="58">
        <f t="shared" si="354"/>
        <v>750000000</v>
      </c>
      <c r="CF131" s="59">
        <f t="shared" si="354"/>
        <v>750000000</v>
      </c>
      <c r="CG131" s="59">
        <f t="shared" si="354"/>
        <v>750000000</v>
      </c>
      <c r="CH131" s="59">
        <f t="shared" si="354"/>
        <v>750000000</v>
      </c>
      <c r="CI131" s="149">
        <f t="shared" si="354"/>
        <v>750000000</v>
      </c>
      <c r="CJ131" s="58">
        <f t="shared" si="354"/>
        <v>750000000</v>
      </c>
      <c r="CK131" s="59">
        <f t="shared" si="354"/>
        <v>750000000</v>
      </c>
      <c r="CL131" s="59">
        <f t="shared" si="354"/>
        <v>750000000</v>
      </c>
      <c r="CM131" s="60">
        <f t="shared" si="354"/>
        <v>750000000</v>
      </c>
      <c r="CN131" s="58"/>
      <c r="CO131" s="59"/>
      <c r="CP131" s="59"/>
      <c r="CQ131" s="60"/>
      <c r="CR131" s="58"/>
      <c r="CS131" s="59"/>
      <c r="CT131" s="59"/>
      <c r="CU131" s="60"/>
      <c r="CV131" s="58"/>
      <c r="CW131" s="59"/>
      <c r="CX131" s="59"/>
      <c r="CY131" s="60"/>
      <c r="CZ131" s="61"/>
      <c r="DA131" s="102"/>
      <c r="DB131" s="102"/>
    </row>
    <row r="132" spans="1:106" ht="39.75" x14ac:dyDescent="0.55000000000000004">
      <c r="A132" s="111"/>
      <c r="B132" s="112"/>
      <c r="C132" s="116"/>
      <c r="D132" s="116"/>
      <c r="E132" s="113"/>
      <c r="F132" s="114"/>
      <c r="G132" s="336" t="s">
        <v>135</v>
      </c>
      <c r="H132" s="110" t="s">
        <v>138</v>
      </c>
      <c r="I132" s="202"/>
      <c r="J132" s="313">
        <f>SUM(J128:M128)</f>
        <v>0</v>
      </c>
      <c r="K132" s="311"/>
      <c r="L132" s="311"/>
      <c r="M132" s="312"/>
      <c r="N132" s="313">
        <f>SUM(N128:Q128)</f>
        <v>6.8465069239310875E-4</v>
      </c>
      <c r="O132" s="311"/>
      <c r="P132" s="311"/>
      <c r="Q132" s="312"/>
      <c r="R132" s="313">
        <f>SUM(R128:U128)</f>
        <v>2.638418471294094E-2</v>
      </c>
      <c r="S132" s="311"/>
      <c r="T132" s="311"/>
      <c r="U132" s="312"/>
      <c r="V132" s="301">
        <f>SUM(V128:Z128)</f>
        <v>5.8167523465754253E-2</v>
      </c>
      <c r="W132" s="302"/>
      <c r="X132" s="302"/>
      <c r="Y132" s="302"/>
      <c r="Z132" s="303"/>
      <c r="AA132" s="313">
        <f>SUM(AA128:AD128)</f>
        <v>9.4235181845609001E-2</v>
      </c>
      <c r="AB132" s="311"/>
      <c r="AC132" s="311"/>
      <c r="AD132" s="312"/>
      <c r="AE132" s="301">
        <f>SUM(AE128:AI128)</f>
        <v>0.14585373407862143</v>
      </c>
      <c r="AF132" s="302"/>
      <c r="AG132" s="302"/>
      <c r="AH132" s="302"/>
      <c r="AI132" s="303"/>
      <c r="AJ132" s="313">
        <f>SUM(AJ128:AM128)</f>
        <v>0.1205657020637335</v>
      </c>
      <c r="AK132" s="311"/>
      <c r="AL132" s="311"/>
      <c r="AM132" s="312"/>
      <c r="AN132" s="313">
        <f>SUM(AN128:AQ128)</f>
        <v>0.13622461230045735</v>
      </c>
      <c r="AO132" s="311"/>
      <c r="AP132" s="311"/>
      <c r="AQ132" s="312"/>
      <c r="AR132" s="313">
        <f>SUM(AR128:AV128)</f>
        <v>0.12130265361747945</v>
      </c>
      <c r="AS132" s="311"/>
      <c r="AT132" s="311"/>
      <c r="AU132" s="311"/>
      <c r="AV132" s="155"/>
      <c r="AW132" s="313">
        <f>SUM(AW128:AZ128)</f>
        <v>8.5561334150672019E-2</v>
      </c>
      <c r="AX132" s="311"/>
      <c r="AY132" s="311"/>
      <c r="AZ132" s="312"/>
      <c r="BA132" s="313">
        <f>SUM(BA128:BD128)</f>
        <v>0.10191347387129147</v>
      </c>
      <c r="BB132" s="311"/>
      <c r="BC132" s="311"/>
      <c r="BD132" s="312"/>
      <c r="BE132" s="301">
        <f>SUM(BE128:BH128)</f>
        <v>4.3854040333881732E-2</v>
      </c>
      <c r="BF132" s="302"/>
      <c r="BG132" s="302"/>
      <c r="BH132" s="302"/>
      <c r="BI132" s="303"/>
      <c r="BJ132" s="313">
        <f>SUM(BJ128:BM128)</f>
        <v>3.9885689906524802E-2</v>
      </c>
      <c r="BK132" s="311"/>
      <c r="BL132" s="311"/>
      <c r="BM132" s="312"/>
      <c r="BN132" s="313">
        <f>SUM(BN128:BQ128)</f>
        <v>2.0983767112499323E-2</v>
      </c>
      <c r="BO132" s="311"/>
      <c r="BP132" s="311"/>
      <c r="BQ132" s="312"/>
      <c r="BR132" s="301">
        <f>SUM(BR128:BU128)</f>
        <v>0</v>
      </c>
      <c r="BS132" s="302"/>
      <c r="BT132" s="302"/>
      <c r="BU132" s="302"/>
      <c r="BV132" s="303"/>
      <c r="BW132" s="313">
        <f>SUM(BW128:BZ128)</f>
        <v>0</v>
      </c>
      <c r="BX132" s="311"/>
      <c r="BY132" s="311"/>
      <c r="BZ132" s="312"/>
      <c r="CA132" s="313">
        <f>SUM(CA128:CD128)</f>
        <v>0</v>
      </c>
      <c r="CB132" s="311"/>
      <c r="CC132" s="311"/>
      <c r="CD132" s="312"/>
      <c r="CE132" s="313">
        <f>SUM(CE128:CH128)</f>
        <v>0</v>
      </c>
      <c r="CF132" s="311"/>
      <c r="CG132" s="311"/>
      <c r="CH132" s="311"/>
      <c r="CI132" s="155"/>
      <c r="CJ132" s="313">
        <f>SUM(CJ128:CM128)</f>
        <v>0</v>
      </c>
      <c r="CK132" s="311"/>
      <c r="CL132" s="311"/>
      <c r="CM132" s="312"/>
      <c r="CN132" s="313">
        <f>SUM(CN128:CQ128)</f>
        <v>0</v>
      </c>
      <c r="CO132" s="311"/>
      <c r="CP132" s="311"/>
      <c r="CQ132" s="312"/>
      <c r="CR132" s="313">
        <f>SUM(CR128:CU128)</f>
        <v>0</v>
      </c>
      <c r="CS132" s="311"/>
      <c r="CT132" s="311"/>
      <c r="CU132" s="312"/>
      <c r="CV132" s="313">
        <f>SUM(CV128:CY128)</f>
        <v>0</v>
      </c>
      <c r="CW132" s="311"/>
      <c r="CX132" s="311"/>
      <c r="CY132" s="312"/>
      <c r="CZ132" s="62"/>
      <c r="DA132" s="102"/>
      <c r="DB132" s="102"/>
    </row>
    <row r="133" spans="1:106" ht="39.75" x14ac:dyDescent="0.55000000000000004">
      <c r="A133" s="111"/>
      <c r="B133" s="112"/>
      <c r="C133" s="116"/>
      <c r="D133" s="116"/>
      <c r="E133" s="113"/>
      <c r="F133" s="114"/>
      <c r="G133" s="337"/>
      <c r="H133" s="115" t="s">
        <v>145</v>
      </c>
      <c r="I133" s="201"/>
      <c r="J133" s="313">
        <f>J132</f>
        <v>0</v>
      </c>
      <c r="K133" s="311"/>
      <c r="L133" s="311"/>
      <c r="M133" s="312"/>
      <c r="N133" s="313">
        <f>J133+N132</f>
        <v>6.8465069239310875E-4</v>
      </c>
      <c r="O133" s="311"/>
      <c r="P133" s="311"/>
      <c r="Q133" s="312"/>
      <c r="R133" s="313">
        <f>N133+R132</f>
        <v>2.706883540533405E-2</v>
      </c>
      <c r="S133" s="311"/>
      <c r="T133" s="311"/>
      <c r="U133" s="312"/>
      <c r="V133" s="301">
        <f>R133+V132</f>
        <v>8.5236358871088297E-2</v>
      </c>
      <c r="W133" s="302"/>
      <c r="X133" s="302"/>
      <c r="Y133" s="302"/>
      <c r="Z133" s="303"/>
      <c r="AA133" s="313">
        <f t="shared" ref="AA133" si="355">V133+AA132</f>
        <v>0.1794715407166973</v>
      </c>
      <c r="AB133" s="311"/>
      <c r="AC133" s="311"/>
      <c r="AD133" s="312"/>
      <c r="AE133" s="301">
        <f>AA133+AE132</f>
        <v>0.3253252747953187</v>
      </c>
      <c r="AF133" s="302"/>
      <c r="AG133" s="302"/>
      <c r="AH133" s="302"/>
      <c r="AI133" s="303"/>
      <c r="AJ133" s="313">
        <f t="shared" ref="AJ133" si="356">AE133+AJ132</f>
        <v>0.44589097685905221</v>
      </c>
      <c r="AK133" s="311"/>
      <c r="AL133" s="311"/>
      <c r="AM133" s="312"/>
      <c r="AN133" s="313">
        <f t="shared" ref="AN133" si="357">AJ133+AN132</f>
        <v>0.58211558915950956</v>
      </c>
      <c r="AO133" s="311"/>
      <c r="AP133" s="311"/>
      <c r="AQ133" s="312"/>
      <c r="AR133" s="313">
        <f t="shared" ref="AR133" si="358">AN133+AR132</f>
        <v>0.70341824277698906</v>
      </c>
      <c r="AS133" s="311"/>
      <c r="AT133" s="311"/>
      <c r="AU133" s="311"/>
      <c r="AV133" s="155"/>
      <c r="AW133" s="313">
        <f t="shared" ref="AW133" si="359">AR133+AW132</f>
        <v>0.78897957692766107</v>
      </c>
      <c r="AX133" s="311"/>
      <c r="AY133" s="311"/>
      <c r="AZ133" s="312"/>
      <c r="BA133" s="313">
        <f t="shared" ref="BA133" si="360">AW133+BA132</f>
        <v>0.89089305079895253</v>
      </c>
      <c r="BB133" s="311"/>
      <c r="BC133" s="311"/>
      <c r="BD133" s="312"/>
      <c r="BE133" s="301">
        <f t="shared" ref="BE133" si="361">BA133+BE132</f>
        <v>0.93474709113283427</v>
      </c>
      <c r="BF133" s="302"/>
      <c r="BG133" s="302"/>
      <c r="BH133" s="302"/>
      <c r="BI133" s="303"/>
      <c r="BJ133" s="313">
        <f>BE133+BJ132</f>
        <v>0.97463278103935913</v>
      </c>
      <c r="BK133" s="311"/>
      <c r="BL133" s="311"/>
      <c r="BM133" s="312"/>
      <c r="BN133" s="313">
        <f t="shared" ref="BN133" si="362">BJ133+BN132</f>
        <v>0.9956165481518584</v>
      </c>
      <c r="BO133" s="311"/>
      <c r="BP133" s="311"/>
      <c r="BQ133" s="312"/>
      <c r="BR133" s="301">
        <f t="shared" ref="BR133" si="363">BN133+BR132</f>
        <v>0.9956165481518584</v>
      </c>
      <c r="BS133" s="302"/>
      <c r="BT133" s="302"/>
      <c r="BU133" s="302"/>
      <c r="BV133" s="303"/>
      <c r="BW133" s="313">
        <f t="shared" ref="BW133" si="364">BR133+BW132</f>
        <v>0.9956165481518584</v>
      </c>
      <c r="BX133" s="311"/>
      <c r="BY133" s="311"/>
      <c r="BZ133" s="312"/>
      <c r="CA133" s="313">
        <f t="shared" ref="CA133" si="365">BW133+CA132</f>
        <v>0.9956165481518584</v>
      </c>
      <c r="CB133" s="311"/>
      <c r="CC133" s="311"/>
      <c r="CD133" s="312"/>
      <c r="CE133" s="313">
        <f t="shared" ref="CE133" si="366">CA133+CE132</f>
        <v>0.9956165481518584</v>
      </c>
      <c r="CF133" s="311"/>
      <c r="CG133" s="311"/>
      <c r="CH133" s="311"/>
      <c r="CI133" s="155"/>
      <c r="CJ133" s="313">
        <f t="shared" ref="CJ133" si="367">CE133+CJ132</f>
        <v>0.9956165481518584</v>
      </c>
      <c r="CK133" s="311"/>
      <c r="CL133" s="311"/>
      <c r="CM133" s="312"/>
      <c r="CN133" s="313">
        <f t="shared" ref="CN133" si="368">CJ133+CN132</f>
        <v>0.9956165481518584</v>
      </c>
      <c r="CO133" s="311"/>
      <c r="CP133" s="311"/>
      <c r="CQ133" s="312"/>
      <c r="CR133" s="313">
        <f t="shared" ref="CR133" si="369">CN133+CR132</f>
        <v>0.9956165481518584</v>
      </c>
      <c r="CS133" s="311"/>
      <c r="CT133" s="311"/>
      <c r="CU133" s="312"/>
      <c r="CV133" s="313">
        <f t="shared" ref="CV133" si="370">CR133+CV132</f>
        <v>0.9956165481518584</v>
      </c>
      <c r="CW133" s="311"/>
      <c r="CX133" s="311"/>
      <c r="CY133" s="312"/>
      <c r="CZ133" s="62"/>
      <c r="DA133" s="102"/>
      <c r="DB133" s="102"/>
    </row>
    <row r="134" spans="1:106" ht="23.25" customHeight="1" x14ac:dyDescent="0.55000000000000004">
      <c r="A134" s="111"/>
      <c r="B134" s="112"/>
      <c r="C134" s="116"/>
      <c r="D134" s="116"/>
      <c r="E134" s="113"/>
      <c r="F134" s="114"/>
      <c r="G134" s="337"/>
      <c r="H134" s="120" t="s">
        <v>136</v>
      </c>
      <c r="I134" s="203"/>
      <c r="J134" s="304">
        <f>SUM(J130:M130)</f>
        <v>0</v>
      </c>
      <c r="K134" s="302"/>
      <c r="L134" s="302"/>
      <c r="M134" s="303"/>
      <c r="N134" s="310">
        <f>SUM(N130:Q130)</f>
        <v>96729.293774808</v>
      </c>
      <c r="O134" s="311"/>
      <c r="P134" s="311"/>
      <c r="Q134" s="312"/>
      <c r="R134" s="310">
        <f>SUM(R130:U130)</f>
        <v>3727628.6761446791</v>
      </c>
      <c r="S134" s="311"/>
      <c r="T134" s="311"/>
      <c r="U134" s="312"/>
      <c r="V134" s="304">
        <f>SUM(V130:Z130)</f>
        <v>8218064.3764563473</v>
      </c>
      <c r="W134" s="305"/>
      <c r="X134" s="305"/>
      <c r="Y134" s="305"/>
      <c r="Z134" s="306"/>
      <c r="AA134" s="310">
        <f>SUM(AA130:AD130)</f>
        <v>13313800.292533107</v>
      </c>
      <c r="AB134" s="311"/>
      <c r="AC134" s="311"/>
      <c r="AD134" s="312"/>
      <c r="AE134" s="304">
        <f>SUM(AE130:AI130)</f>
        <v>20606608.375038434</v>
      </c>
      <c r="AF134" s="305"/>
      <c r="AG134" s="305"/>
      <c r="AH134" s="305"/>
      <c r="AI134" s="306"/>
      <c r="AJ134" s="310">
        <f>SUM(AJ130:AM130)</f>
        <v>17033847.104316808</v>
      </c>
      <c r="AK134" s="311"/>
      <c r="AL134" s="311"/>
      <c r="AM134" s="312"/>
      <c r="AN134" s="310">
        <f>SUM(AN130:AQ130)</f>
        <v>19246180.116333567</v>
      </c>
      <c r="AO134" s="311"/>
      <c r="AP134" s="311"/>
      <c r="AQ134" s="312"/>
      <c r="AR134" s="304">
        <f>SUM(AR130:AV130)</f>
        <v>17137965.604644217</v>
      </c>
      <c r="AS134" s="305"/>
      <c r="AT134" s="305"/>
      <c r="AU134" s="305"/>
      <c r="AV134" s="306"/>
      <c r="AW134" s="310">
        <f>SUM(AW130:AZ130)</f>
        <v>12088335.729123652</v>
      </c>
      <c r="AX134" s="311"/>
      <c r="AY134" s="311"/>
      <c r="AZ134" s="312"/>
      <c r="BA134" s="310">
        <f>SUM(BA130:BD130)</f>
        <v>14398610.069683757</v>
      </c>
      <c r="BB134" s="311"/>
      <c r="BC134" s="311"/>
      <c r="BD134" s="312"/>
      <c r="BE134" s="304">
        <f>SUM(BE130:BH130)</f>
        <v>6195816.9294199655</v>
      </c>
      <c r="BF134" s="305"/>
      <c r="BG134" s="305"/>
      <c r="BH134" s="305"/>
      <c r="BI134" s="306"/>
      <c r="BJ134" s="310">
        <f>SUM(BJ130:BM130)</f>
        <v>5635157.6931786723</v>
      </c>
      <c r="BK134" s="311"/>
      <c r="BL134" s="311"/>
      <c r="BM134" s="312"/>
      <c r="BN134" s="310">
        <f>SUM(BN130:BQ130)</f>
        <v>2964643.1327373497</v>
      </c>
      <c r="BO134" s="311"/>
      <c r="BP134" s="311"/>
      <c r="BQ134" s="312"/>
      <c r="BR134" s="304">
        <f>SUM(BR130:BU130)</f>
        <v>0</v>
      </c>
      <c r="BS134" s="305"/>
      <c r="BT134" s="305"/>
      <c r="BU134" s="305"/>
      <c r="BV134" s="306"/>
      <c r="BW134" s="310">
        <f>SUM(BW130:BZ130)</f>
        <v>0</v>
      </c>
      <c r="BX134" s="311"/>
      <c r="BY134" s="311"/>
      <c r="BZ134" s="312"/>
      <c r="CA134" s="310">
        <f>SUM(CA130:CD130)</f>
        <v>0</v>
      </c>
      <c r="CB134" s="311"/>
      <c r="CC134" s="311"/>
      <c r="CD134" s="312"/>
      <c r="CE134" s="310">
        <f>SUM(CE130:CH130)</f>
        <v>0</v>
      </c>
      <c r="CF134" s="311"/>
      <c r="CG134" s="311"/>
      <c r="CH134" s="311"/>
      <c r="CI134" s="155"/>
      <c r="CJ134" s="310">
        <f>SUM(CJ130:CM130)</f>
        <v>0</v>
      </c>
      <c r="CK134" s="311"/>
      <c r="CL134" s="311"/>
      <c r="CM134" s="312"/>
      <c r="CN134" s="310">
        <f>SUM(CN130:CQ130)</f>
        <v>0</v>
      </c>
      <c r="CO134" s="311"/>
      <c r="CP134" s="311"/>
      <c r="CQ134" s="312"/>
      <c r="CR134" s="310">
        <f>SUM(CR130:CU130)</f>
        <v>0</v>
      </c>
      <c r="CS134" s="311"/>
      <c r="CT134" s="311"/>
      <c r="CU134" s="312"/>
      <c r="CV134" s="310">
        <f>SUM(CV130:CY130)</f>
        <v>0</v>
      </c>
      <c r="CW134" s="311"/>
      <c r="CX134" s="311"/>
      <c r="CY134" s="312"/>
      <c r="CZ134" s="62"/>
      <c r="DA134" s="102"/>
      <c r="DB134" s="102"/>
    </row>
    <row r="135" spans="1:106" ht="23.25" customHeight="1" thickBot="1" x14ac:dyDescent="0.6">
      <c r="A135" s="111"/>
      <c r="B135" s="112"/>
      <c r="C135" s="116"/>
      <c r="D135" s="116"/>
      <c r="E135" s="121"/>
      <c r="F135" s="122"/>
      <c r="G135" s="337"/>
      <c r="H135" s="123" t="s">
        <v>139</v>
      </c>
      <c r="I135" s="204"/>
      <c r="J135" s="304">
        <f>J134</f>
        <v>0</v>
      </c>
      <c r="K135" s="302"/>
      <c r="L135" s="302"/>
      <c r="M135" s="303"/>
      <c r="N135" s="310">
        <f>N134+J135</f>
        <v>96729.293774808</v>
      </c>
      <c r="O135" s="311"/>
      <c r="P135" s="311"/>
      <c r="Q135" s="312"/>
      <c r="R135" s="310">
        <f>R134+N135</f>
        <v>3824357.9699194869</v>
      </c>
      <c r="S135" s="311"/>
      <c r="T135" s="311"/>
      <c r="U135" s="312"/>
      <c r="V135" s="307">
        <f>V134+R135</f>
        <v>12042422.346375834</v>
      </c>
      <c r="W135" s="308"/>
      <c r="X135" s="308"/>
      <c r="Y135" s="308"/>
      <c r="Z135" s="309"/>
      <c r="AA135" s="310">
        <f t="shared" ref="AA135" si="371">AA134+V135</f>
        <v>25356222.638908941</v>
      </c>
      <c r="AB135" s="311"/>
      <c r="AC135" s="311"/>
      <c r="AD135" s="312"/>
      <c r="AE135" s="307">
        <f>AE134+AA135</f>
        <v>45962831.013947375</v>
      </c>
      <c r="AF135" s="308"/>
      <c r="AG135" s="308"/>
      <c r="AH135" s="308"/>
      <c r="AI135" s="309"/>
      <c r="AJ135" s="310">
        <f t="shared" ref="AJ135" si="372">AJ134+AE135</f>
        <v>62996678.118264183</v>
      </c>
      <c r="AK135" s="311"/>
      <c r="AL135" s="311"/>
      <c r="AM135" s="312"/>
      <c r="AN135" s="310">
        <f t="shared" ref="AN135" si="373">AN134+AJ135</f>
        <v>82242858.234597743</v>
      </c>
      <c r="AO135" s="311"/>
      <c r="AP135" s="311"/>
      <c r="AQ135" s="312"/>
      <c r="AR135" s="307">
        <f t="shared" ref="AR135" si="374">AR134+AN135</f>
        <v>99380823.839241952</v>
      </c>
      <c r="AS135" s="308"/>
      <c r="AT135" s="308"/>
      <c r="AU135" s="308"/>
      <c r="AV135" s="309"/>
      <c r="AW135" s="310">
        <f t="shared" ref="AW135" si="375">AW134+AR135</f>
        <v>111469159.5683656</v>
      </c>
      <c r="AX135" s="311"/>
      <c r="AY135" s="311"/>
      <c r="AZ135" s="312"/>
      <c r="BA135" s="310">
        <f t="shared" ref="BA135" si="376">BA134+AW135</f>
        <v>125867769.63804936</v>
      </c>
      <c r="BB135" s="311"/>
      <c r="BC135" s="311"/>
      <c r="BD135" s="312"/>
      <c r="BE135" s="307">
        <f t="shared" ref="BE135" si="377">BE134+BA135</f>
        <v>132063586.56746933</v>
      </c>
      <c r="BF135" s="308"/>
      <c r="BG135" s="308"/>
      <c r="BH135" s="308"/>
      <c r="BI135" s="309"/>
      <c r="BJ135" s="310">
        <f t="shared" ref="BJ135" si="378">BJ134+BE135</f>
        <v>137698744.26064801</v>
      </c>
      <c r="BK135" s="311"/>
      <c r="BL135" s="311"/>
      <c r="BM135" s="312"/>
      <c r="BN135" s="310">
        <f t="shared" ref="BN135" si="379">BN134+BJ135</f>
        <v>140663387.39338535</v>
      </c>
      <c r="BO135" s="311"/>
      <c r="BP135" s="311"/>
      <c r="BQ135" s="312"/>
      <c r="BR135" s="307">
        <f t="shared" ref="BR135" si="380">BR134+BN135</f>
        <v>140663387.39338535</v>
      </c>
      <c r="BS135" s="308"/>
      <c r="BT135" s="308"/>
      <c r="BU135" s="308"/>
      <c r="BV135" s="309"/>
      <c r="BW135" s="310">
        <f t="shared" ref="BW135" si="381">BW134+BR135</f>
        <v>140663387.39338535</v>
      </c>
      <c r="BX135" s="311"/>
      <c r="BY135" s="311"/>
      <c r="BZ135" s="312"/>
      <c r="CA135" s="310">
        <f t="shared" ref="CA135" si="382">CA134+BW135</f>
        <v>140663387.39338535</v>
      </c>
      <c r="CB135" s="311"/>
      <c r="CC135" s="311"/>
      <c r="CD135" s="312"/>
      <c r="CE135" s="310">
        <f t="shared" ref="CE135" si="383">CE134+CA135</f>
        <v>140663387.39338535</v>
      </c>
      <c r="CF135" s="311"/>
      <c r="CG135" s="311"/>
      <c r="CH135" s="311"/>
      <c r="CI135" s="155"/>
      <c r="CJ135" s="310">
        <f t="shared" ref="CJ135" si="384">CJ134+CE135</f>
        <v>140663387.39338535</v>
      </c>
      <c r="CK135" s="311"/>
      <c r="CL135" s="311"/>
      <c r="CM135" s="312"/>
      <c r="CN135" s="310">
        <f t="shared" ref="CN135" si="385">CN134+CJ135</f>
        <v>140663387.39338535</v>
      </c>
      <c r="CO135" s="311"/>
      <c r="CP135" s="311"/>
      <c r="CQ135" s="312"/>
      <c r="CR135" s="310">
        <f t="shared" ref="CR135" si="386">CR134+CN135</f>
        <v>140663387.39338535</v>
      </c>
      <c r="CS135" s="311"/>
      <c r="CT135" s="311"/>
      <c r="CU135" s="312"/>
      <c r="CV135" s="310">
        <f t="shared" ref="CV135" si="387">CV134+CR135</f>
        <v>140663387.39338535</v>
      </c>
      <c r="CW135" s="311"/>
      <c r="CX135" s="311"/>
      <c r="CY135" s="312"/>
      <c r="CZ135" s="62"/>
      <c r="DA135" s="102"/>
      <c r="DB135" s="102"/>
    </row>
    <row r="136" spans="1:106" s="37" customFormat="1" ht="16.5" customHeight="1" thickBot="1" x14ac:dyDescent="0.6">
      <c r="A136" s="124"/>
      <c r="B136" s="125"/>
      <c r="C136" s="125"/>
      <c r="D136" s="125"/>
      <c r="E136" s="126"/>
      <c r="F136" s="126"/>
      <c r="G136" s="127"/>
      <c r="H136" s="128"/>
      <c r="I136" s="128"/>
      <c r="J136" s="63"/>
      <c r="K136" s="64"/>
      <c r="L136" s="64"/>
      <c r="M136" s="65"/>
      <c r="N136" s="66"/>
      <c r="O136" s="64"/>
      <c r="P136" s="64"/>
      <c r="Q136" s="65"/>
      <c r="R136" s="67"/>
      <c r="S136" s="64"/>
      <c r="T136" s="64"/>
      <c r="U136" s="65"/>
      <c r="V136" s="66"/>
      <c r="W136" s="64"/>
      <c r="X136" s="64"/>
      <c r="Y136" s="68"/>
      <c r="Z136" s="65"/>
      <c r="AA136" s="66"/>
      <c r="AB136" s="64"/>
      <c r="AC136" s="64"/>
      <c r="AD136" s="65"/>
      <c r="AE136" s="67"/>
      <c r="AF136" s="64"/>
      <c r="AG136" s="64"/>
      <c r="AH136" s="68"/>
      <c r="AI136" s="65"/>
      <c r="AJ136" s="66"/>
      <c r="AK136" s="64"/>
      <c r="AL136" s="64"/>
      <c r="AM136" s="65"/>
      <c r="AN136" s="66"/>
      <c r="AO136" s="64"/>
      <c r="AP136" s="64"/>
      <c r="AQ136" s="65"/>
      <c r="AR136" s="66"/>
      <c r="AS136" s="64"/>
      <c r="AT136" s="64"/>
      <c r="AU136" s="68"/>
      <c r="AV136" s="65"/>
      <c r="AW136" s="66"/>
      <c r="AX136" s="64"/>
      <c r="AY136" s="64"/>
      <c r="AZ136" s="68"/>
      <c r="BA136" s="66"/>
      <c r="BB136" s="64"/>
      <c r="BC136" s="64"/>
      <c r="BD136" s="65"/>
      <c r="BE136" s="69"/>
      <c r="BF136" s="70"/>
      <c r="BG136" s="70"/>
      <c r="BH136" s="156"/>
      <c r="BI136" s="71"/>
      <c r="BJ136" s="69"/>
      <c r="BK136" s="70"/>
      <c r="BL136" s="70"/>
      <c r="BM136" s="71"/>
      <c r="BN136" s="69"/>
      <c r="BO136" s="70"/>
      <c r="BP136" s="70"/>
      <c r="BQ136" s="71"/>
      <c r="BR136" s="72"/>
      <c r="BS136" s="72"/>
      <c r="BT136" s="72"/>
      <c r="BU136" s="73"/>
      <c r="BV136" s="71"/>
      <c r="BW136" s="69"/>
      <c r="BX136" s="70"/>
      <c r="BY136" s="70"/>
      <c r="BZ136" s="71"/>
      <c r="CA136" s="69"/>
      <c r="CB136" s="70"/>
      <c r="CC136" s="70"/>
      <c r="CD136" s="71"/>
      <c r="CE136" s="69"/>
      <c r="CF136" s="70"/>
      <c r="CG136" s="70"/>
      <c r="CH136" s="156"/>
      <c r="CI136" s="71"/>
      <c r="CJ136" s="69"/>
      <c r="CK136" s="70"/>
      <c r="CL136" s="70"/>
      <c r="CM136" s="71"/>
      <c r="CN136" s="69"/>
      <c r="CO136" s="70"/>
      <c r="CP136" s="70"/>
      <c r="CQ136" s="71"/>
      <c r="CR136" s="69"/>
      <c r="CS136" s="70"/>
      <c r="CT136" s="70"/>
      <c r="CU136" s="71"/>
      <c r="CV136" s="69"/>
      <c r="CW136" s="70"/>
      <c r="CX136" s="70"/>
      <c r="CY136" s="71"/>
      <c r="CZ136" s="74"/>
      <c r="DA136" s="129"/>
      <c r="DB136" s="129"/>
    </row>
    <row r="137" spans="1:106" s="37" customFormat="1" ht="75" customHeight="1" thickBot="1" x14ac:dyDescent="0.6">
      <c r="A137" s="130"/>
      <c r="B137" s="191"/>
      <c r="C137" s="131"/>
      <c r="D137" s="131"/>
      <c r="E137" s="133" t="s">
        <v>133</v>
      </c>
      <c r="F137" s="132" t="s">
        <v>133</v>
      </c>
      <c r="G137" s="314" t="s">
        <v>140</v>
      </c>
      <c r="H137" s="134" t="s">
        <v>146</v>
      </c>
      <c r="I137" s="205"/>
      <c r="J137" s="75" cm="1">
        <f t="array" ref="J137">SUMPRODUCT((J14:J127&gt;0)*($G$14:$G$127="A")*J14:J127*$F$14:$F$127/$F$14)</f>
        <v>0</v>
      </c>
      <c r="K137" s="76" cm="1">
        <f t="array" ref="K137">SUMPRODUCT((K14:K127&gt;0)*($G$14:$G$127="A")*K14:K127*$F$14:$F$127/$F$14)</f>
        <v>0</v>
      </c>
      <c r="L137" s="76" cm="1">
        <f t="array" ref="L137">SUMPRODUCT((L14:L127&gt;0)*($G$14:$G$127="A")*L14:L127*$F$14:$F$127/$F$14)</f>
        <v>0</v>
      </c>
      <c r="M137" s="77" cm="1">
        <f t="array" ref="M137">SUMPRODUCT((M14:M127&gt;0)*($G$14:$G$127="A")*M14:M127*$F$14:$F$127/$F$14)</f>
        <v>0</v>
      </c>
      <c r="N137" s="75" cm="1">
        <f t="array" ref="N137">SUMPRODUCT((N14:N127&gt;0)*($G$14:$G$127="A")*N14:N127*$F$14:$F$127/$F$14)</f>
        <v>0</v>
      </c>
      <c r="O137" s="76" cm="1">
        <f t="array" ref="O137">SUMPRODUCT((O14:O127&gt;0)*($G$14:$G$127="A")*O14:O127*$F$14:$F$127/$F$14)</f>
        <v>0</v>
      </c>
      <c r="P137" s="76" cm="1">
        <f t="array" ref="P137">SUMPRODUCT((P14:P127&gt;0)*($G$14:$G$127="A")*P14:P127*$F$14:$F$127/$F$14)</f>
        <v>0</v>
      </c>
      <c r="Q137" s="77" cm="1">
        <f t="array" ref="Q137">SUMPRODUCT((Q14:Q127&gt;0)*($G$14:$G$127="A")*Q14:Q127*$F$14:$F$127/$F$14)</f>
        <v>0</v>
      </c>
      <c r="R137" s="75" cm="1">
        <f t="array" ref="R137">SUMPRODUCT((R14:R127&gt;0)*($G$14:$G$127="A")*R14:R127*$F$14:$F$127/$F$14)</f>
        <v>5.0714866103193243E-5</v>
      </c>
      <c r="S137" s="76" cm="1">
        <f t="array" ref="S137">SUMPRODUCT((S14:S127&gt;0)*($G$14:$G$127="A")*S14:S127*$F$14:$F$127/$F$14)</f>
        <v>1.2678716525798311E-4</v>
      </c>
      <c r="T137" s="76" cm="1">
        <f t="array" ref="T137">SUMPRODUCT((T14:T127&gt;0)*($G$14:$G$127="A")*T14:T127*$F$14:$F$127/$F$14)</f>
        <v>1.2678716525798311E-4</v>
      </c>
      <c r="U137" s="77" cm="1">
        <f t="array" ref="U137">SUMPRODUCT((U14:U127&gt;0)*($G$14:$G$127="A")*U14:U127*$F$14:$F$127/$F$14)</f>
        <v>2.0285946441277297E-4</v>
      </c>
      <c r="V137" s="75" cm="1">
        <f t="array" ref="V137">SUMPRODUCT((V14:V127&gt;0)*($G$14:$G$127="A")*V14:V127*$F$14:$F$127/$F$14)</f>
        <v>2.0285946441277297E-4</v>
      </c>
      <c r="W137" s="76" cm="1">
        <f t="array" ref="W137">SUMPRODUCT((W14:W127&gt;0)*($G$14:$G$127="A")*W14:W127*$F$14:$F$127/$F$14)</f>
        <v>1.2678716525798311E-4</v>
      </c>
      <c r="X137" s="76" cm="1">
        <f t="array" ref="X137">SUMPRODUCT((X14:X127&gt;0)*($G$14:$G$127="A")*X14:X127*$F$14:$F$127/$F$14)</f>
        <v>1.2678716525798311E-4</v>
      </c>
      <c r="Y137" s="154" cm="1">
        <f t="array" ref="Y137">SUMPRODUCT((Y14:Y127&gt;0)*($G$14:$G$127="A")*Y14:Y127*$F$14:$F$127/$F$14)</f>
        <v>1.2678716525798311E-4</v>
      </c>
      <c r="Z137" s="77" cm="1">
        <f t="array" ref="Z137">SUMPRODUCT((Z14:Z127&gt;0)*($G$14:$G$127="A")*Z14:Z127*$F$14:$F$127/$F$14)</f>
        <v>1.2678716525798311E-4</v>
      </c>
      <c r="AA137" s="75" cm="1">
        <f t="array" ref="AA137">SUMPRODUCT((AA14:AA127&gt;0)*($G$14:$G$127="A")*AA14:AA127*$F$14:$F$127/$F$14)</f>
        <v>2.0285946441277297E-4</v>
      </c>
      <c r="AB137" s="76" cm="1">
        <f t="array" ref="AB137">SUMPRODUCT((AB14:AB127&gt;0)*($G$14:$G$127="A")*AB14:AB127*$F$14:$F$127/$F$14)</f>
        <v>2.0285946441277297E-4</v>
      </c>
      <c r="AC137" s="76" cm="1">
        <f t="array" ref="AC137">SUMPRODUCT((AC14:AC127&gt;0)*($G$14:$G$127="A")*AC14:AC127*$F$14:$F$127/$F$14)</f>
        <v>2.0285946441277297E-4</v>
      </c>
      <c r="AD137" s="77" cm="1">
        <f t="array" ref="AD137">SUMPRODUCT((AD14:AD127&gt;0)*($G$14:$G$127="A")*AD14:AD127*$F$14:$F$127/$F$14)</f>
        <v>1.0142973220638649E-4</v>
      </c>
      <c r="AE137" s="75"/>
      <c r="AF137" s="76"/>
      <c r="AG137" s="76"/>
      <c r="AH137" s="154"/>
      <c r="AI137" s="77"/>
      <c r="AJ137" s="75"/>
      <c r="AK137" s="76"/>
      <c r="AL137" s="76"/>
      <c r="AM137" s="77"/>
      <c r="AN137" s="75"/>
      <c r="AO137" s="76"/>
      <c r="AP137" s="76"/>
      <c r="AQ137" s="77"/>
      <c r="AR137" s="75"/>
      <c r="AS137" s="76"/>
      <c r="AT137" s="76"/>
      <c r="AU137" s="154"/>
      <c r="AV137" s="77"/>
      <c r="AW137" s="75"/>
      <c r="AX137" s="76"/>
      <c r="AY137" s="76"/>
      <c r="AZ137" s="77"/>
      <c r="BA137" s="75"/>
      <c r="BB137" s="76"/>
      <c r="BC137" s="76"/>
      <c r="BD137" s="77"/>
      <c r="BE137" s="75"/>
      <c r="BF137" s="76"/>
      <c r="BG137" s="76"/>
      <c r="BH137" s="154"/>
      <c r="BI137" s="77"/>
      <c r="BJ137" s="75"/>
      <c r="BK137" s="76"/>
      <c r="BL137" s="76"/>
      <c r="BM137" s="77"/>
      <c r="BN137" s="75"/>
      <c r="BO137" s="76"/>
      <c r="BP137" s="76"/>
      <c r="BQ137" s="77"/>
      <c r="BR137" s="75"/>
      <c r="BS137" s="76"/>
      <c r="BT137" s="76"/>
      <c r="BU137" s="154"/>
      <c r="BV137" s="77"/>
      <c r="BW137" s="75"/>
      <c r="BX137" s="76"/>
      <c r="BY137" s="76"/>
      <c r="BZ137" s="77"/>
      <c r="CA137" s="75"/>
      <c r="CB137" s="76"/>
      <c r="CC137" s="76"/>
      <c r="CD137" s="77"/>
      <c r="CE137" s="75"/>
      <c r="CF137" s="76"/>
      <c r="CG137" s="76"/>
      <c r="CH137" s="154"/>
      <c r="CI137" s="77"/>
      <c r="CJ137" s="75"/>
      <c r="CK137" s="76"/>
      <c r="CL137" s="76"/>
      <c r="CM137" s="77"/>
      <c r="CN137" s="78"/>
      <c r="CO137" s="79"/>
      <c r="CP137" s="79"/>
      <c r="CQ137" s="80"/>
      <c r="CR137" s="78"/>
      <c r="CS137" s="79"/>
      <c r="CT137" s="79"/>
      <c r="CU137" s="80"/>
      <c r="CV137" s="78"/>
      <c r="CW137" s="79"/>
      <c r="CX137" s="79"/>
      <c r="CY137" s="80"/>
      <c r="CZ137" s="74"/>
      <c r="DA137" s="129"/>
      <c r="DB137" s="129"/>
    </row>
    <row r="138" spans="1:106" s="37" customFormat="1" ht="75" customHeight="1" thickBot="1" x14ac:dyDescent="0.6">
      <c r="A138" s="135"/>
      <c r="B138" s="192"/>
      <c r="C138" s="136"/>
      <c r="D138" s="136"/>
      <c r="E138" s="137"/>
      <c r="F138" s="138"/>
      <c r="G138" s="315"/>
      <c r="H138" s="134" t="s">
        <v>137</v>
      </c>
      <c r="I138" s="205"/>
      <c r="J138" s="75">
        <f>J137</f>
        <v>0</v>
      </c>
      <c r="K138" s="76">
        <f>K137+J138</f>
        <v>0</v>
      </c>
      <c r="L138" s="76">
        <f t="shared" ref="L138:AB138" si="388">L137+K138</f>
        <v>0</v>
      </c>
      <c r="M138" s="77">
        <f t="shared" si="388"/>
        <v>0</v>
      </c>
      <c r="N138" s="75">
        <f t="shared" si="388"/>
        <v>0</v>
      </c>
      <c r="O138" s="76">
        <f t="shared" si="388"/>
        <v>0</v>
      </c>
      <c r="P138" s="76">
        <f t="shared" si="388"/>
        <v>0</v>
      </c>
      <c r="Q138" s="77">
        <f t="shared" si="388"/>
        <v>0</v>
      </c>
      <c r="R138" s="75">
        <f t="shared" si="388"/>
        <v>5.0714866103193243E-5</v>
      </c>
      <c r="S138" s="76">
        <f t="shared" si="388"/>
        <v>1.7750203136117636E-4</v>
      </c>
      <c r="T138" s="76">
        <f t="shared" si="388"/>
        <v>3.0428919661915944E-4</v>
      </c>
      <c r="U138" s="77">
        <f t="shared" si="388"/>
        <v>5.0714866103193244E-4</v>
      </c>
      <c r="V138" s="75">
        <f t="shared" si="388"/>
        <v>7.1000812544470544E-4</v>
      </c>
      <c r="W138" s="76">
        <f t="shared" si="388"/>
        <v>8.3679529070268858E-4</v>
      </c>
      <c r="X138" s="76">
        <f t="shared" si="388"/>
        <v>9.6358245596067172E-4</v>
      </c>
      <c r="Y138" s="154">
        <f t="shared" si="388"/>
        <v>1.0903696212186547E-3</v>
      </c>
      <c r="Z138" s="77">
        <f t="shared" si="388"/>
        <v>1.2171567864766378E-3</v>
      </c>
      <c r="AA138" s="75">
        <f t="shared" si="388"/>
        <v>1.4200162508894107E-3</v>
      </c>
      <c r="AB138" s="76">
        <f t="shared" si="388"/>
        <v>1.6228757153021836E-3</v>
      </c>
      <c r="AC138" s="76">
        <f t="shared" ref="AC138" si="389">AC137+AB138</f>
        <v>1.8257351797149564E-3</v>
      </c>
      <c r="AD138" s="77">
        <f t="shared" ref="AD138" si="390">AD137+AC138</f>
        <v>1.927164911921343E-3</v>
      </c>
      <c r="AE138" s="75"/>
      <c r="AF138" s="76"/>
      <c r="AG138" s="76"/>
      <c r="AH138" s="154"/>
      <c r="AI138" s="77"/>
      <c r="AJ138" s="75"/>
      <c r="AK138" s="76"/>
      <c r="AL138" s="76"/>
      <c r="AM138" s="77"/>
      <c r="AN138" s="75"/>
      <c r="AO138" s="76"/>
      <c r="AP138" s="76"/>
      <c r="AQ138" s="77"/>
      <c r="AR138" s="75"/>
      <c r="AS138" s="76"/>
      <c r="AT138" s="76"/>
      <c r="AU138" s="154"/>
      <c r="AV138" s="77"/>
      <c r="AW138" s="75"/>
      <c r="AX138" s="76"/>
      <c r="AY138" s="76"/>
      <c r="AZ138" s="77"/>
      <c r="BA138" s="75"/>
      <c r="BB138" s="76"/>
      <c r="BC138" s="76"/>
      <c r="BD138" s="77"/>
      <c r="BE138" s="75"/>
      <c r="BF138" s="76"/>
      <c r="BG138" s="76"/>
      <c r="BH138" s="154"/>
      <c r="BI138" s="77"/>
      <c r="BJ138" s="75"/>
      <c r="BK138" s="76"/>
      <c r="BL138" s="76"/>
      <c r="BM138" s="77"/>
      <c r="BN138" s="75"/>
      <c r="BO138" s="76"/>
      <c r="BP138" s="76"/>
      <c r="BQ138" s="77"/>
      <c r="BR138" s="75"/>
      <c r="BS138" s="76"/>
      <c r="BT138" s="76"/>
      <c r="BU138" s="154"/>
      <c r="BV138" s="77"/>
      <c r="BW138" s="75"/>
      <c r="BX138" s="76"/>
      <c r="BY138" s="76"/>
      <c r="BZ138" s="77"/>
      <c r="CA138" s="75"/>
      <c r="CB138" s="76"/>
      <c r="CC138" s="76"/>
      <c r="CD138" s="77"/>
      <c r="CE138" s="75"/>
      <c r="CF138" s="76"/>
      <c r="CG138" s="76"/>
      <c r="CH138" s="154"/>
      <c r="CI138" s="77"/>
      <c r="CJ138" s="75"/>
      <c r="CK138" s="76"/>
      <c r="CL138" s="76"/>
      <c r="CM138" s="77"/>
      <c r="CN138" s="78"/>
      <c r="CO138" s="79"/>
      <c r="CP138" s="79"/>
      <c r="CQ138" s="80"/>
      <c r="CR138" s="78"/>
      <c r="CS138" s="79"/>
      <c r="CT138" s="79"/>
      <c r="CU138" s="80"/>
      <c r="CV138" s="78"/>
      <c r="CW138" s="79"/>
      <c r="CX138" s="79"/>
      <c r="CY138" s="80"/>
      <c r="CZ138" s="74"/>
      <c r="DA138" s="129"/>
      <c r="DB138" s="129"/>
    </row>
    <row r="139" spans="1:106" x14ac:dyDescent="0.5">
      <c r="C139" s="24"/>
      <c r="D139" s="24"/>
      <c r="E139" s="25"/>
      <c r="F139" s="25"/>
      <c r="G139" s="25"/>
      <c r="H139" s="25"/>
      <c r="I139" s="25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</row>
    <row r="140" spans="1:106" x14ac:dyDescent="0.5">
      <c r="C140" s="24"/>
      <c r="D140" s="24"/>
      <c r="E140" s="25"/>
      <c r="F140" s="25"/>
      <c r="G140" s="25"/>
      <c r="H140" s="25"/>
      <c r="I140" s="25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82">
        <f>AB138-AB129</f>
        <v>-0.12222704825785954</v>
      </c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</row>
    <row r="141" spans="1:106" ht="26.25" x14ac:dyDescent="0.55000000000000004">
      <c r="E141" s="16"/>
      <c r="F141" s="16"/>
      <c r="G141" s="17"/>
      <c r="H141" s="17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81">
        <f>AB140*365</f>
        <v>-44.612872614118736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</row>
    <row r="142" spans="1:106" x14ac:dyDescent="0.5">
      <c r="AB142" s="38"/>
    </row>
  </sheetData>
  <mergeCells count="262">
    <mergeCell ref="C44:C45"/>
    <mergeCell ref="A44:A45"/>
    <mergeCell ref="J8:BD8"/>
    <mergeCell ref="BE8:BR8"/>
    <mergeCell ref="J9:M9"/>
    <mergeCell ref="N9:Q9"/>
    <mergeCell ref="R9:U9"/>
    <mergeCell ref="AA9:AD9"/>
    <mergeCell ref="AJ9:AM9"/>
    <mergeCell ref="AN9:AQ9"/>
    <mergeCell ref="BA9:BD9"/>
    <mergeCell ref="BJ9:BM9"/>
    <mergeCell ref="BN9:BQ9"/>
    <mergeCell ref="AR9:AV9"/>
    <mergeCell ref="BE9:BI9"/>
    <mergeCell ref="A16:A17"/>
    <mergeCell ref="C16:C17"/>
    <mergeCell ref="A18:A19"/>
    <mergeCell ref="C18:C19"/>
    <mergeCell ref="A20:A21"/>
    <mergeCell ref="C20:C21"/>
    <mergeCell ref="A28:A29"/>
    <mergeCell ref="C28:C29"/>
    <mergeCell ref="A30:A31"/>
    <mergeCell ref="A1:CZ1"/>
    <mergeCell ref="AE4:AJ4"/>
    <mergeCell ref="CJ4:CN4"/>
    <mergeCell ref="AE5:AJ5"/>
    <mergeCell ref="CJ5:CN5"/>
    <mergeCell ref="A8:A10"/>
    <mergeCell ref="C8:C10"/>
    <mergeCell ref="E8:E10"/>
    <mergeCell ref="G8:G10"/>
    <mergeCell ref="CR9:CU9"/>
    <mergeCell ref="CV9:CY9"/>
    <mergeCell ref="J10:M10"/>
    <mergeCell ref="N10:Q10"/>
    <mergeCell ref="R10:U10"/>
    <mergeCell ref="AA10:AD10"/>
    <mergeCell ref="AN10:AQ10"/>
    <mergeCell ref="BR9:BU9"/>
    <mergeCell ref="BW9:BZ9"/>
    <mergeCell ref="CA9:CD9"/>
    <mergeCell ref="CE9:CH9"/>
    <mergeCell ref="CJ9:CM9"/>
    <mergeCell ref="CN9:CQ9"/>
    <mergeCell ref="AW9:AZ9"/>
    <mergeCell ref="CR10:CU10"/>
    <mergeCell ref="CV10:CY10"/>
    <mergeCell ref="A12:A13"/>
    <mergeCell ref="C12:C13"/>
    <mergeCell ref="A14:A15"/>
    <mergeCell ref="C14:C15"/>
    <mergeCell ref="BE10:BI10"/>
    <mergeCell ref="BR10:BU10"/>
    <mergeCell ref="BW10:BZ10"/>
    <mergeCell ref="CA10:CD10"/>
    <mergeCell ref="CE10:CH10"/>
    <mergeCell ref="CJ10:CM10"/>
    <mergeCell ref="CN10:CQ10"/>
    <mergeCell ref="AW10:AZ10"/>
    <mergeCell ref="BA10:BD10"/>
    <mergeCell ref="BJ10:BM10"/>
    <mergeCell ref="BN10:BQ10"/>
    <mergeCell ref="AJ10:AM10"/>
    <mergeCell ref="C30:C31"/>
    <mergeCell ref="A32:A33"/>
    <mergeCell ref="C32:C33"/>
    <mergeCell ref="A22:A23"/>
    <mergeCell ref="C22:C23"/>
    <mergeCell ref="A24:A25"/>
    <mergeCell ref="C24:C25"/>
    <mergeCell ref="A26:A27"/>
    <mergeCell ref="C26:C27"/>
    <mergeCell ref="A40:A41"/>
    <mergeCell ref="C40:C41"/>
    <mergeCell ref="A42:A43"/>
    <mergeCell ref="C42:C43"/>
    <mergeCell ref="A34:A35"/>
    <mergeCell ref="C34:C35"/>
    <mergeCell ref="A36:A37"/>
    <mergeCell ref="C36:C37"/>
    <mergeCell ref="A38:A39"/>
    <mergeCell ref="C38:C39"/>
    <mergeCell ref="A50:A51"/>
    <mergeCell ref="C50:C51"/>
    <mergeCell ref="A54:A55"/>
    <mergeCell ref="C54:C55"/>
    <mergeCell ref="A56:A57"/>
    <mergeCell ref="C56:C57"/>
    <mergeCell ref="A46:A47"/>
    <mergeCell ref="C46:C47"/>
    <mergeCell ref="A48:A49"/>
    <mergeCell ref="C48:C49"/>
    <mergeCell ref="A52:A53"/>
    <mergeCell ref="C52:C53"/>
    <mergeCell ref="A64:A65"/>
    <mergeCell ref="C64:C65"/>
    <mergeCell ref="A66:A67"/>
    <mergeCell ref="C66:C67"/>
    <mergeCell ref="A68:A69"/>
    <mergeCell ref="C68:C69"/>
    <mergeCell ref="A58:A59"/>
    <mergeCell ref="C58:C59"/>
    <mergeCell ref="A60:A61"/>
    <mergeCell ref="C60:C61"/>
    <mergeCell ref="A62:A63"/>
    <mergeCell ref="C62:C63"/>
    <mergeCell ref="A76:A77"/>
    <mergeCell ref="C76:C77"/>
    <mergeCell ref="A78:A79"/>
    <mergeCell ref="C78:C79"/>
    <mergeCell ref="A80:A81"/>
    <mergeCell ref="C80:C81"/>
    <mergeCell ref="A70:A71"/>
    <mergeCell ref="C70:C71"/>
    <mergeCell ref="A72:A73"/>
    <mergeCell ref="C72:C73"/>
    <mergeCell ref="A74:A75"/>
    <mergeCell ref="C74:C75"/>
    <mergeCell ref="A88:A89"/>
    <mergeCell ref="C88:C89"/>
    <mergeCell ref="A90:A91"/>
    <mergeCell ref="C90:C91"/>
    <mergeCell ref="A92:A93"/>
    <mergeCell ref="C92:C93"/>
    <mergeCell ref="A82:A83"/>
    <mergeCell ref="C82:C83"/>
    <mergeCell ref="A84:A85"/>
    <mergeCell ref="C84:C85"/>
    <mergeCell ref="A86:A87"/>
    <mergeCell ref="C86:C87"/>
    <mergeCell ref="A100:A101"/>
    <mergeCell ref="C100:C101"/>
    <mergeCell ref="A102:A103"/>
    <mergeCell ref="C102:C103"/>
    <mergeCell ref="A104:A105"/>
    <mergeCell ref="C104:C105"/>
    <mergeCell ref="A94:A95"/>
    <mergeCell ref="C94:C95"/>
    <mergeCell ref="A96:A97"/>
    <mergeCell ref="C96:C97"/>
    <mergeCell ref="A98:A99"/>
    <mergeCell ref="C98:C99"/>
    <mergeCell ref="A112:A113"/>
    <mergeCell ref="C112:C113"/>
    <mergeCell ref="A114:A115"/>
    <mergeCell ref="C114:C115"/>
    <mergeCell ref="A116:A117"/>
    <mergeCell ref="C116:C117"/>
    <mergeCell ref="A106:A107"/>
    <mergeCell ref="C106:C107"/>
    <mergeCell ref="A108:A109"/>
    <mergeCell ref="C108:C109"/>
    <mergeCell ref="A110:A111"/>
    <mergeCell ref="C110:C111"/>
    <mergeCell ref="A124:A125"/>
    <mergeCell ref="C124:C125"/>
    <mergeCell ref="A126:A127"/>
    <mergeCell ref="C126:C127"/>
    <mergeCell ref="G128:G131"/>
    <mergeCell ref="G132:G135"/>
    <mergeCell ref="A118:A119"/>
    <mergeCell ref="C118:C119"/>
    <mergeCell ref="A120:A121"/>
    <mergeCell ref="C120:C121"/>
    <mergeCell ref="A122:A123"/>
    <mergeCell ref="C122:C123"/>
    <mergeCell ref="CR132:CU132"/>
    <mergeCell ref="CV132:CY132"/>
    <mergeCell ref="J133:M133"/>
    <mergeCell ref="N133:Q133"/>
    <mergeCell ref="R133:U133"/>
    <mergeCell ref="AA133:AD133"/>
    <mergeCell ref="BJ132:BM132"/>
    <mergeCell ref="BN132:BQ132"/>
    <mergeCell ref="BW132:BZ132"/>
    <mergeCell ref="CA132:CD132"/>
    <mergeCell ref="CE132:CH132"/>
    <mergeCell ref="BR132:BV132"/>
    <mergeCell ref="AJ132:AM132"/>
    <mergeCell ref="AN132:AQ132"/>
    <mergeCell ref="AR132:AU132"/>
    <mergeCell ref="AW132:AZ132"/>
    <mergeCell ref="BA132:BD132"/>
    <mergeCell ref="BE132:BI132"/>
    <mergeCell ref="J132:M132"/>
    <mergeCell ref="N132:Q132"/>
    <mergeCell ref="R132:U132"/>
    <mergeCell ref="AA132:AD132"/>
    <mergeCell ref="V132:Z132"/>
    <mergeCell ref="CR133:CU133"/>
    <mergeCell ref="CV133:CY133"/>
    <mergeCell ref="J134:M134"/>
    <mergeCell ref="N134:Q134"/>
    <mergeCell ref="R134:U134"/>
    <mergeCell ref="AA134:AD134"/>
    <mergeCell ref="BJ133:BM133"/>
    <mergeCell ref="BN133:BQ133"/>
    <mergeCell ref="BW133:BZ133"/>
    <mergeCell ref="CA133:CD133"/>
    <mergeCell ref="CE133:CH133"/>
    <mergeCell ref="BR133:BV133"/>
    <mergeCell ref="AJ133:AM133"/>
    <mergeCell ref="AN133:AQ133"/>
    <mergeCell ref="AR133:AU133"/>
    <mergeCell ref="AW133:AZ133"/>
    <mergeCell ref="BA133:BD133"/>
    <mergeCell ref="BE133:BI133"/>
    <mergeCell ref="V133:Z133"/>
    <mergeCell ref="N135:Q135"/>
    <mergeCell ref="R135:U135"/>
    <mergeCell ref="AA135:AD135"/>
    <mergeCell ref="BJ134:BM134"/>
    <mergeCell ref="BN134:BQ134"/>
    <mergeCell ref="BW134:BZ134"/>
    <mergeCell ref="CA134:CD134"/>
    <mergeCell ref="CE134:CH134"/>
    <mergeCell ref="BR134:BV134"/>
    <mergeCell ref="AJ134:AM134"/>
    <mergeCell ref="AN134:AQ134"/>
    <mergeCell ref="AW134:AZ134"/>
    <mergeCell ref="BA134:BD134"/>
    <mergeCell ref="AR134:AV134"/>
    <mergeCell ref="BE134:BI134"/>
    <mergeCell ref="BR135:BV135"/>
    <mergeCell ref="V134:Z134"/>
    <mergeCell ref="V135:Z135"/>
    <mergeCell ref="CR135:CU135"/>
    <mergeCell ref="CV135:CY135"/>
    <mergeCell ref="G137:G138"/>
    <mergeCell ref="V9:Z9"/>
    <mergeCell ref="V10:Z10"/>
    <mergeCell ref="AE9:AI9"/>
    <mergeCell ref="AE10:AI10"/>
    <mergeCell ref="AR10:AV10"/>
    <mergeCell ref="BJ135:BM135"/>
    <mergeCell ref="BN135:BQ135"/>
    <mergeCell ref="BW135:BZ135"/>
    <mergeCell ref="CA135:CD135"/>
    <mergeCell ref="CE135:CH135"/>
    <mergeCell ref="AJ135:AM135"/>
    <mergeCell ref="AN135:AQ135"/>
    <mergeCell ref="AW135:AZ135"/>
    <mergeCell ref="BA135:BD135"/>
    <mergeCell ref="AR135:AV135"/>
    <mergeCell ref="BE135:BI135"/>
    <mergeCell ref="CJ134:CM134"/>
    <mergeCell ref="CN134:CQ134"/>
    <mergeCell ref="CR134:CU134"/>
    <mergeCell ref="CV134:CY134"/>
    <mergeCell ref="J135:M135"/>
    <mergeCell ref="AE132:AI132"/>
    <mergeCell ref="AE133:AI133"/>
    <mergeCell ref="AE134:AI134"/>
    <mergeCell ref="AE135:AI135"/>
    <mergeCell ref="CJ135:CM135"/>
    <mergeCell ref="CN135:CQ135"/>
    <mergeCell ref="CJ133:CM133"/>
    <mergeCell ref="CN133:CQ133"/>
    <mergeCell ref="CJ132:CM132"/>
    <mergeCell ref="CN132:CQ132"/>
  </mergeCells>
  <conditionalFormatting sqref="H12:I127">
    <cfRule type="expression" dxfId="3" priority="13">
      <formula>AND($G12="A",H12&gt;0%,H12&lt;100%)</formula>
    </cfRule>
    <cfRule type="expression" dxfId="2" priority="14">
      <formula>AND($G12="P", H12=100%)</formula>
    </cfRule>
  </conditionalFormatting>
  <conditionalFormatting sqref="CR20:CZ51 P21:CQ21 P23:CQ23 P25:CQ25 U27:CQ27 U31:CQ31 U37:CQ37 CR54:CZ81 Y67:CQ67 Y69:CQ69 Y71:CQ71 Y75:CQ75 AH77:CQ77 AP79:CQ79 BC81:CQ81 K84:CQ84 CR84:CZ127 K85:W85 Y85:CQ85 Y87:CQ87 Y89:CQ89 AQ93:CQ93 Y94:CQ94 AM95:CQ95 AM97:CQ97 AM99:CQ99 AM107:CQ107 AQ111:CQ111 AU115:CQ115 AU117:CQ117 AU123:CQ123 BD125:CQ125 J20:CQ20 J21:N21 J22:CQ22 J23:N23 J24:CQ24 J25:N25 J26:CQ26 J27:S27 J28:CQ30 J31:S31 J32:CQ36 J37:S37 J38:CQ51 J52:CZ53 J54:CQ66 J67:W67 J68:CQ68 J69:W69 J70:CQ70 J71:W71 J72:CQ74 J75:W75 J76:CQ76 J77:AF77 J78:CQ78 J79:AN79 J80:CQ80 J81:BA81 J82:CZ83 J86:CQ86 J87:W87 J88:CQ88 J89:W89 J90:CQ92 J93:AO93 J94:W94 J95:AK95 J96:CQ96 J97:AK97 J98:CQ98 J99:AK99 J100:CQ106 J107:AK107 J108:CQ110 J111:AO111 J112:CQ114 J115:AS115 J116:CQ116 J117:AS117 J118:CQ122 J123:AS123 J124:CQ124 J125:BB125 J126:CQ127 J12:CZ19">
    <cfRule type="expression" dxfId="1" priority="15">
      <formula>AND($G12="A", J12&gt;0)</formula>
    </cfRule>
    <cfRule type="expression" dxfId="0" priority="16">
      <formula>AND($G12="P", J12&gt;0)</formula>
    </cfRule>
  </conditionalFormatting>
  <conditionalFormatting sqref="J12:CZ127">
    <cfRule type="expression" priority="1">
      <formula>IF($J$12=0%,"",J12)</formula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8" scale="29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>
      <selection activeCell="J17" sqref="J17"/>
    </sheetView>
  </sheetViews>
  <sheetFormatPr defaultRowHeight="21" x14ac:dyDescent="0.45"/>
  <cols>
    <col min="1" max="1" width="18.6640625" customWidth="1"/>
    <col min="2" max="2" width="12" customWidth="1"/>
    <col min="3" max="3" width="22.83203125" customWidth="1"/>
    <col min="4" max="4" width="19.83203125" style="139" customWidth="1"/>
    <col min="5" max="5" width="11.33203125" style="139" customWidth="1"/>
  </cols>
  <sheetData>
    <row r="1" spans="1:5" ht="30.75" customHeight="1" x14ac:dyDescent="0.45">
      <c r="A1" s="408" t="s">
        <v>147</v>
      </c>
      <c r="B1" s="409" t="s">
        <v>144</v>
      </c>
      <c r="C1" s="409" t="s">
        <v>141</v>
      </c>
      <c r="D1" s="410" t="s">
        <v>142</v>
      </c>
      <c r="E1" s="410" t="s">
        <v>143</v>
      </c>
    </row>
    <row r="2" spans="1:5" x14ac:dyDescent="0.45">
      <c r="A2" s="411">
        <v>46082</v>
      </c>
      <c r="B2" s="411">
        <v>46630</v>
      </c>
      <c r="C2" s="411">
        <f>'NKC2'!J11</f>
        <v>46059</v>
      </c>
      <c r="D2" s="412">
        <f>INDEX('NKC2'!$J$129:$CM$129,1,ROW(A1))*100</f>
        <v>0</v>
      </c>
      <c r="E2" s="412">
        <f>INDEX('NKC2'!$J$138:$CM$138,1,ROW(A1))*100</f>
        <v>0</v>
      </c>
    </row>
    <row r="3" spans="1:5" x14ac:dyDescent="0.45">
      <c r="A3" s="157">
        <f>A2</f>
        <v>46082</v>
      </c>
      <c r="B3" s="157">
        <f>B2</f>
        <v>46630</v>
      </c>
      <c r="C3" s="157">
        <f>C2+7</f>
        <v>46066</v>
      </c>
      <c r="D3" s="158">
        <f>INDEX('NKC2'!$J$129:$CM$129,1,ROW(A2))*100</f>
        <v>0</v>
      </c>
      <c r="E3" s="158">
        <f>INDEX('NKC2'!$J$138:$CM$138,1,ROW(A2))*100</f>
        <v>0</v>
      </c>
    </row>
    <row r="4" spans="1:5" x14ac:dyDescent="0.45">
      <c r="A4" s="411">
        <f t="shared" ref="A4:A67" si="0">A3</f>
        <v>46082</v>
      </c>
      <c r="B4" s="411">
        <f t="shared" ref="B4:B67" si="1">B3</f>
        <v>46630</v>
      </c>
      <c r="C4" s="411">
        <f t="shared" ref="C4:C67" si="2">C3+7</f>
        <v>46073</v>
      </c>
      <c r="D4" s="412">
        <f>INDEX('NKC2'!$J$129:$CM$129,1,ROW(A3))*100</f>
        <v>0</v>
      </c>
      <c r="E4" s="412">
        <f>INDEX('NKC2'!$J$138:$CM$138,1,ROW(A3))*100</f>
        <v>0</v>
      </c>
    </row>
    <row r="5" spans="1:5" x14ac:dyDescent="0.45">
      <c r="A5" s="157">
        <f t="shared" si="0"/>
        <v>46082</v>
      </c>
      <c r="B5" s="157">
        <f t="shared" si="1"/>
        <v>46630</v>
      </c>
      <c r="C5" s="157">
        <f t="shared" si="2"/>
        <v>46080</v>
      </c>
      <c r="D5" s="158">
        <f>INDEX('NKC2'!$J$129:$CM$129,1,ROW(A4))*100</f>
        <v>0</v>
      </c>
      <c r="E5" s="158">
        <f>INDEX('NKC2'!$J$138:$CM$138,1,ROW(A4))*100</f>
        <v>0</v>
      </c>
    </row>
    <row r="6" spans="1:5" x14ac:dyDescent="0.45">
      <c r="A6" s="411">
        <f t="shared" si="0"/>
        <v>46082</v>
      </c>
      <c r="B6" s="411">
        <f t="shared" si="1"/>
        <v>46630</v>
      </c>
      <c r="C6" s="411">
        <f t="shared" si="2"/>
        <v>46087</v>
      </c>
      <c r="D6" s="412">
        <f>INDEX('NKC2'!$J$129:$CM$129,1,ROW(A5))*100</f>
        <v>1.2678716525798311E-2</v>
      </c>
      <c r="E6" s="412">
        <f>INDEX('NKC2'!$J$138:$CM$138,1,ROW(A5))*100</f>
        <v>0</v>
      </c>
    </row>
    <row r="7" spans="1:5" x14ac:dyDescent="0.45">
      <c r="A7" s="157">
        <f t="shared" si="0"/>
        <v>46082</v>
      </c>
      <c r="B7" s="157">
        <f t="shared" si="1"/>
        <v>46630</v>
      </c>
      <c r="C7" s="157">
        <f t="shared" si="2"/>
        <v>46094</v>
      </c>
      <c r="D7" s="158">
        <f>INDEX('NKC2'!$J$129:$CM$129,1,ROW(A6))*100</f>
        <v>3.0428919661915944E-2</v>
      </c>
      <c r="E7" s="158">
        <f>INDEX('NKC2'!$J$138:$CM$138,1,ROW(A6))*100</f>
        <v>0</v>
      </c>
    </row>
    <row r="8" spans="1:5" x14ac:dyDescent="0.45">
      <c r="A8" s="411">
        <f t="shared" si="0"/>
        <v>46082</v>
      </c>
      <c r="B8" s="411">
        <f t="shared" si="1"/>
        <v>46630</v>
      </c>
      <c r="C8" s="411">
        <f t="shared" si="2"/>
        <v>46101</v>
      </c>
      <c r="D8" s="412">
        <f>INDEX('NKC2'!$J$129:$CM$129,1,ROW(A7))*100</f>
        <v>4.8179122798033581E-2</v>
      </c>
      <c r="E8" s="412">
        <f>INDEX('NKC2'!$J$138:$CM$138,1,ROW(A7))*100</f>
        <v>0</v>
      </c>
    </row>
    <row r="9" spans="1:5" x14ac:dyDescent="0.45">
      <c r="A9" s="157">
        <f t="shared" si="0"/>
        <v>46082</v>
      </c>
      <c r="B9" s="157">
        <f t="shared" si="1"/>
        <v>46630</v>
      </c>
      <c r="C9" s="157">
        <f t="shared" si="2"/>
        <v>46108</v>
      </c>
      <c r="D9" s="158">
        <f>INDEX('NKC2'!$J$129:$CM$129,1,ROW(A8))*100</f>
        <v>6.846506923931088E-2</v>
      </c>
      <c r="E9" s="158">
        <f>INDEX('NKC2'!$J$138:$CM$138,1,ROW(A8))*100</f>
        <v>0</v>
      </c>
    </row>
    <row r="10" spans="1:5" x14ac:dyDescent="0.45">
      <c r="A10" s="411">
        <f t="shared" si="0"/>
        <v>46082</v>
      </c>
      <c r="B10" s="411">
        <f t="shared" si="1"/>
        <v>46630</v>
      </c>
      <c r="C10" s="411">
        <f t="shared" si="2"/>
        <v>46115</v>
      </c>
      <c r="D10" s="412">
        <f>INDEX('NKC2'!$J$129:$CM$129,1,ROW(A9))*100</f>
        <v>0.40547086130597615</v>
      </c>
      <c r="E10" s="412">
        <f>INDEX('NKC2'!$J$138:$CM$138,1,ROW(A9))*100</f>
        <v>5.0714866103193246E-3</v>
      </c>
    </row>
    <row r="11" spans="1:5" x14ac:dyDescent="0.45">
      <c r="A11" s="157">
        <f t="shared" si="0"/>
        <v>46082</v>
      </c>
      <c r="B11" s="157">
        <f t="shared" si="1"/>
        <v>46630</v>
      </c>
      <c r="C11" s="157">
        <f t="shared" si="2"/>
        <v>46122</v>
      </c>
      <c r="D11" s="158">
        <f>INDEX('NKC2'!$J$129:$CM$129,1,ROW(A10))*100</f>
        <v>1.0691189318478707</v>
      </c>
      <c r="E11" s="158">
        <f>INDEX('NKC2'!$J$138:$CM$138,1,ROW(A10))*100</f>
        <v>1.7750203136117637E-2</v>
      </c>
    </row>
    <row r="12" spans="1:5" x14ac:dyDescent="0.45">
      <c r="A12" s="411">
        <f t="shared" si="0"/>
        <v>46082</v>
      </c>
      <c r="B12" s="411">
        <f t="shared" si="1"/>
        <v>46630</v>
      </c>
      <c r="C12" s="411">
        <f t="shared" si="2"/>
        <v>46129</v>
      </c>
      <c r="D12" s="412">
        <f>INDEX('NKC2'!$J$129:$CM$129,1,ROW(A11))*100</f>
        <v>1.8789255623986887</v>
      </c>
      <c r="E12" s="412">
        <f>INDEX('NKC2'!$J$138:$CM$138,1,ROW(A11))*100</f>
        <v>3.0428919661915944E-2</v>
      </c>
    </row>
    <row r="13" spans="1:5" x14ac:dyDescent="0.45">
      <c r="A13" s="157">
        <f t="shared" si="0"/>
        <v>46082</v>
      </c>
      <c r="B13" s="157">
        <f t="shared" si="1"/>
        <v>46630</v>
      </c>
      <c r="C13" s="157">
        <f t="shared" si="2"/>
        <v>46136</v>
      </c>
      <c r="D13" s="158">
        <f>INDEX('NKC2'!$J$129:$CM$129,1,ROW(A12))*100</f>
        <v>2.7068835405334046</v>
      </c>
      <c r="E13" s="158">
        <f>INDEX('NKC2'!$J$138:$CM$138,1,ROW(A12))*100</f>
        <v>5.0714866103193243E-2</v>
      </c>
    </row>
    <row r="14" spans="1:5" x14ac:dyDescent="0.45">
      <c r="A14" s="411">
        <f t="shared" si="0"/>
        <v>46082</v>
      </c>
      <c r="B14" s="411">
        <f t="shared" si="1"/>
        <v>46630</v>
      </c>
      <c r="C14" s="411">
        <f t="shared" si="2"/>
        <v>46143</v>
      </c>
      <c r="D14" s="412">
        <f>INDEX('NKC2'!$J$129:$CM$129,1,ROW(A13))*100</f>
        <v>3.6208691777584368</v>
      </c>
      <c r="E14" s="412">
        <f>INDEX('NKC2'!$J$138:$CM$138,1,ROW(A13))*100</f>
        <v>7.1000812544470548E-2</v>
      </c>
    </row>
    <row r="15" spans="1:5" x14ac:dyDescent="0.45">
      <c r="A15" s="157">
        <f t="shared" si="0"/>
        <v>46082</v>
      </c>
      <c r="B15" s="157">
        <f t="shared" si="1"/>
        <v>46630</v>
      </c>
      <c r="C15" s="157">
        <f t="shared" si="2"/>
        <v>46150</v>
      </c>
      <c r="D15" s="158">
        <f>INDEX('NKC2'!$J$129:$CM$129,1,ROW(A14))*100</f>
        <v>4.5278015161080649</v>
      </c>
      <c r="E15" s="158">
        <f>INDEX('NKC2'!$J$138:$CM$138,1,ROW(A14))*100</f>
        <v>8.3679529070268863E-2</v>
      </c>
    </row>
    <row r="16" spans="1:5" x14ac:dyDescent="0.45">
      <c r="A16" s="411">
        <f t="shared" si="0"/>
        <v>46082</v>
      </c>
      <c r="B16" s="411">
        <f t="shared" si="1"/>
        <v>46630</v>
      </c>
      <c r="C16" s="411">
        <f t="shared" si="2"/>
        <v>46157</v>
      </c>
      <c r="D16" s="412">
        <f>INDEX('NKC2'!$J$129:$CM$129,1,ROW(A15))*100</f>
        <v>5.4161810404168031</v>
      </c>
      <c r="E16" s="412">
        <f>INDEX('NKC2'!$J$138:$CM$138,1,ROW(A15))*100</f>
        <v>9.6358245596067177E-2</v>
      </c>
    </row>
    <row r="17" spans="1:5" x14ac:dyDescent="0.45">
      <c r="A17" s="157">
        <f t="shared" si="0"/>
        <v>46082</v>
      </c>
      <c r="B17" s="157">
        <f t="shared" si="1"/>
        <v>46630</v>
      </c>
      <c r="C17" s="157">
        <f t="shared" si="2"/>
        <v>46164</v>
      </c>
      <c r="D17" s="158">
        <f>INDEX('NKC2'!$J$129:$CM$129,1,ROW(A16))*100</f>
        <v>6.914936692033419</v>
      </c>
      <c r="E17" s="158">
        <f>INDEX('NKC2'!$J$138:$CM$138,1,ROW(A16))*100</f>
        <v>0.10903696212186548</v>
      </c>
    </row>
    <row r="18" spans="1:5" x14ac:dyDescent="0.45">
      <c r="A18" s="411">
        <f t="shared" si="0"/>
        <v>46082</v>
      </c>
      <c r="B18" s="411">
        <f t="shared" si="1"/>
        <v>46630</v>
      </c>
      <c r="C18" s="411">
        <f t="shared" si="2"/>
        <v>46171</v>
      </c>
      <c r="D18" s="412">
        <f>INDEX('NKC2'!$J$129:$CM$129,1,ROW(A17))*100</f>
        <v>8.5236358871088296</v>
      </c>
      <c r="E18" s="412">
        <f>INDEX('NKC2'!$J$138:$CM$138,1,ROW(A17))*100</f>
        <v>0.12171567864766378</v>
      </c>
    </row>
    <row r="19" spans="1:5" x14ac:dyDescent="0.45">
      <c r="A19" s="157">
        <f t="shared" si="0"/>
        <v>46082</v>
      </c>
      <c r="B19" s="157">
        <f t="shared" si="1"/>
        <v>46630</v>
      </c>
      <c r="C19" s="157">
        <f t="shared" si="2"/>
        <v>46178</v>
      </c>
      <c r="D19" s="158">
        <f>INDEX('NKC2'!$J$129:$CM$129,1,ROW(A18))*100</f>
        <v>10.36096822612814</v>
      </c>
      <c r="E19" s="158">
        <f>INDEX('NKC2'!$J$138:$CM$138,1,ROW(A18))*100</f>
        <v>0.14200162508894107</v>
      </c>
    </row>
    <row r="20" spans="1:5" x14ac:dyDescent="0.45">
      <c r="A20" s="411">
        <f t="shared" si="0"/>
        <v>46082</v>
      </c>
      <c r="B20" s="411">
        <f t="shared" si="1"/>
        <v>46630</v>
      </c>
      <c r="C20" s="411">
        <f t="shared" si="2"/>
        <v>46185</v>
      </c>
      <c r="D20" s="412">
        <f>INDEX('NKC2'!$J$129:$CM$129,1,ROW(A19))*100</f>
        <v>12.384992397316173</v>
      </c>
      <c r="E20" s="412">
        <f>INDEX('NKC2'!$J$138:$CM$138,1,ROW(A19))*100</f>
        <v>0.16228757153021836</v>
      </c>
    </row>
    <row r="21" spans="1:5" x14ac:dyDescent="0.45">
      <c r="A21" s="157">
        <f t="shared" si="0"/>
        <v>46082</v>
      </c>
      <c r="B21" s="157">
        <f t="shared" si="1"/>
        <v>46630</v>
      </c>
      <c r="C21" s="157">
        <f t="shared" si="2"/>
        <v>46192</v>
      </c>
      <c r="D21" s="158">
        <f>INDEX('NKC2'!$J$129:$CM$129,1,ROW(A20))*100</f>
        <v>14.618358923411776</v>
      </c>
      <c r="E21" s="158">
        <f>INDEX('NKC2'!$J$138:$CM$138,1,ROW(A20))*100</f>
        <v>0.18257351797149565</v>
      </c>
    </row>
    <row r="22" spans="1:5" x14ac:dyDescent="0.45">
      <c r="A22" s="411">
        <f t="shared" si="0"/>
        <v>46082</v>
      </c>
      <c r="B22" s="411">
        <f t="shared" si="1"/>
        <v>46630</v>
      </c>
      <c r="C22" s="411">
        <f t="shared" si="2"/>
        <v>46199</v>
      </c>
      <c r="D22" s="412">
        <f>INDEX('NKC2'!$J$129:$CM$129,1,ROW(A21))*100</f>
        <v>17.947154071669729</v>
      </c>
      <c r="E22" s="412">
        <f>INDEX('NKC2'!$J$138:$CM$138,1,ROW(A21))*100</f>
        <v>0.1927164911921343</v>
      </c>
    </row>
    <row r="23" spans="1:5" x14ac:dyDescent="0.45">
      <c r="A23" s="157">
        <f t="shared" si="0"/>
        <v>46082</v>
      </c>
      <c r="B23" s="157">
        <f t="shared" si="1"/>
        <v>46630</v>
      </c>
      <c r="C23" s="157">
        <f t="shared" si="2"/>
        <v>46206</v>
      </c>
      <c r="D23" s="158">
        <f>INDEX('NKC2'!$J$129:$CM$129,1,ROW(A22))*100</f>
        <v>21.320952304655723</v>
      </c>
      <c r="E23" s="158">
        <f>INDEX('NKC2'!$J$138:$CM$138,1,ROW(A22))*100</f>
        <v>0</v>
      </c>
    </row>
    <row r="24" spans="1:5" x14ac:dyDescent="0.45">
      <c r="A24" s="411">
        <f t="shared" si="0"/>
        <v>46082</v>
      </c>
      <c r="B24" s="411">
        <f t="shared" si="1"/>
        <v>46630</v>
      </c>
      <c r="C24" s="411">
        <f t="shared" si="2"/>
        <v>46213</v>
      </c>
      <c r="D24" s="412">
        <f>INDEX('NKC2'!$J$129:$CM$129,1,ROW(A23))*100</f>
        <v>24.395420932728545</v>
      </c>
      <c r="E24" s="412">
        <f>INDEX('NKC2'!$J$138:$CM$138,1,ROW(A23))*100</f>
        <v>0</v>
      </c>
    </row>
    <row r="25" spans="1:5" x14ac:dyDescent="0.45">
      <c r="A25" s="157">
        <f t="shared" si="0"/>
        <v>46082</v>
      </c>
      <c r="B25" s="157">
        <f t="shared" si="1"/>
        <v>46630</v>
      </c>
      <c r="C25" s="157">
        <f t="shared" si="2"/>
        <v>46220</v>
      </c>
      <c r="D25" s="158">
        <f>INDEX('NKC2'!$J$129:$CM$129,1,ROW(A24))*100</f>
        <v>27.586291150339665</v>
      </c>
      <c r="E25" s="158">
        <f>INDEX('NKC2'!$J$138:$CM$138,1,ROW(A24))*100</f>
        <v>0</v>
      </c>
    </row>
    <row r="26" spans="1:5" x14ac:dyDescent="0.45">
      <c r="A26" s="411">
        <f t="shared" si="0"/>
        <v>46082</v>
      </c>
      <c r="B26" s="411">
        <f t="shared" si="1"/>
        <v>46630</v>
      </c>
      <c r="C26" s="411">
        <f t="shared" si="2"/>
        <v>46227</v>
      </c>
      <c r="D26" s="412">
        <f>INDEX('NKC2'!$J$129:$CM$129,1,ROW(A25))*100</f>
        <v>30.07914498741437</v>
      </c>
      <c r="E26" s="412">
        <f>INDEX('NKC2'!$J$138:$CM$138,1,ROW(A25))*100</f>
        <v>0</v>
      </c>
    </row>
    <row r="27" spans="1:5" x14ac:dyDescent="0.45">
      <c r="A27" s="157">
        <f t="shared" si="0"/>
        <v>46082</v>
      </c>
      <c r="B27" s="157">
        <f t="shared" si="1"/>
        <v>46630</v>
      </c>
      <c r="C27" s="157">
        <f t="shared" si="2"/>
        <v>46234</v>
      </c>
      <c r="D27" s="158">
        <f>INDEX('NKC2'!$J$129:$CM$129,1,ROW(A26))*100</f>
        <v>32.532527479531872</v>
      </c>
      <c r="E27" s="158">
        <f>INDEX('NKC2'!$J$138:$CM$138,1,ROW(A26))*100</f>
        <v>0</v>
      </c>
    </row>
    <row r="28" spans="1:5" x14ac:dyDescent="0.45">
      <c r="A28" s="411">
        <f t="shared" si="0"/>
        <v>46082</v>
      </c>
      <c r="B28" s="411">
        <f t="shared" si="1"/>
        <v>46630</v>
      </c>
      <c r="C28" s="411">
        <f t="shared" si="2"/>
        <v>46241</v>
      </c>
      <c r="D28" s="412">
        <f>INDEX('NKC2'!$J$129:$CM$129,1,ROW(A27))*100</f>
        <v>35.246139917398033</v>
      </c>
      <c r="E28" s="412">
        <f>INDEX('NKC2'!$J$138:$CM$138,1,ROW(A27))*100</f>
        <v>0</v>
      </c>
    </row>
    <row r="29" spans="1:5" x14ac:dyDescent="0.45">
      <c r="A29" s="157">
        <f t="shared" si="0"/>
        <v>46082</v>
      </c>
      <c r="B29" s="157">
        <f t="shared" si="1"/>
        <v>46630</v>
      </c>
      <c r="C29" s="157">
        <f t="shared" si="2"/>
        <v>46248</v>
      </c>
      <c r="D29" s="158">
        <f>INDEX('NKC2'!$J$129:$CM$129,1,ROW(A28))*100</f>
        <v>38.068235907372184</v>
      </c>
      <c r="E29" s="158">
        <f>INDEX('NKC2'!$J$138:$CM$138,1,ROW(A28))*100</f>
        <v>0</v>
      </c>
    </row>
    <row r="30" spans="1:5" x14ac:dyDescent="0.45">
      <c r="A30" s="411">
        <f t="shared" si="0"/>
        <v>46082</v>
      </c>
      <c r="B30" s="411">
        <f t="shared" si="1"/>
        <v>46630</v>
      </c>
      <c r="C30" s="411">
        <f t="shared" si="2"/>
        <v>46255</v>
      </c>
      <c r="D30" s="412">
        <f>INDEX('NKC2'!$J$129:$CM$129,1,ROW(A29))*100</f>
        <v>41.383914715735415</v>
      </c>
      <c r="E30" s="412">
        <f>INDEX('NKC2'!$J$138:$CM$138,1,ROW(A29))*100</f>
        <v>0</v>
      </c>
    </row>
    <row r="31" spans="1:5" x14ac:dyDescent="0.45">
      <c r="A31" s="157">
        <f t="shared" si="0"/>
        <v>46082</v>
      </c>
      <c r="B31" s="157">
        <f t="shared" si="1"/>
        <v>46630</v>
      </c>
      <c r="C31" s="157">
        <f t="shared" si="2"/>
        <v>46262</v>
      </c>
      <c r="D31" s="158">
        <f>INDEX('NKC2'!$J$129:$CM$129,1,ROW(A30))*100</f>
        <v>44.589097685905223</v>
      </c>
      <c r="E31" s="158">
        <f>INDEX('NKC2'!$J$138:$CM$138,1,ROW(A30))*100</f>
        <v>0</v>
      </c>
    </row>
    <row r="32" spans="1:5" x14ac:dyDescent="0.45">
      <c r="A32" s="411">
        <f t="shared" si="0"/>
        <v>46082</v>
      </c>
      <c r="B32" s="411">
        <f t="shared" si="1"/>
        <v>46630</v>
      </c>
      <c r="C32" s="411">
        <f t="shared" si="2"/>
        <v>46269</v>
      </c>
      <c r="D32" s="412">
        <f>INDEX('NKC2'!$J$129:$CM$129,1,ROW(A31))*100</f>
        <v>48.538406106868713</v>
      </c>
      <c r="E32" s="412">
        <f>INDEX('NKC2'!$J$138:$CM$138,1,ROW(A31))*100</f>
        <v>0</v>
      </c>
    </row>
    <row r="33" spans="1:5" x14ac:dyDescent="0.45">
      <c r="A33" s="157">
        <f t="shared" si="0"/>
        <v>46082</v>
      </c>
      <c r="B33" s="157">
        <f t="shared" si="1"/>
        <v>46630</v>
      </c>
      <c r="C33" s="157">
        <f t="shared" si="2"/>
        <v>46276</v>
      </c>
      <c r="D33" s="158">
        <f>INDEX('NKC2'!$J$129:$CM$129,1,ROW(A32))*100</f>
        <v>51.749652584151285</v>
      </c>
      <c r="E33" s="158">
        <f>INDEX('NKC2'!$J$138:$CM$138,1,ROW(A32))*100</f>
        <v>0</v>
      </c>
    </row>
    <row r="34" spans="1:5" x14ac:dyDescent="0.45">
      <c r="A34" s="411">
        <f t="shared" si="0"/>
        <v>46082</v>
      </c>
      <c r="B34" s="411">
        <f t="shared" si="1"/>
        <v>46630</v>
      </c>
      <c r="C34" s="411">
        <f t="shared" si="2"/>
        <v>46283</v>
      </c>
      <c r="D34" s="412">
        <f>INDEX('NKC2'!$J$129:$CM$129,1,ROW(A33))*100</f>
        <v>54.960899061433857</v>
      </c>
      <c r="E34" s="412">
        <f>INDEX('NKC2'!$J$138:$CM$138,1,ROW(A33))*100</f>
        <v>0</v>
      </c>
    </row>
    <row r="35" spans="1:5" x14ac:dyDescent="0.45">
      <c r="A35" s="157">
        <f t="shared" si="0"/>
        <v>46082</v>
      </c>
      <c r="B35" s="157">
        <f t="shared" si="1"/>
        <v>46630</v>
      </c>
      <c r="C35" s="157">
        <f t="shared" si="2"/>
        <v>46290</v>
      </c>
      <c r="D35" s="158">
        <f>INDEX('NKC2'!$J$129:$CM$129,1,ROW(A34))*100</f>
        <v>58.21155891595096</v>
      </c>
      <c r="E35" s="158">
        <f>INDEX('NKC2'!$J$138:$CM$138,1,ROW(A34))*100</f>
        <v>0</v>
      </c>
    </row>
    <row r="36" spans="1:5" x14ac:dyDescent="0.45">
      <c r="A36" s="411">
        <f t="shared" si="0"/>
        <v>46082</v>
      </c>
      <c r="B36" s="411">
        <f t="shared" si="1"/>
        <v>46630</v>
      </c>
      <c r="C36" s="411">
        <f t="shared" si="2"/>
        <v>46297</v>
      </c>
      <c r="D36" s="412">
        <f>INDEX('NKC2'!$J$129:$CM$129,1,ROW(A35))*100</f>
        <v>60.959434886567131</v>
      </c>
      <c r="E36" s="412">
        <f>INDEX('NKC2'!$J$138:$CM$138,1,ROW(A35))*100</f>
        <v>0</v>
      </c>
    </row>
    <row r="37" spans="1:5" x14ac:dyDescent="0.45">
      <c r="A37" s="157">
        <f t="shared" si="0"/>
        <v>46082</v>
      </c>
      <c r="B37" s="157">
        <f t="shared" si="1"/>
        <v>46630</v>
      </c>
      <c r="C37" s="157">
        <f t="shared" si="2"/>
        <v>46304</v>
      </c>
      <c r="D37" s="158">
        <f>INDEX('NKC2'!$J$129:$CM$129,1,ROW(A36))*100</f>
        <v>63.35778730830539</v>
      </c>
      <c r="E37" s="158">
        <f>INDEX('NKC2'!$J$138:$CM$138,1,ROW(A36))*100</f>
        <v>0</v>
      </c>
    </row>
    <row r="38" spans="1:5" x14ac:dyDescent="0.45">
      <c r="A38" s="411">
        <f t="shared" si="0"/>
        <v>46082</v>
      </c>
      <c r="B38" s="411">
        <f t="shared" si="1"/>
        <v>46630</v>
      </c>
      <c r="C38" s="411">
        <f t="shared" si="2"/>
        <v>46311</v>
      </c>
      <c r="D38" s="412">
        <f>INDEX('NKC2'!$J$129:$CM$129,1,ROW(A37))*100</f>
        <v>65.854746447212648</v>
      </c>
      <c r="E38" s="412">
        <f>INDEX('NKC2'!$J$138:$CM$138,1,ROW(A37))*100</f>
        <v>0</v>
      </c>
    </row>
    <row r="39" spans="1:5" x14ac:dyDescent="0.45">
      <c r="A39" s="157">
        <f t="shared" si="0"/>
        <v>46082</v>
      </c>
      <c r="B39" s="157">
        <f t="shared" si="1"/>
        <v>46630</v>
      </c>
      <c r="C39" s="157">
        <f t="shared" si="2"/>
        <v>46318</v>
      </c>
      <c r="D39" s="158">
        <f>INDEX('NKC2'!$J$129:$CM$129,1,ROW(A38))*100</f>
        <v>68.428625957108807</v>
      </c>
      <c r="E39" s="158">
        <f>INDEX('NKC2'!$J$138:$CM$138,1,ROW(A38))*100</f>
        <v>0</v>
      </c>
    </row>
    <row r="40" spans="1:5" x14ac:dyDescent="0.45">
      <c r="A40" s="411">
        <f t="shared" si="0"/>
        <v>46082</v>
      </c>
      <c r="B40" s="411">
        <f t="shared" si="1"/>
        <v>46630</v>
      </c>
      <c r="C40" s="411">
        <f t="shared" si="2"/>
        <v>46325</v>
      </c>
      <c r="D40" s="412">
        <f>INDEX('NKC2'!$J$129:$CM$129,1,ROW(A39))*100</f>
        <v>70.341824277698905</v>
      </c>
      <c r="E40" s="412">
        <f>INDEX('NKC2'!$J$138:$CM$138,1,ROW(A39))*100</f>
        <v>0</v>
      </c>
    </row>
    <row r="41" spans="1:5" x14ac:dyDescent="0.45">
      <c r="A41" s="157">
        <f t="shared" si="0"/>
        <v>46082</v>
      </c>
      <c r="B41" s="157">
        <f t="shared" si="1"/>
        <v>46630</v>
      </c>
      <c r="C41" s="157">
        <f t="shared" si="2"/>
        <v>46332</v>
      </c>
      <c r="D41" s="158">
        <f>INDEX('NKC2'!$J$129:$CM$129,1,ROW(A40))*100</f>
        <v>72.578596516906828</v>
      </c>
      <c r="E41" s="158">
        <f>INDEX('NKC2'!$J$138:$CM$138,1,ROW(A40))*100</f>
        <v>0</v>
      </c>
    </row>
    <row r="42" spans="1:5" x14ac:dyDescent="0.45">
      <c r="A42" s="411">
        <f t="shared" si="0"/>
        <v>46082</v>
      </c>
      <c r="B42" s="411">
        <f t="shared" si="1"/>
        <v>46630</v>
      </c>
      <c r="C42" s="411">
        <f t="shared" si="2"/>
        <v>46339</v>
      </c>
      <c r="D42" s="412">
        <f>INDEX('NKC2'!$J$129:$CM$129,1,ROW(A41))*100</f>
        <v>74.227773616281567</v>
      </c>
      <c r="E42" s="412">
        <f>INDEX('NKC2'!$J$138:$CM$138,1,ROW(A41))*100</f>
        <v>0</v>
      </c>
    </row>
    <row r="43" spans="1:5" x14ac:dyDescent="0.45">
      <c r="A43" s="157">
        <f t="shared" si="0"/>
        <v>46082</v>
      </c>
      <c r="B43" s="157">
        <f t="shared" si="1"/>
        <v>46630</v>
      </c>
      <c r="C43" s="157">
        <f t="shared" si="2"/>
        <v>46346</v>
      </c>
      <c r="D43" s="158">
        <f>INDEX('NKC2'!$J$129:$CM$129,1,ROW(A42))*100</f>
        <v>76.754111156113794</v>
      </c>
      <c r="E43" s="158">
        <f>INDEX('NKC2'!$J$138:$CM$138,1,ROW(A42))*100</f>
        <v>0</v>
      </c>
    </row>
    <row r="44" spans="1:5" x14ac:dyDescent="0.45">
      <c r="A44" s="411">
        <f t="shared" si="0"/>
        <v>46082</v>
      </c>
      <c r="B44" s="411">
        <f t="shared" si="1"/>
        <v>46630</v>
      </c>
      <c r="C44" s="411">
        <f t="shared" si="2"/>
        <v>46353</v>
      </c>
      <c r="D44" s="412">
        <f>INDEX('NKC2'!$J$129:$CM$129,1,ROW(A43))*100</f>
        <v>78.897957692766113</v>
      </c>
      <c r="E44" s="412">
        <f>INDEX('NKC2'!$J$138:$CM$138,1,ROW(A43))*100</f>
        <v>0</v>
      </c>
    </row>
    <row r="45" spans="1:5" x14ac:dyDescent="0.45">
      <c r="A45" s="157">
        <f t="shared" si="0"/>
        <v>46082</v>
      </c>
      <c r="B45" s="157">
        <f t="shared" si="1"/>
        <v>46630</v>
      </c>
      <c r="C45" s="157">
        <f t="shared" si="2"/>
        <v>46360</v>
      </c>
      <c r="D45" s="158">
        <f>INDEX('NKC2'!$J$129:$CM$129,1,ROW(A44))*100</f>
        <v>81.72340933957878</v>
      </c>
      <c r="E45" s="158">
        <f>INDEX('NKC2'!$J$138:$CM$138,1,ROW(A44))*100</f>
        <v>0</v>
      </c>
    </row>
    <row r="46" spans="1:5" x14ac:dyDescent="0.45">
      <c r="A46" s="411">
        <f t="shared" si="0"/>
        <v>46082</v>
      </c>
      <c r="B46" s="411">
        <f t="shared" si="1"/>
        <v>46630</v>
      </c>
      <c r="C46" s="411">
        <f t="shared" si="2"/>
        <v>46367</v>
      </c>
      <c r="D46" s="412">
        <f>INDEX('NKC2'!$J$129:$CM$129,1,ROW(A45))*100</f>
        <v>84.966066889481368</v>
      </c>
      <c r="E46" s="412">
        <f>INDEX('NKC2'!$J$138:$CM$138,1,ROW(A45))*100</f>
        <v>0</v>
      </c>
    </row>
    <row r="47" spans="1:5" x14ac:dyDescent="0.45">
      <c r="A47" s="157">
        <f t="shared" si="0"/>
        <v>46082</v>
      </c>
      <c r="B47" s="157">
        <f t="shared" si="1"/>
        <v>46630</v>
      </c>
      <c r="C47" s="157">
        <f t="shared" si="2"/>
        <v>46374</v>
      </c>
      <c r="D47" s="158">
        <f>INDEX('NKC2'!$J$129:$CM$129,1,ROW(A46))*100</f>
        <v>87.296512964094035</v>
      </c>
      <c r="E47" s="158">
        <f>INDEX('NKC2'!$J$138:$CM$138,1,ROW(A46))*100</f>
        <v>0</v>
      </c>
    </row>
    <row r="48" spans="1:5" x14ac:dyDescent="0.45">
      <c r="A48" s="411">
        <f t="shared" si="0"/>
        <v>46082</v>
      </c>
      <c r="B48" s="411">
        <f t="shared" si="1"/>
        <v>46630</v>
      </c>
      <c r="C48" s="411">
        <f t="shared" si="2"/>
        <v>46381</v>
      </c>
      <c r="D48" s="412">
        <f>INDEX('NKC2'!$J$129:$CM$129,1,ROW(A47))*100</f>
        <v>89.089305079895254</v>
      </c>
      <c r="E48" s="412">
        <f>INDEX('NKC2'!$J$138:$CM$138,1,ROW(A47))*100</f>
        <v>0</v>
      </c>
    </row>
    <row r="49" spans="1:5" x14ac:dyDescent="0.45">
      <c r="A49" s="157">
        <f t="shared" si="0"/>
        <v>46082</v>
      </c>
      <c r="B49" s="157">
        <f t="shared" si="1"/>
        <v>46630</v>
      </c>
      <c r="C49" s="157">
        <f t="shared" si="2"/>
        <v>46388</v>
      </c>
      <c r="D49" s="158">
        <f>INDEX('NKC2'!$J$129:$CM$129,1,ROW(A48))*100</f>
        <v>90.913644488093738</v>
      </c>
      <c r="E49" s="158">
        <f>INDEX('NKC2'!$J$138:$CM$138,1,ROW(A48))*100</f>
        <v>0</v>
      </c>
    </row>
    <row r="50" spans="1:5" x14ac:dyDescent="0.45">
      <c r="A50" s="411">
        <f t="shared" si="0"/>
        <v>46082</v>
      </c>
      <c r="B50" s="411">
        <f t="shared" si="1"/>
        <v>46630</v>
      </c>
      <c r="C50" s="411">
        <f t="shared" si="2"/>
        <v>46395</v>
      </c>
      <c r="D50" s="412">
        <f>INDEX('NKC2'!$J$129:$CM$129,1,ROW(A49))*100</f>
        <v>91.992603307995751</v>
      </c>
      <c r="E50" s="412">
        <f>INDEX('NKC2'!$J$138:$CM$138,1,ROW(A49))*100</f>
        <v>0</v>
      </c>
    </row>
    <row r="51" spans="1:5" x14ac:dyDescent="0.45">
      <c r="A51" s="157">
        <f t="shared" si="0"/>
        <v>46082</v>
      </c>
      <c r="B51" s="157">
        <f t="shared" si="1"/>
        <v>46630</v>
      </c>
      <c r="C51" s="157">
        <f t="shared" si="2"/>
        <v>46402</v>
      </c>
      <c r="D51" s="158">
        <f>INDEX('NKC2'!$J$129:$CM$129,1,ROW(A50))*100</f>
        <v>92.695204356729747</v>
      </c>
      <c r="E51" s="158">
        <f>INDEX('NKC2'!$J$138:$CM$138,1,ROW(A50))*100</f>
        <v>0</v>
      </c>
    </row>
    <row r="52" spans="1:5" x14ac:dyDescent="0.45">
      <c r="A52" s="411">
        <f t="shared" si="0"/>
        <v>46082</v>
      </c>
      <c r="B52" s="411">
        <f t="shared" si="1"/>
        <v>46630</v>
      </c>
      <c r="C52" s="411">
        <f t="shared" si="2"/>
        <v>46409</v>
      </c>
      <c r="D52" s="412">
        <f>INDEX('NKC2'!$J$129:$CM$129,1,ROW(A51))*100</f>
        <v>93.47470911328341</v>
      </c>
      <c r="E52" s="412">
        <f>INDEX('NKC2'!$J$138:$CM$138,1,ROW(A51))*100</f>
        <v>0</v>
      </c>
    </row>
    <row r="53" spans="1:5" x14ac:dyDescent="0.45">
      <c r="A53" s="157">
        <f t="shared" si="0"/>
        <v>46082</v>
      </c>
      <c r="B53" s="157">
        <f t="shared" si="1"/>
        <v>46630</v>
      </c>
      <c r="C53" s="157">
        <f t="shared" si="2"/>
        <v>46416</v>
      </c>
      <c r="D53" s="158">
        <f>INDEX('NKC2'!$J$129:$CM$129,1,ROW(A52))*100</f>
        <v>93.913054298097592</v>
      </c>
      <c r="E53" s="158">
        <f>INDEX('NKC2'!$J$138:$CM$138,1,ROW(A52))*100</f>
        <v>0</v>
      </c>
    </row>
    <row r="54" spans="1:5" x14ac:dyDescent="0.45">
      <c r="A54" s="411">
        <f t="shared" si="0"/>
        <v>46082</v>
      </c>
      <c r="B54" s="411">
        <f t="shared" si="1"/>
        <v>46630</v>
      </c>
      <c r="C54" s="411">
        <f t="shared" si="2"/>
        <v>46423</v>
      </c>
      <c r="D54" s="412">
        <f>INDEX('NKC2'!$J$129:$CM$129,1,ROW(A53))*100</f>
        <v>95.294878447723789</v>
      </c>
      <c r="E54" s="412">
        <f>INDEX('NKC2'!$J$138:$CM$138,1,ROW(A53))*100</f>
        <v>0</v>
      </c>
    </row>
    <row r="55" spans="1:5" x14ac:dyDescent="0.45">
      <c r="A55" s="157">
        <f t="shared" si="0"/>
        <v>46082</v>
      </c>
      <c r="B55" s="157">
        <f t="shared" si="1"/>
        <v>46630</v>
      </c>
      <c r="C55" s="157">
        <f t="shared" si="2"/>
        <v>46430</v>
      </c>
      <c r="D55" s="158">
        <f>INDEX('NKC2'!$J$129:$CM$129,1,ROW(A54))*100</f>
        <v>96.18173560997117</v>
      </c>
      <c r="E55" s="158">
        <f>INDEX('NKC2'!$J$138:$CM$138,1,ROW(A54))*100</f>
        <v>0</v>
      </c>
    </row>
    <row r="56" spans="1:5" x14ac:dyDescent="0.45">
      <c r="A56" s="411">
        <f t="shared" si="0"/>
        <v>46082</v>
      </c>
      <c r="B56" s="411">
        <f t="shared" si="1"/>
        <v>46630</v>
      </c>
      <c r="C56" s="411">
        <f t="shared" si="2"/>
        <v>46437</v>
      </c>
      <c r="D56" s="412">
        <f>INDEX('NKC2'!$J$129:$CM$129,1,ROW(A55))*100</f>
        <v>97.041679449360615</v>
      </c>
      <c r="E56" s="412">
        <f>INDEX('NKC2'!$J$138:$CM$138,1,ROW(A55))*100</f>
        <v>0</v>
      </c>
    </row>
    <row r="57" spans="1:5" x14ac:dyDescent="0.45">
      <c r="A57" s="157">
        <f t="shared" si="0"/>
        <v>46082</v>
      </c>
      <c r="B57" s="157">
        <f t="shared" si="1"/>
        <v>46630</v>
      </c>
      <c r="C57" s="157">
        <f t="shared" si="2"/>
        <v>46444</v>
      </c>
      <c r="D57" s="158">
        <f>INDEX('NKC2'!$J$129:$CM$129,1,ROW(A56))*100</f>
        <v>97.901623288750073</v>
      </c>
      <c r="E57" s="158">
        <f>INDEX('NKC2'!$J$138:$CM$138,1,ROW(A56))*100</f>
        <v>0</v>
      </c>
    </row>
    <row r="58" spans="1:5" x14ac:dyDescent="0.45">
      <c r="A58" s="411">
        <f t="shared" si="0"/>
        <v>46082</v>
      </c>
      <c r="B58" s="411">
        <f t="shared" si="1"/>
        <v>46630</v>
      </c>
      <c r="C58" s="411">
        <f t="shared" si="2"/>
        <v>46451</v>
      </c>
      <c r="D58" s="412">
        <f>INDEX('NKC2'!$J$129:$CM$129,1,ROW(A57))*100</f>
        <v>98.541573028292063</v>
      </c>
      <c r="E58" s="412">
        <f>INDEX('NKC2'!$J$138:$CM$138,1,ROW(A57))*100</f>
        <v>0</v>
      </c>
    </row>
    <row r="59" spans="1:5" x14ac:dyDescent="0.45">
      <c r="A59" s="157">
        <f t="shared" si="0"/>
        <v>46082</v>
      </c>
      <c r="B59" s="157">
        <f t="shared" si="1"/>
        <v>46630</v>
      </c>
      <c r="C59" s="157">
        <f>C58+7</f>
        <v>46458</v>
      </c>
      <c r="D59" s="158">
        <f>INDEX('NKC2'!$J$129:$CM$129,1,ROW(A58))*100</f>
        <v>99.181522767834053</v>
      </c>
      <c r="E59" s="158">
        <f>INDEX('NKC2'!$J$138:$CM$138,1,ROW(A58))*100</f>
        <v>0</v>
      </c>
    </row>
    <row r="60" spans="1:5" x14ac:dyDescent="0.45">
      <c r="A60" s="411">
        <f t="shared" si="0"/>
        <v>46082</v>
      </c>
      <c r="B60" s="411">
        <f t="shared" si="1"/>
        <v>46630</v>
      </c>
      <c r="C60" s="411">
        <f t="shared" si="2"/>
        <v>46465</v>
      </c>
      <c r="D60" s="412">
        <f>INDEX('NKC2'!$J$129:$CM$129,1,ROW(A59))*100</f>
        <v>99.590761383917027</v>
      </c>
      <c r="E60" s="412">
        <f>INDEX('NKC2'!$J$138:$CM$138,1,ROW(A59))*100</f>
        <v>0</v>
      </c>
    </row>
    <row r="61" spans="1:5" x14ac:dyDescent="0.45">
      <c r="A61" s="157">
        <f t="shared" si="0"/>
        <v>46082</v>
      </c>
      <c r="B61" s="157">
        <f t="shared" si="1"/>
        <v>46630</v>
      </c>
      <c r="C61" s="157">
        <f t="shared" si="2"/>
        <v>46472</v>
      </c>
      <c r="D61" s="158">
        <f>INDEX('NKC2'!$J$129:$CM$129,1,ROW(A60))*100</f>
        <v>100</v>
      </c>
      <c r="E61" s="158">
        <f>INDEX('NKC2'!$J$138:$CM$138,1,ROW(A60))*100</f>
        <v>0</v>
      </c>
    </row>
    <row r="62" spans="1:5" x14ac:dyDescent="0.45">
      <c r="A62" s="411">
        <f t="shared" si="0"/>
        <v>46082</v>
      </c>
      <c r="B62" s="411">
        <f t="shared" si="1"/>
        <v>46630</v>
      </c>
      <c r="C62" s="411">
        <f t="shared" si="2"/>
        <v>46479</v>
      </c>
      <c r="D62" s="412">
        <f>INDEX('NKC2'!$J$129:$CM$129,1,ROW(A61))*100</f>
        <v>100</v>
      </c>
      <c r="E62" s="412">
        <f>INDEX('NKC2'!$J$138:$CM$138,1,ROW(A61))*100</f>
        <v>0</v>
      </c>
    </row>
    <row r="63" spans="1:5" x14ac:dyDescent="0.45">
      <c r="A63" s="157">
        <f t="shared" si="0"/>
        <v>46082</v>
      </c>
      <c r="B63" s="157">
        <f t="shared" si="1"/>
        <v>46630</v>
      </c>
      <c r="C63" s="157">
        <f t="shared" si="2"/>
        <v>46486</v>
      </c>
      <c r="D63" s="158">
        <f>INDEX('NKC2'!$J$129:$CM$129,1,ROW(A62))*100</f>
        <v>100</v>
      </c>
      <c r="E63" s="158">
        <f>INDEX('NKC2'!$J$138:$CM$138,1,ROW(A62))*100</f>
        <v>0</v>
      </c>
    </row>
    <row r="64" spans="1:5" x14ac:dyDescent="0.45">
      <c r="A64" s="411">
        <f t="shared" si="0"/>
        <v>46082</v>
      </c>
      <c r="B64" s="411">
        <f t="shared" si="1"/>
        <v>46630</v>
      </c>
      <c r="C64" s="411">
        <f t="shared" si="2"/>
        <v>46493</v>
      </c>
      <c r="D64" s="412">
        <f>INDEX('NKC2'!$J$129:$CM$129,1,ROW(A63))*100</f>
        <v>100</v>
      </c>
      <c r="E64" s="412">
        <f>INDEX('NKC2'!$J$138:$CM$138,1,ROW(A63))*100</f>
        <v>0</v>
      </c>
    </row>
    <row r="65" spans="1:5" x14ac:dyDescent="0.45">
      <c r="A65" s="157">
        <f t="shared" si="0"/>
        <v>46082</v>
      </c>
      <c r="B65" s="157">
        <f t="shared" si="1"/>
        <v>46630</v>
      </c>
      <c r="C65" s="157">
        <f t="shared" si="2"/>
        <v>46500</v>
      </c>
      <c r="D65" s="158">
        <f>INDEX('NKC2'!$J$129:$CM$129,1,ROW(A64))*100</f>
        <v>100</v>
      </c>
      <c r="E65" s="158">
        <f>INDEX('NKC2'!$J$138:$CM$138,1,ROW(A64))*100</f>
        <v>0</v>
      </c>
    </row>
    <row r="66" spans="1:5" x14ac:dyDescent="0.45">
      <c r="A66" s="411">
        <f t="shared" si="0"/>
        <v>46082</v>
      </c>
      <c r="B66" s="411">
        <f t="shared" si="1"/>
        <v>46630</v>
      </c>
      <c r="C66" s="411">
        <f t="shared" si="2"/>
        <v>46507</v>
      </c>
      <c r="D66" s="412">
        <f>INDEX('NKC2'!$J$129:$CM$129,1,ROW(A65))*100</f>
        <v>100</v>
      </c>
      <c r="E66" s="412">
        <f>INDEX('NKC2'!$J$138:$CM$138,1,ROW(A65))*100</f>
        <v>0</v>
      </c>
    </row>
    <row r="67" spans="1:5" x14ac:dyDescent="0.45">
      <c r="A67" s="157">
        <f t="shared" si="0"/>
        <v>46082</v>
      </c>
      <c r="B67" s="157">
        <f t="shared" si="1"/>
        <v>46630</v>
      </c>
      <c r="C67" s="157">
        <f t="shared" si="2"/>
        <v>46514</v>
      </c>
      <c r="D67" s="158">
        <f>INDEX('NKC2'!$J$129:$CM$129,1,ROW(A66))*100</f>
        <v>100</v>
      </c>
      <c r="E67" s="158">
        <f>INDEX('NKC2'!$J$138:$CM$138,1,ROW(A66))*100</f>
        <v>0</v>
      </c>
    </row>
    <row r="68" spans="1:5" x14ac:dyDescent="0.45">
      <c r="A68" s="411">
        <f t="shared" ref="A68:A80" si="3">A67</f>
        <v>46082</v>
      </c>
      <c r="B68" s="411">
        <f t="shared" ref="B68:B80" si="4">B67</f>
        <v>46630</v>
      </c>
      <c r="C68" s="411">
        <f t="shared" ref="C68:C70" si="5">C67+7</f>
        <v>46521</v>
      </c>
      <c r="D68" s="412">
        <f>INDEX('NKC2'!$J$129:$CM$129,1,ROW(A67))*100</f>
        <v>100</v>
      </c>
      <c r="E68" s="412">
        <f>INDEX('NKC2'!$J$138:$CM$138,1,ROW(A67))*100</f>
        <v>0</v>
      </c>
    </row>
    <row r="69" spans="1:5" x14ac:dyDescent="0.45">
      <c r="A69" s="157">
        <f t="shared" si="3"/>
        <v>46082</v>
      </c>
      <c r="B69" s="157">
        <f t="shared" si="4"/>
        <v>46630</v>
      </c>
      <c r="C69" s="157">
        <f t="shared" si="5"/>
        <v>46528</v>
      </c>
      <c r="D69" s="158">
        <f>INDEX('NKC2'!$J$129:$CM$129,1,ROW(A68))*100</f>
        <v>100</v>
      </c>
      <c r="E69" s="158">
        <f>INDEX('NKC2'!$J$138:$CM$138,1,ROW(A68))*100</f>
        <v>0</v>
      </c>
    </row>
    <row r="70" spans="1:5" x14ac:dyDescent="0.45">
      <c r="A70" s="411">
        <f t="shared" si="3"/>
        <v>46082</v>
      </c>
      <c r="B70" s="411">
        <f t="shared" si="4"/>
        <v>46630</v>
      </c>
      <c r="C70" s="411">
        <f t="shared" si="5"/>
        <v>46535</v>
      </c>
      <c r="D70" s="412">
        <f>INDEX('NKC2'!$J$129:$CM$129,1,ROW(A69))*100</f>
        <v>100</v>
      </c>
      <c r="E70" s="412">
        <f>INDEX('NKC2'!$J$138:$CM$138,1,ROW(A69))*100</f>
        <v>0</v>
      </c>
    </row>
    <row r="71" spans="1:5" x14ac:dyDescent="0.45">
      <c r="A71" s="157">
        <f t="shared" si="3"/>
        <v>46082</v>
      </c>
      <c r="B71" s="157">
        <f t="shared" si="4"/>
        <v>46630</v>
      </c>
      <c r="C71" s="157">
        <f>C70+7</f>
        <v>46542</v>
      </c>
      <c r="D71" s="158">
        <f>INDEX('NKC2'!$J$129:$CM$129,1,ROW(A70))*100</f>
        <v>100</v>
      </c>
      <c r="E71" s="158">
        <f>INDEX('NKC2'!$J$138:$CM$138,1,ROW(A70))*100</f>
        <v>0</v>
      </c>
    </row>
    <row r="72" spans="1:5" x14ac:dyDescent="0.45">
      <c r="A72" s="411">
        <f t="shared" si="3"/>
        <v>46082</v>
      </c>
      <c r="B72" s="411">
        <f t="shared" si="4"/>
        <v>46630</v>
      </c>
      <c r="C72" s="411">
        <f t="shared" ref="C72:C80" si="6">C71+7</f>
        <v>46549</v>
      </c>
      <c r="D72" s="412">
        <f>INDEX('NKC2'!$J$129:$CM$129,1,ROW(A71))*100</f>
        <v>100</v>
      </c>
      <c r="E72" s="412">
        <f>INDEX('NKC2'!$J$138:$CM$138,1,ROW(A71))*100</f>
        <v>0</v>
      </c>
    </row>
    <row r="73" spans="1:5" x14ac:dyDescent="0.45">
      <c r="A73" s="157">
        <f t="shared" si="3"/>
        <v>46082</v>
      </c>
      <c r="B73" s="157">
        <f t="shared" si="4"/>
        <v>46630</v>
      </c>
      <c r="C73" s="157">
        <f t="shared" si="6"/>
        <v>46556</v>
      </c>
      <c r="D73" s="158">
        <f>INDEX('NKC2'!$J$129:$CM$129,1,ROW(A72))*100</f>
        <v>100</v>
      </c>
      <c r="E73" s="158">
        <f>INDEX('NKC2'!$J$138:$CM$138,1,ROW(A72))*100</f>
        <v>0</v>
      </c>
    </row>
    <row r="74" spans="1:5" x14ac:dyDescent="0.45">
      <c r="A74" s="411">
        <f t="shared" si="3"/>
        <v>46082</v>
      </c>
      <c r="B74" s="411">
        <f t="shared" si="4"/>
        <v>46630</v>
      </c>
      <c r="C74" s="411">
        <f t="shared" si="6"/>
        <v>46563</v>
      </c>
      <c r="D74" s="412">
        <f>INDEX('NKC2'!$J$129:$CM$129,1,ROW(A73))*100</f>
        <v>100</v>
      </c>
      <c r="E74" s="412">
        <f>INDEX('NKC2'!$J$138:$CM$138,1,ROW(A73))*100</f>
        <v>0</v>
      </c>
    </row>
    <row r="75" spans="1:5" x14ac:dyDescent="0.45">
      <c r="A75" s="157">
        <f t="shared" si="3"/>
        <v>46082</v>
      </c>
      <c r="B75" s="157">
        <f t="shared" si="4"/>
        <v>46630</v>
      </c>
      <c r="C75" s="157">
        <f t="shared" si="6"/>
        <v>46570</v>
      </c>
      <c r="D75" s="158">
        <f>INDEX('NKC2'!$J$129:$CM$129,1,ROW(A74))*100</f>
        <v>100</v>
      </c>
      <c r="E75" s="158">
        <f>INDEX('NKC2'!$J$138:$CM$138,1,ROW(A74))*100</f>
        <v>0</v>
      </c>
    </row>
    <row r="76" spans="1:5" x14ac:dyDescent="0.45">
      <c r="A76" s="411">
        <f t="shared" si="3"/>
        <v>46082</v>
      </c>
      <c r="B76" s="411">
        <f t="shared" si="4"/>
        <v>46630</v>
      </c>
      <c r="C76" s="411">
        <f t="shared" si="6"/>
        <v>46577</v>
      </c>
      <c r="D76" s="412">
        <f>INDEX('NKC2'!$J$129:$CM$129,1,ROW(A75))*100</f>
        <v>100</v>
      </c>
      <c r="E76" s="412">
        <f>INDEX('NKC2'!$J$138:$CM$138,1,ROW(A75))*100</f>
        <v>0</v>
      </c>
    </row>
    <row r="77" spans="1:5" x14ac:dyDescent="0.45">
      <c r="A77" s="157">
        <f t="shared" si="3"/>
        <v>46082</v>
      </c>
      <c r="B77" s="157">
        <f t="shared" si="4"/>
        <v>46630</v>
      </c>
      <c r="C77" s="157">
        <f t="shared" si="6"/>
        <v>46584</v>
      </c>
      <c r="D77" s="158">
        <f>INDEX('NKC2'!$J$129:$CM$129,1,ROW(A76))*100</f>
        <v>100</v>
      </c>
      <c r="E77" s="158">
        <f>INDEX('NKC2'!$J$138:$CM$138,1,ROW(A76))*100</f>
        <v>0</v>
      </c>
    </row>
    <row r="78" spans="1:5" x14ac:dyDescent="0.45">
      <c r="A78" s="411">
        <f t="shared" si="3"/>
        <v>46082</v>
      </c>
      <c r="B78" s="411">
        <f t="shared" si="4"/>
        <v>46630</v>
      </c>
      <c r="C78" s="411">
        <f t="shared" si="6"/>
        <v>46591</v>
      </c>
      <c r="D78" s="412">
        <f>INDEX('NKC2'!$J$129:$CM$129,1,ROW(A77))*100</f>
        <v>100</v>
      </c>
      <c r="E78" s="412">
        <f>INDEX('NKC2'!$J$138:$CM$138,1,ROW(A77))*100</f>
        <v>0</v>
      </c>
    </row>
    <row r="79" spans="1:5" x14ac:dyDescent="0.45">
      <c r="A79" s="157">
        <f t="shared" si="3"/>
        <v>46082</v>
      </c>
      <c r="B79" s="157">
        <f t="shared" si="4"/>
        <v>46630</v>
      </c>
      <c r="C79" s="157">
        <f t="shared" si="6"/>
        <v>46598</v>
      </c>
      <c r="D79" s="158">
        <f>INDEX('NKC2'!$J$129:$CM$129,1,ROW(A78))*100</f>
        <v>100</v>
      </c>
      <c r="E79" s="158">
        <f>INDEX('NKC2'!$J$138:$CM$138,1,ROW(A78))*100</f>
        <v>0</v>
      </c>
    </row>
    <row r="80" spans="1:5" x14ac:dyDescent="0.45">
      <c r="A80" s="411">
        <f t="shared" si="3"/>
        <v>46082</v>
      </c>
      <c r="B80" s="411">
        <f t="shared" si="4"/>
        <v>46630</v>
      </c>
      <c r="C80" s="411">
        <f t="shared" si="6"/>
        <v>46605</v>
      </c>
      <c r="D80" s="412">
        <f>INDEX('NKC2'!$J$129:$CM$129,1,ROW(A79))*100</f>
        <v>100</v>
      </c>
      <c r="E80" s="412">
        <f>INDEX('NKC2'!$J$138:$CM$138,1,ROW(A79))*100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11"/>
  <sheetViews>
    <sheetView tabSelected="1" workbookViewId="0">
      <selection activeCell="D1" sqref="D1:D1048576"/>
    </sheetView>
  </sheetViews>
  <sheetFormatPr defaultRowHeight="21" x14ac:dyDescent="0.45"/>
  <cols>
    <col min="2" max="2" width="46.83203125" customWidth="1"/>
    <col min="3" max="3" width="19.5" customWidth="1"/>
    <col min="4" max="4" width="9.33203125" style="140"/>
    <col min="5" max="5" width="11.5" customWidth="1"/>
    <col min="6" max="87" width="10.1640625" bestFit="1" customWidth="1"/>
  </cols>
  <sheetData>
    <row r="1" spans="1:87" ht="30.75" customHeight="1" x14ac:dyDescent="0.45">
      <c r="A1" s="401" t="s">
        <v>149</v>
      </c>
      <c r="B1" s="401" t="s">
        <v>150</v>
      </c>
      <c r="C1" s="401" t="s">
        <v>151</v>
      </c>
      <c r="D1" s="406" t="s">
        <v>152</v>
      </c>
      <c r="E1" s="401" t="s">
        <v>153</v>
      </c>
      <c r="F1" s="402">
        <f>'NKC2'!J11</f>
        <v>46059</v>
      </c>
      <c r="G1" s="402">
        <f>'NKC2'!K11</f>
        <v>46066</v>
      </c>
      <c r="H1" s="402">
        <f>'NKC2'!L11</f>
        <v>46073</v>
      </c>
      <c r="I1" s="402">
        <f>'NKC2'!M11</f>
        <v>46080</v>
      </c>
      <c r="J1" s="402">
        <f>'NKC2'!N11</f>
        <v>46087</v>
      </c>
      <c r="K1" s="402">
        <f>'NKC2'!O11</f>
        <v>46094</v>
      </c>
      <c r="L1" s="402">
        <f>'NKC2'!P11</f>
        <v>46101</v>
      </c>
      <c r="M1" s="402">
        <f>'NKC2'!Q11</f>
        <v>46108</v>
      </c>
      <c r="N1" s="402">
        <f>'NKC2'!R11</f>
        <v>46115</v>
      </c>
      <c r="O1" s="402">
        <f>'NKC2'!S11</f>
        <v>46122</v>
      </c>
      <c r="P1" s="402">
        <f>'NKC2'!T11</f>
        <v>46129</v>
      </c>
      <c r="Q1" s="402">
        <f>'NKC2'!U11</f>
        <v>46136</v>
      </c>
      <c r="R1" s="402">
        <f>'NKC2'!V11</f>
        <v>46143</v>
      </c>
      <c r="S1" s="402">
        <f>'NKC2'!W11</f>
        <v>46150</v>
      </c>
      <c r="T1" s="402">
        <f>'NKC2'!X11</f>
        <v>46157</v>
      </c>
      <c r="U1" s="402">
        <f>'NKC2'!Y11</f>
        <v>46164</v>
      </c>
      <c r="V1" s="402">
        <f>'NKC2'!Z11</f>
        <v>46171</v>
      </c>
      <c r="W1" s="402">
        <f>'NKC2'!AA11</f>
        <v>46178</v>
      </c>
      <c r="X1" s="402">
        <f>'NKC2'!AB11</f>
        <v>46185</v>
      </c>
      <c r="Y1" s="402">
        <f>'NKC2'!AC11</f>
        <v>46192</v>
      </c>
      <c r="Z1" s="402">
        <f>'NKC2'!AD11</f>
        <v>46199</v>
      </c>
      <c r="AA1" s="402">
        <f>'NKC2'!AE11</f>
        <v>46206</v>
      </c>
      <c r="AB1" s="402">
        <f>'NKC2'!AF11</f>
        <v>46213</v>
      </c>
      <c r="AC1" s="402">
        <f>'NKC2'!AG11</f>
        <v>46220</v>
      </c>
      <c r="AD1" s="402">
        <f>'NKC2'!AH11</f>
        <v>46227</v>
      </c>
      <c r="AE1" s="402">
        <f>'NKC2'!AI11</f>
        <v>46234</v>
      </c>
      <c r="AF1" s="402">
        <f>'NKC2'!AJ11</f>
        <v>46241</v>
      </c>
      <c r="AG1" s="402">
        <f>'NKC2'!AK11</f>
        <v>46248</v>
      </c>
      <c r="AH1" s="402">
        <f>'NKC2'!AL11</f>
        <v>46255</v>
      </c>
      <c r="AI1" s="402">
        <f>'NKC2'!AM11</f>
        <v>46262</v>
      </c>
      <c r="AJ1" s="402">
        <f>'NKC2'!AN11</f>
        <v>46269</v>
      </c>
      <c r="AK1" s="402">
        <f>'NKC2'!AO11</f>
        <v>46276</v>
      </c>
      <c r="AL1" s="402">
        <f>'NKC2'!AP11</f>
        <v>46283</v>
      </c>
      <c r="AM1" s="402">
        <f>'NKC2'!AQ11</f>
        <v>46290</v>
      </c>
      <c r="AN1" s="402">
        <f>'NKC2'!AR11</f>
        <v>46297</v>
      </c>
      <c r="AO1" s="402">
        <f>'NKC2'!AS11</f>
        <v>46304</v>
      </c>
      <c r="AP1" s="402">
        <f>'NKC2'!AT11</f>
        <v>46311</v>
      </c>
      <c r="AQ1" s="402">
        <f>'NKC2'!AU11</f>
        <v>46318</v>
      </c>
      <c r="AR1" s="402">
        <f>'NKC2'!AV11</f>
        <v>46325</v>
      </c>
      <c r="AS1" s="402">
        <f>'NKC2'!AW11</f>
        <v>46332</v>
      </c>
      <c r="AT1" s="402">
        <f>'NKC2'!AX11</f>
        <v>46339</v>
      </c>
      <c r="AU1" s="402">
        <f>'NKC2'!AY11</f>
        <v>46346</v>
      </c>
      <c r="AV1" s="402">
        <f>'NKC2'!AZ11</f>
        <v>46353</v>
      </c>
      <c r="AW1" s="402">
        <f>'NKC2'!BA11</f>
        <v>46360</v>
      </c>
      <c r="AX1" s="402">
        <f>'NKC2'!BB11</f>
        <v>46367</v>
      </c>
      <c r="AY1" s="402">
        <f>'NKC2'!BC11</f>
        <v>46374</v>
      </c>
      <c r="AZ1" s="402">
        <f>'NKC2'!BD11</f>
        <v>46381</v>
      </c>
      <c r="BA1" s="402">
        <f>'NKC2'!BE11</f>
        <v>46388</v>
      </c>
      <c r="BB1" s="402">
        <f>'NKC2'!BF11</f>
        <v>46395</v>
      </c>
      <c r="BC1" s="402">
        <f>'NKC2'!BG11</f>
        <v>46402</v>
      </c>
      <c r="BD1" s="402">
        <f>'NKC2'!BH11</f>
        <v>46409</v>
      </c>
      <c r="BE1" s="402">
        <f>'NKC2'!BI11</f>
        <v>46416</v>
      </c>
      <c r="BF1" s="402">
        <f>'NKC2'!BJ11</f>
        <v>46423</v>
      </c>
      <c r="BG1" s="402">
        <f>'NKC2'!BK11</f>
        <v>46430</v>
      </c>
      <c r="BH1" s="402">
        <f>'NKC2'!BL11</f>
        <v>46437</v>
      </c>
      <c r="BI1" s="402">
        <f>'NKC2'!BM11</f>
        <v>46444</v>
      </c>
      <c r="BJ1" s="402">
        <f>'NKC2'!BN11</f>
        <v>46451</v>
      </c>
      <c r="BK1" s="402">
        <f>'NKC2'!BO11</f>
        <v>46458</v>
      </c>
      <c r="BL1" s="402">
        <f>'NKC2'!BP11</f>
        <v>46465</v>
      </c>
      <c r="BM1" s="402">
        <f>'NKC2'!BQ11</f>
        <v>46472</v>
      </c>
      <c r="BN1" s="402">
        <f>'NKC2'!BR11</f>
        <v>46479</v>
      </c>
      <c r="BO1" s="402">
        <f>'NKC2'!BS11</f>
        <v>46486</v>
      </c>
      <c r="BP1" s="402">
        <f>'NKC2'!BT11</f>
        <v>46493</v>
      </c>
      <c r="BQ1" s="402">
        <f>'NKC2'!BU11</f>
        <v>46500</v>
      </c>
      <c r="BR1" s="402">
        <f>'NKC2'!BV11</f>
        <v>46507</v>
      </c>
      <c r="BS1" s="402">
        <f>'NKC2'!BW11</f>
        <v>46514</v>
      </c>
      <c r="BT1" s="402">
        <f>'NKC2'!BX11</f>
        <v>46521</v>
      </c>
      <c r="BU1" s="402">
        <f>'NKC2'!BY11</f>
        <v>46528</v>
      </c>
      <c r="BV1" s="402">
        <f>'NKC2'!BZ11</f>
        <v>46535</v>
      </c>
      <c r="BW1" s="402">
        <f>'NKC2'!CA11</f>
        <v>46542</v>
      </c>
      <c r="BX1" s="402">
        <f>'NKC2'!CB11</f>
        <v>46549</v>
      </c>
      <c r="BY1" s="402">
        <f>'NKC2'!CC11</f>
        <v>46556</v>
      </c>
      <c r="BZ1" s="402">
        <f>'NKC2'!CD11</f>
        <v>46563</v>
      </c>
      <c r="CA1" s="402">
        <f>'NKC2'!CE11</f>
        <v>46570</v>
      </c>
      <c r="CB1" s="402">
        <f>'NKC2'!CF11</f>
        <v>46577</v>
      </c>
      <c r="CC1" s="402">
        <f>'NKC2'!CG11</f>
        <v>46584</v>
      </c>
      <c r="CD1" s="402">
        <f>'NKC2'!CH11</f>
        <v>46591</v>
      </c>
      <c r="CE1" s="402">
        <f>'NKC2'!CI11</f>
        <v>46598</v>
      </c>
      <c r="CF1" s="402">
        <f>'NKC2'!CJ11</f>
        <v>46605</v>
      </c>
      <c r="CG1" s="402">
        <f>'NKC2'!CK11</f>
        <v>46612</v>
      </c>
      <c r="CH1" s="402">
        <f>'NKC2'!CL11</f>
        <v>46619</v>
      </c>
      <c r="CI1" s="402">
        <f>'NKC2'!CM11</f>
        <v>46626</v>
      </c>
    </row>
    <row r="2" spans="1:87" x14ac:dyDescent="0.45">
      <c r="A2" s="403">
        <f>'NKC2'!B14</f>
        <v>1</v>
      </c>
      <c r="B2" s="403" t="str">
        <f>'NKC2'!D14</f>
        <v xml:space="preserve">   งานก่อสร้างอาคาร Ratchadamnoen Center 2</v>
      </c>
      <c r="C2" s="404">
        <f>'NKC2'!F14</f>
        <v>141282693.27633795</v>
      </c>
      <c r="D2" s="407" t="str">
        <f>'NKC2'!G12</f>
        <v>P</v>
      </c>
      <c r="E2" s="405">
        <f>'NKC2'!H14*100</f>
        <v>0</v>
      </c>
      <c r="F2" s="405">
        <f>'NKC2'!J14*100</f>
        <v>0</v>
      </c>
      <c r="G2" s="405">
        <f>'NKC2'!K14*100</f>
        <v>0</v>
      </c>
      <c r="H2" s="405">
        <f>'NKC2'!L14*100</f>
        <v>0</v>
      </c>
      <c r="I2" s="405">
        <f>'NKC2'!M14*100</f>
        <v>0</v>
      </c>
      <c r="J2" s="405">
        <f>'NKC2'!N14*100</f>
        <v>0</v>
      </c>
      <c r="K2" s="405">
        <f>'NKC2'!O14*100</f>
        <v>0</v>
      </c>
      <c r="L2" s="405">
        <f>'NKC2'!P14*100</f>
        <v>0</v>
      </c>
      <c r="M2" s="405">
        <f>'NKC2'!Q14*100</f>
        <v>0</v>
      </c>
      <c r="N2" s="405">
        <f>'NKC2'!R14*100</f>
        <v>0</v>
      </c>
      <c r="O2" s="405">
        <f>'NKC2'!S14*100</f>
        <v>0</v>
      </c>
      <c r="P2" s="405">
        <f>'NKC2'!T14*100</f>
        <v>0</v>
      </c>
      <c r="Q2" s="405">
        <f>'NKC2'!U14*100</f>
        <v>0</v>
      </c>
      <c r="R2" s="405">
        <f>'NKC2'!V14*100</f>
        <v>0</v>
      </c>
      <c r="S2" s="405">
        <f>'NKC2'!W14*100</f>
        <v>0</v>
      </c>
      <c r="T2" s="405">
        <f>'NKC2'!X14*100</f>
        <v>0</v>
      </c>
      <c r="U2" s="405">
        <f>'NKC2'!Y14*100</f>
        <v>0</v>
      </c>
      <c r="V2" s="405">
        <f>'NKC2'!Z14*100</f>
        <v>0</v>
      </c>
      <c r="W2" s="405">
        <f>'NKC2'!AA14*100</f>
        <v>0</v>
      </c>
      <c r="X2" s="405">
        <f>'NKC2'!AB14*100</f>
        <v>0</v>
      </c>
      <c r="Y2" s="405">
        <f>'NKC2'!AC14*100</f>
        <v>0</v>
      </c>
      <c r="Z2" s="405">
        <f>'NKC2'!AD14*100</f>
        <v>0</v>
      </c>
      <c r="AA2" s="405">
        <f>'NKC2'!AE14*100</f>
        <v>0</v>
      </c>
      <c r="AB2" s="405">
        <f>'NKC2'!AF14*100</f>
        <v>0</v>
      </c>
      <c r="AC2" s="405">
        <f>'NKC2'!AG14*100</f>
        <v>0</v>
      </c>
      <c r="AD2" s="405">
        <f>'NKC2'!AH14*100</f>
        <v>0</v>
      </c>
      <c r="AE2" s="405">
        <f>'NKC2'!AI14*100</f>
        <v>0</v>
      </c>
      <c r="AF2" s="405">
        <f>'NKC2'!AJ14*100</f>
        <v>0</v>
      </c>
      <c r="AG2" s="405">
        <f>'NKC2'!AK14*100</f>
        <v>0</v>
      </c>
      <c r="AH2" s="405">
        <f>'NKC2'!AL14*100</f>
        <v>0</v>
      </c>
      <c r="AI2" s="405">
        <f>'NKC2'!AM14*100</f>
        <v>0</v>
      </c>
      <c r="AJ2" s="405">
        <f>'NKC2'!AN14*100</f>
        <v>0</v>
      </c>
      <c r="AK2" s="405">
        <f>'NKC2'!AO14*100</f>
        <v>0</v>
      </c>
      <c r="AL2" s="405">
        <f>'NKC2'!AP14*100</f>
        <v>0</v>
      </c>
      <c r="AM2" s="405">
        <f>'NKC2'!AQ14*100</f>
        <v>0</v>
      </c>
      <c r="AN2" s="405">
        <f>'NKC2'!AR14*100</f>
        <v>0</v>
      </c>
      <c r="AO2" s="405">
        <f>'NKC2'!AS14*100</f>
        <v>0</v>
      </c>
      <c r="AP2" s="405">
        <f>'NKC2'!AT14*100</f>
        <v>0</v>
      </c>
      <c r="AQ2" s="405">
        <f>'NKC2'!AU14*100</f>
        <v>0</v>
      </c>
      <c r="AR2" s="405">
        <f>'NKC2'!AV14*100</f>
        <v>0</v>
      </c>
      <c r="AS2" s="405">
        <f>'NKC2'!AW14*100</f>
        <v>0</v>
      </c>
      <c r="AT2" s="405">
        <f>'NKC2'!AX14*100</f>
        <v>0</v>
      </c>
      <c r="AU2" s="405">
        <f>'NKC2'!AY14*100</f>
        <v>0</v>
      </c>
      <c r="AV2" s="405">
        <f>'NKC2'!AZ14*100</f>
        <v>0</v>
      </c>
      <c r="AW2" s="405">
        <f>'NKC2'!BA14*100</f>
        <v>0</v>
      </c>
      <c r="AX2" s="405">
        <f>'NKC2'!BB14*100</f>
        <v>0</v>
      </c>
      <c r="AY2" s="405">
        <f>'NKC2'!BC14*100</f>
        <v>0</v>
      </c>
      <c r="AZ2" s="405">
        <f>'NKC2'!BD14*100</f>
        <v>0</v>
      </c>
      <c r="BA2" s="405">
        <f>'NKC2'!BE14*100</f>
        <v>0</v>
      </c>
      <c r="BB2" s="405">
        <f>'NKC2'!BF14*100</f>
        <v>0</v>
      </c>
      <c r="BC2" s="405">
        <f>'NKC2'!BG14*100</f>
        <v>0</v>
      </c>
      <c r="BD2" s="405">
        <f>'NKC2'!BH14*100</f>
        <v>0</v>
      </c>
      <c r="BE2" s="405">
        <f>'NKC2'!BI14*100</f>
        <v>0</v>
      </c>
      <c r="BF2" s="405">
        <f>'NKC2'!BJ14*100</f>
        <v>0</v>
      </c>
      <c r="BG2" s="405">
        <f>'NKC2'!BK14*100</f>
        <v>0</v>
      </c>
      <c r="BH2" s="405">
        <f>'NKC2'!BL14*100</f>
        <v>0</v>
      </c>
      <c r="BI2" s="405">
        <f>'NKC2'!BM14*100</f>
        <v>0</v>
      </c>
      <c r="BJ2" s="405">
        <f>'NKC2'!BN14*100</f>
        <v>0</v>
      </c>
      <c r="BK2" s="405">
        <f>'NKC2'!BO14*100</f>
        <v>0</v>
      </c>
      <c r="BL2" s="405">
        <f>'NKC2'!BP14*100</f>
        <v>0</v>
      </c>
      <c r="BM2" s="405">
        <f>'NKC2'!BQ14*100</f>
        <v>0</v>
      </c>
      <c r="BN2" s="405">
        <f>'NKC2'!BR14*100</f>
        <v>0</v>
      </c>
      <c r="BO2" s="405">
        <f>'NKC2'!BS14*100</f>
        <v>0</v>
      </c>
      <c r="BP2" s="405">
        <f>'NKC2'!BT14*100</f>
        <v>0</v>
      </c>
      <c r="BQ2" s="405">
        <f>'NKC2'!BU14*100</f>
        <v>0</v>
      </c>
      <c r="BR2" s="405">
        <f>'NKC2'!BV14*100</f>
        <v>0</v>
      </c>
      <c r="BS2" s="405">
        <f>'NKC2'!BW14*100</f>
        <v>0</v>
      </c>
      <c r="BT2" s="405">
        <f>'NKC2'!BX14*100</f>
        <v>0</v>
      </c>
      <c r="BU2" s="405">
        <f>'NKC2'!BY14*100</f>
        <v>0</v>
      </c>
      <c r="BV2" s="405">
        <f>'NKC2'!BZ14*100</f>
        <v>0</v>
      </c>
      <c r="BW2" s="405">
        <f>'NKC2'!CA14*100</f>
        <v>0</v>
      </c>
      <c r="BX2" s="405">
        <f>'NKC2'!CB14*100</f>
        <v>0</v>
      </c>
      <c r="BY2" s="405">
        <f>'NKC2'!CC14*100</f>
        <v>0</v>
      </c>
      <c r="BZ2" s="405">
        <f>'NKC2'!CD14*100</f>
        <v>0</v>
      </c>
      <c r="CA2" s="405">
        <f>'NKC2'!CE14*100</f>
        <v>0</v>
      </c>
      <c r="CB2" s="405">
        <f>'NKC2'!CF14*100</f>
        <v>0</v>
      </c>
      <c r="CC2" s="405">
        <f>'NKC2'!CG14*100</f>
        <v>0</v>
      </c>
      <c r="CD2" s="405">
        <f>'NKC2'!CH14*100</f>
        <v>0</v>
      </c>
      <c r="CE2" s="405">
        <f>'NKC2'!CI14*100</f>
        <v>0</v>
      </c>
      <c r="CF2" s="405">
        <f>'NKC2'!CJ14*100</f>
        <v>0</v>
      </c>
      <c r="CG2" s="405">
        <f>'NKC2'!CK14*100</f>
        <v>0</v>
      </c>
      <c r="CH2" s="405">
        <f>'NKC2'!CL14*100</f>
        <v>0</v>
      </c>
      <c r="CI2" s="405">
        <f>'NKC2'!CM14*100</f>
        <v>0</v>
      </c>
    </row>
    <row r="3" spans="1:87" x14ac:dyDescent="0.45">
      <c r="A3">
        <f>'NKC2'!B15</f>
        <v>1</v>
      </c>
      <c r="B3" t="str">
        <f>'NKC2'!D15</f>
        <v xml:space="preserve">   งานก่อสร้างอาคาร Ratchadamnoen Center 2</v>
      </c>
      <c r="C3" s="193">
        <f>'NKC2'!F15</f>
        <v>141282693.27633795</v>
      </c>
      <c r="D3" s="140" t="str">
        <f>'NKC2'!G13</f>
        <v>A</v>
      </c>
      <c r="E3" s="198">
        <f>'NKC2'!H15*100</f>
        <v>0</v>
      </c>
      <c r="F3" s="198">
        <f>'NKC2'!J15*100</f>
        <v>0</v>
      </c>
      <c r="G3" s="198">
        <f>'NKC2'!K15*100</f>
        <v>0</v>
      </c>
      <c r="H3" s="198">
        <f>'NKC2'!L15*100</f>
        <v>0</v>
      </c>
      <c r="I3" s="198">
        <f>'NKC2'!M15*100</f>
        <v>0</v>
      </c>
      <c r="J3" s="198">
        <f>'NKC2'!N15*100</f>
        <v>0</v>
      </c>
      <c r="K3" s="198">
        <f>'NKC2'!O15*100</f>
        <v>0</v>
      </c>
      <c r="L3" s="198">
        <f>'NKC2'!P15*100</f>
        <v>0</v>
      </c>
      <c r="M3" s="198">
        <f>'NKC2'!Q15*100</f>
        <v>0</v>
      </c>
      <c r="N3" s="198">
        <f>'NKC2'!R15*100</f>
        <v>0</v>
      </c>
      <c r="O3" s="198">
        <f>'NKC2'!S15*100</f>
        <v>0</v>
      </c>
      <c r="P3" s="198">
        <f>'NKC2'!T15*100</f>
        <v>0</v>
      </c>
      <c r="Q3" s="198">
        <f>'NKC2'!U15*100</f>
        <v>0</v>
      </c>
      <c r="R3" s="198">
        <f>'NKC2'!V15*100</f>
        <v>0</v>
      </c>
      <c r="S3" s="198">
        <f>'NKC2'!W15*100</f>
        <v>0</v>
      </c>
      <c r="T3" s="198">
        <f>'NKC2'!X15*100</f>
        <v>0</v>
      </c>
      <c r="U3" s="198">
        <f>'NKC2'!Y15*100</f>
        <v>0</v>
      </c>
      <c r="V3" s="198">
        <f>'NKC2'!Z15*100</f>
        <v>0</v>
      </c>
      <c r="W3" s="198">
        <f>'NKC2'!AA15*100</f>
        <v>0</v>
      </c>
      <c r="X3" s="198">
        <f>'NKC2'!AB15*100</f>
        <v>0</v>
      </c>
      <c r="Y3" s="198">
        <f>'NKC2'!AC15*100</f>
        <v>0</v>
      </c>
      <c r="Z3" s="198">
        <f>'NKC2'!AD15*100</f>
        <v>0</v>
      </c>
      <c r="AA3" s="198">
        <f>'NKC2'!AE15*100</f>
        <v>0</v>
      </c>
      <c r="AB3" s="198">
        <f>'NKC2'!AF15*100</f>
        <v>0</v>
      </c>
      <c r="AC3" s="198">
        <f>'NKC2'!AG15*100</f>
        <v>0</v>
      </c>
      <c r="AD3" s="198">
        <f>'NKC2'!AH15*100</f>
        <v>0</v>
      </c>
      <c r="AE3" s="198">
        <f>'NKC2'!AI15*100</f>
        <v>0</v>
      </c>
      <c r="AF3" s="198">
        <f>'NKC2'!AJ15*100</f>
        <v>0</v>
      </c>
      <c r="AG3" s="198">
        <f>'NKC2'!AK15*100</f>
        <v>0</v>
      </c>
      <c r="AH3" s="198">
        <f>'NKC2'!AL15*100</f>
        <v>0</v>
      </c>
      <c r="AI3" s="198">
        <f>'NKC2'!AM15*100</f>
        <v>0</v>
      </c>
      <c r="AJ3" s="198">
        <f>'NKC2'!AN15*100</f>
        <v>0</v>
      </c>
      <c r="AK3" s="198">
        <f>'NKC2'!AO15*100</f>
        <v>0</v>
      </c>
      <c r="AL3" s="198">
        <f>'NKC2'!AP15*100</f>
        <v>0</v>
      </c>
      <c r="AM3" s="198">
        <f>'NKC2'!AQ15*100</f>
        <v>0</v>
      </c>
      <c r="AN3" s="198">
        <f>'NKC2'!AR15*100</f>
        <v>0</v>
      </c>
      <c r="AO3" s="198">
        <f>'NKC2'!AS15*100</f>
        <v>0</v>
      </c>
      <c r="AP3" s="198">
        <f>'NKC2'!AT15*100</f>
        <v>0</v>
      </c>
      <c r="AQ3" s="198">
        <f>'NKC2'!AU15*100</f>
        <v>0</v>
      </c>
      <c r="AR3" s="198">
        <f>'NKC2'!AV15*100</f>
        <v>0</v>
      </c>
      <c r="AS3" s="198">
        <f>'NKC2'!AW15*100</f>
        <v>0</v>
      </c>
      <c r="AT3" s="198">
        <f>'NKC2'!AX15*100</f>
        <v>0</v>
      </c>
      <c r="AU3" s="198">
        <f>'NKC2'!AY15*100</f>
        <v>0</v>
      </c>
      <c r="AV3" s="198">
        <f>'NKC2'!AZ15*100</f>
        <v>0</v>
      </c>
      <c r="AW3" s="198">
        <f>'NKC2'!BA15*100</f>
        <v>0</v>
      </c>
      <c r="AX3" s="198">
        <f>'NKC2'!BB15*100</f>
        <v>0</v>
      </c>
      <c r="AY3" s="198">
        <f>'NKC2'!BC15*100</f>
        <v>0</v>
      </c>
      <c r="AZ3" s="198">
        <f>'NKC2'!BD15*100</f>
        <v>0</v>
      </c>
      <c r="BA3" s="198">
        <f>'NKC2'!BE15*100</f>
        <v>0</v>
      </c>
      <c r="BB3" s="198">
        <f>'NKC2'!BF15*100</f>
        <v>0</v>
      </c>
      <c r="BC3" s="198">
        <f>'NKC2'!BG15*100</f>
        <v>0</v>
      </c>
      <c r="BD3" s="198">
        <f>'NKC2'!BH15*100</f>
        <v>0</v>
      </c>
      <c r="BE3" s="198">
        <f>'NKC2'!BI15*100</f>
        <v>0</v>
      </c>
      <c r="BF3" s="198">
        <f>'NKC2'!BJ15*100</f>
        <v>0</v>
      </c>
      <c r="BG3" s="198">
        <f>'NKC2'!BK15*100</f>
        <v>0</v>
      </c>
      <c r="BH3" s="198">
        <f>'NKC2'!BL15*100</f>
        <v>0</v>
      </c>
      <c r="BI3" s="198">
        <f>'NKC2'!BM15*100</f>
        <v>0</v>
      </c>
      <c r="BJ3" s="198">
        <f>'NKC2'!BN15*100</f>
        <v>0</v>
      </c>
      <c r="BK3" s="198">
        <f>'NKC2'!BO15*100</f>
        <v>0</v>
      </c>
      <c r="BL3" s="198">
        <f>'NKC2'!BP15*100</f>
        <v>0</v>
      </c>
      <c r="BM3" s="198">
        <f>'NKC2'!BQ15*100</f>
        <v>0</v>
      </c>
      <c r="BN3" s="198">
        <f>'NKC2'!BR15*100</f>
        <v>0</v>
      </c>
      <c r="BO3" s="198">
        <f>'NKC2'!BS15*100</f>
        <v>0</v>
      </c>
      <c r="BP3" s="198">
        <f>'NKC2'!BT15*100</f>
        <v>0</v>
      </c>
      <c r="BQ3" s="198">
        <f>'NKC2'!BU15*100</f>
        <v>0</v>
      </c>
      <c r="BR3" s="198">
        <f>'NKC2'!BV15*100</f>
        <v>0</v>
      </c>
      <c r="BS3" s="198">
        <f>'NKC2'!BW15*100</f>
        <v>0</v>
      </c>
      <c r="BT3" s="198">
        <f>'NKC2'!BX15*100</f>
        <v>0</v>
      </c>
      <c r="BU3" s="198">
        <f>'NKC2'!BY15*100</f>
        <v>0</v>
      </c>
      <c r="BV3" s="198">
        <f>'NKC2'!BZ15*100</f>
        <v>0</v>
      </c>
      <c r="BW3" s="198">
        <f>'NKC2'!CA15*100</f>
        <v>0</v>
      </c>
      <c r="BX3" s="198">
        <f>'NKC2'!CB15*100</f>
        <v>0</v>
      </c>
      <c r="BY3" s="198">
        <f>'NKC2'!CC15*100</f>
        <v>0</v>
      </c>
      <c r="BZ3" s="198">
        <f>'NKC2'!CD15*100</f>
        <v>0</v>
      </c>
      <c r="CA3" s="198">
        <f>'NKC2'!CE15*100</f>
        <v>0</v>
      </c>
      <c r="CB3" s="198">
        <f>'NKC2'!CF15*100</f>
        <v>0</v>
      </c>
      <c r="CC3" s="198">
        <f>'NKC2'!CG15*100</f>
        <v>0</v>
      </c>
      <c r="CD3" s="198">
        <f>'NKC2'!CH15*100</f>
        <v>0</v>
      </c>
      <c r="CE3" s="198">
        <f>'NKC2'!CI15*100</f>
        <v>0</v>
      </c>
      <c r="CF3" s="198">
        <f>'NKC2'!CJ15*100</f>
        <v>0</v>
      </c>
      <c r="CG3" s="198">
        <f>'NKC2'!CK15*100</f>
        <v>0</v>
      </c>
      <c r="CH3" s="198">
        <f>'NKC2'!CL15*100</f>
        <v>0</v>
      </c>
      <c r="CI3" s="198">
        <f>'NKC2'!CM15*100</f>
        <v>0</v>
      </c>
    </row>
    <row r="4" spans="1:87" x14ac:dyDescent="0.45">
      <c r="A4" s="403">
        <f>'NKC2'!B16</f>
        <v>1.1000000000000001</v>
      </c>
      <c r="B4" s="403" t="str">
        <f>'NKC2'!D16</f>
        <v xml:space="preserve">      งานรื้อถอนโครงสร้างและสถาปัตยกรรมอาคารเดิม</v>
      </c>
      <c r="C4" s="404">
        <f>'NKC2'!F16</f>
        <v>358256.64361039997</v>
      </c>
      <c r="D4" s="407" t="str">
        <f>'NKC2'!G14</f>
        <v>P</v>
      </c>
      <c r="E4" s="405">
        <f>'NKC2'!H16*100</f>
        <v>100</v>
      </c>
      <c r="F4" s="405">
        <f>'NKC2'!J16*100</f>
        <v>0</v>
      </c>
      <c r="G4" s="405">
        <f>'NKC2'!K16*100</f>
        <v>0</v>
      </c>
      <c r="H4" s="405">
        <f>'NKC2'!L16*100</f>
        <v>0</v>
      </c>
      <c r="I4" s="405">
        <f>'NKC2'!M16*100</f>
        <v>0</v>
      </c>
      <c r="J4" s="405">
        <f>'NKC2'!N16*100</f>
        <v>5</v>
      </c>
      <c r="K4" s="405">
        <f>'NKC2'!O16*100</f>
        <v>7.0000000000000009</v>
      </c>
      <c r="L4" s="405">
        <f>'NKC2'!P16*100</f>
        <v>7.0000000000000009</v>
      </c>
      <c r="M4" s="405">
        <f>'NKC2'!Q16*100</f>
        <v>8</v>
      </c>
      <c r="N4" s="405">
        <f>'NKC2'!R16*100</f>
        <v>10</v>
      </c>
      <c r="O4" s="405">
        <f>'NKC2'!S16*100</f>
        <v>10</v>
      </c>
      <c r="P4" s="405">
        <f>'NKC2'!T16*100</f>
        <v>15</v>
      </c>
      <c r="Q4" s="405">
        <f>'NKC2'!U16*100</f>
        <v>10</v>
      </c>
      <c r="R4" s="405">
        <f>'NKC2'!V16*100</f>
        <v>8</v>
      </c>
      <c r="S4" s="405">
        <f>'NKC2'!W16*100</f>
        <v>8</v>
      </c>
      <c r="T4" s="405">
        <f>'NKC2'!X16*100</f>
        <v>3</v>
      </c>
      <c r="U4" s="405">
        <f>'NKC2'!Y16*100</f>
        <v>3</v>
      </c>
      <c r="V4" s="405">
        <f>'NKC2'!Z16*100</f>
        <v>3</v>
      </c>
      <c r="W4" s="405">
        <f>'NKC2'!AA16*100</f>
        <v>3</v>
      </c>
      <c r="X4" s="405">
        <f>'NKC2'!AB16*100</f>
        <v>0</v>
      </c>
      <c r="Y4" s="405">
        <f>'NKC2'!AC16*100</f>
        <v>0</v>
      </c>
      <c r="Z4" s="405">
        <f>'NKC2'!AD16*100</f>
        <v>0</v>
      </c>
      <c r="AA4" s="405">
        <f>'NKC2'!AE16*100</f>
        <v>0</v>
      </c>
      <c r="AB4" s="405">
        <f>'NKC2'!AF16*100</f>
        <v>0</v>
      </c>
      <c r="AC4" s="405">
        <f>'NKC2'!AG16*100</f>
        <v>0</v>
      </c>
      <c r="AD4" s="405">
        <f>'NKC2'!AH16*100</f>
        <v>0</v>
      </c>
      <c r="AE4" s="405">
        <f>'NKC2'!AI16*100</f>
        <v>0</v>
      </c>
      <c r="AF4" s="405">
        <f>'NKC2'!AJ16*100</f>
        <v>0</v>
      </c>
      <c r="AG4" s="405">
        <f>'NKC2'!AK16*100</f>
        <v>0</v>
      </c>
      <c r="AH4" s="405">
        <f>'NKC2'!AL16*100</f>
        <v>0</v>
      </c>
      <c r="AI4" s="405">
        <f>'NKC2'!AM16*100</f>
        <v>0</v>
      </c>
      <c r="AJ4" s="405">
        <f>'NKC2'!AN16*100</f>
        <v>0</v>
      </c>
      <c r="AK4" s="405">
        <f>'NKC2'!AO16*100</f>
        <v>0</v>
      </c>
      <c r="AL4" s="405">
        <f>'NKC2'!AP16*100</f>
        <v>0</v>
      </c>
      <c r="AM4" s="405">
        <f>'NKC2'!AQ16*100</f>
        <v>0</v>
      </c>
      <c r="AN4" s="405">
        <f>'NKC2'!AR16*100</f>
        <v>0</v>
      </c>
      <c r="AO4" s="405">
        <f>'NKC2'!AS16*100</f>
        <v>0</v>
      </c>
      <c r="AP4" s="405">
        <f>'NKC2'!AT16*100</f>
        <v>0</v>
      </c>
      <c r="AQ4" s="405">
        <f>'NKC2'!AU16*100</f>
        <v>0</v>
      </c>
      <c r="AR4" s="405">
        <f>'NKC2'!AV16*100</f>
        <v>0</v>
      </c>
      <c r="AS4" s="405">
        <f>'NKC2'!AW16*100</f>
        <v>0</v>
      </c>
      <c r="AT4" s="405">
        <f>'NKC2'!AX16*100</f>
        <v>0</v>
      </c>
      <c r="AU4" s="405">
        <f>'NKC2'!AY16*100</f>
        <v>0</v>
      </c>
      <c r="AV4" s="405">
        <f>'NKC2'!AZ16*100</f>
        <v>0</v>
      </c>
      <c r="AW4" s="405">
        <f>'NKC2'!BA16*100</f>
        <v>0</v>
      </c>
      <c r="AX4" s="405">
        <f>'NKC2'!BB16*100</f>
        <v>0</v>
      </c>
      <c r="AY4" s="405">
        <f>'NKC2'!BC16*100</f>
        <v>0</v>
      </c>
      <c r="AZ4" s="405">
        <f>'NKC2'!BD16*100</f>
        <v>0</v>
      </c>
      <c r="BA4" s="405">
        <f>'NKC2'!BE16*100</f>
        <v>0</v>
      </c>
      <c r="BB4" s="405">
        <f>'NKC2'!BF16*100</f>
        <v>0</v>
      </c>
      <c r="BC4" s="405">
        <f>'NKC2'!BG16*100</f>
        <v>0</v>
      </c>
      <c r="BD4" s="405">
        <f>'NKC2'!BH16*100</f>
        <v>0</v>
      </c>
      <c r="BE4" s="405">
        <f>'NKC2'!BI16*100</f>
        <v>0</v>
      </c>
      <c r="BF4" s="405">
        <f>'NKC2'!BJ16*100</f>
        <v>0</v>
      </c>
      <c r="BG4" s="405">
        <f>'NKC2'!BK16*100</f>
        <v>0</v>
      </c>
      <c r="BH4" s="405">
        <f>'NKC2'!BL16*100</f>
        <v>0</v>
      </c>
      <c r="BI4" s="405">
        <f>'NKC2'!BM16*100</f>
        <v>0</v>
      </c>
      <c r="BJ4" s="405">
        <f>'NKC2'!BN16*100</f>
        <v>0</v>
      </c>
      <c r="BK4" s="405">
        <f>'NKC2'!BO16*100</f>
        <v>0</v>
      </c>
      <c r="BL4" s="405">
        <f>'NKC2'!BP16*100</f>
        <v>0</v>
      </c>
      <c r="BM4" s="405">
        <f>'NKC2'!BQ16*100</f>
        <v>0</v>
      </c>
      <c r="BN4" s="405">
        <f>'NKC2'!BR16*100</f>
        <v>0</v>
      </c>
      <c r="BO4" s="405">
        <f>'NKC2'!BS16*100</f>
        <v>0</v>
      </c>
      <c r="BP4" s="405">
        <f>'NKC2'!BT16*100</f>
        <v>0</v>
      </c>
      <c r="BQ4" s="405">
        <f>'NKC2'!BU16*100</f>
        <v>0</v>
      </c>
      <c r="BR4" s="405">
        <f>'NKC2'!BV16*100</f>
        <v>0</v>
      </c>
      <c r="BS4" s="405">
        <f>'NKC2'!BW16*100</f>
        <v>0</v>
      </c>
      <c r="BT4" s="405">
        <f>'NKC2'!BX16*100</f>
        <v>0</v>
      </c>
      <c r="BU4" s="405">
        <f>'NKC2'!BY16*100</f>
        <v>0</v>
      </c>
      <c r="BV4" s="405">
        <f>'NKC2'!BZ16*100</f>
        <v>0</v>
      </c>
      <c r="BW4" s="405">
        <f>'NKC2'!CA16*100</f>
        <v>0</v>
      </c>
      <c r="BX4" s="405">
        <f>'NKC2'!CB16*100</f>
        <v>0</v>
      </c>
      <c r="BY4" s="405">
        <f>'NKC2'!CC16*100</f>
        <v>0</v>
      </c>
      <c r="BZ4" s="405">
        <f>'NKC2'!CD16*100</f>
        <v>0</v>
      </c>
      <c r="CA4" s="405">
        <f>'NKC2'!CE16*100</f>
        <v>0</v>
      </c>
      <c r="CB4" s="405">
        <f>'NKC2'!CF16*100</f>
        <v>0</v>
      </c>
      <c r="CC4" s="405">
        <f>'NKC2'!CG16*100</f>
        <v>0</v>
      </c>
      <c r="CD4" s="405">
        <f>'NKC2'!CH16*100</f>
        <v>0</v>
      </c>
      <c r="CE4" s="405">
        <f>'NKC2'!CI16*100</f>
        <v>0</v>
      </c>
      <c r="CF4" s="405">
        <f>'NKC2'!CJ16*100</f>
        <v>0</v>
      </c>
      <c r="CG4" s="405">
        <f>'NKC2'!CK16*100</f>
        <v>0</v>
      </c>
      <c r="CH4" s="405">
        <f>'NKC2'!CL16*100</f>
        <v>0</v>
      </c>
      <c r="CI4" s="405">
        <f>'NKC2'!CM16*100</f>
        <v>0</v>
      </c>
    </row>
    <row r="5" spans="1:87" x14ac:dyDescent="0.45">
      <c r="A5">
        <f>'NKC2'!B17</f>
        <v>1.1000000000000001</v>
      </c>
      <c r="B5" t="str">
        <f>'NKC2'!D17</f>
        <v xml:space="preserve">      งานรื้อถอนโครงสร้างและสถาปัตยกรรมอาคารเดิม</v>
      </c>
      <c r="C5" s="193">
        <f>'NKC2'!F17</f>
        <v>358256.64361039997</v>
      </c>
      <c r="D5" s="140" t="str">
        <f>'NKC2'!G15</f>
        <v>A</v>
      </c>
      <c r="E5" s="198">
        <f>'NKC2'!H17*100</f>
        <v>75.999999999999986</v>
      </c>
      <c r="F5" s="198">
        <f>'NKC2'!J17*100</f>
        <v>0</v>
      </c>
      <c r="G5" s="198">
        <f>'NKC2'!K17*100</f>
        <v>0</v>
      </c>
      <c r="H5" s="198">
        <f>'NKC2'!L17*100</f>
        <v>0</v>
      </c>
      <c r="I5" s="198">
        <f>'NKC2'!M17*100</f>
        <v>0</v>
      </c>
      <c r="J5" s="198">
        <f>'NKC2'!N17*100</f>
        <v>0</v>
      </c>
      <c r="K5" s="198">
        <f>'NKC2'!O17*100</f>
        <v>0</v>
      </c>
      <c r="L5" s="198">
        <f>'NKC2'!P17*100</f>
        <v>0</v>
      </c>
      <c r="M5" s="198">
        <f>'NKC2'!Q17*100</f>
        <v>0</v>
      </c>
      <c r="N5" s="198">
        <f>'NKC2'!R17*100</f>
        <v>2</v>
      </c>
      <c r="O5" s="198">
        <f>'NKC2'!S17*100</f>
        <v>5</v>
      </c>
      <c r="P5" s="198">
        <f>'NKC2'!T17*100</f>
        <v>5</v>
      </c>
      <c r="Q5" s="198">
        <f>'NKC2'!U17*100</f>
        <v>8</v>
      </c>
      <c r="R5" s="198">
        <f>'NKC2'!V17*100</f>
        <v>8</v>
      </c>
      <c r="S5" s="198">
        <f>'NKC2'!W17*100</f>
        <v>5</v>
      </c>
      <c r="T5" s="198">
        <f>'NKC2'!X17*100</f>
        <v>5</v>
      </c>
      <c r="U5" s="198">
        <f>'NKC2'!Y17*100</f>
        <v>5</v>
      </c>
      <c r="V5" s="198">
        <f>'NKC2'!Z17*100</f>
        <v>5</v>
      </c>
      <c r="W5" s="198">
        <f>'NKC2'!AA17*100</f>
        <v>8</v>
      </c>
      <c r="X5" s="198">
        <f>'NKC2'!AB17*100</f>
        <v>8</v>
      </c>
      <c r="Y5" s="198">
        <f>'NKC2'!AC17*100</f>
        <v>8</v>
      </c>
      <c r="Z5" s="198">
        <f>'NKC2'!AD17*100</f>
        <v>4</v>
      </c>
      <c r="AA5" s="198">
        <f>'NKC2'!AE17*100</f>
        <v>0</v>
      </c>
      <c r="AB5" s="198">
        <f>'NKC2'!AF17*100</f>
        <v>0</v>
      </c>
      <c r="AC5" s="198">
        <f>'NKC2'!AG17*100</f>
        <v>0</v>
      </c>
      <c r="AD5" s="198">
        <f>'NKC2'!AH17*100</f>
        <v>0</v>
      </c>
      <c r="AE5" s="198">
        <f>'NKC2'!AI17*100</f>
        <v>0</v>
      </c>
      <c r="AF5" s="198">
        <f>'NKC2'!AJ17*100</f>
        <v>0</v>
      </c>
      <c r="AG5" s="198">
        <f>'NKC2'!AK17*100</f>
        <v>0</v>
      </c>
      <c r="AH5" s="198">
        <f>'NKC2'!AL17*100</f>
        <v>0</v>
      </c>
      <c r="AI5" s="198">
        <f>'NKC2'!AM17*100</f>
        <v>0</v>
      </c>
      <c r="AJ5" s="198">
        <f>'NKC2'!AN17*100</f>
        <v>0</v>
      </c>
      <c r="AK5" s="198">
        <f>'NKC2'!AO17*100</f>
        <v>0</v>
      </c>
      <c r="AL5" s="198">
        <f>'NKC2'!AP17*100</f>
        <v>0</v>
      </c>
      <c r="AM5" s="198">
        <f>'NKC2'!AQ17*100</f>
        <v>0</v>
      </c>
      <c r="AN5" s="198">
        <f>'NKC2'!AR17*100</f>
        <v>0</v>
      </c>
      <c r="AO5" s="198">
        <f>'NKC2'!AS17*100</f>
        <v>0</v>
      </c>
      <c r="AP5" s="198">
        <f>'NKC2'!AT17*100</f>
        <v>0</v>
      </c>
      <c r="AQ5" s="198">
        <f>'NKC2'!AU17*100</f>
        <v>0</v>
      </c>
      <c r="AR5" s="198">
        <f>'NKC2'!AV17*100</f>
        <v>0</v>
      </c>
      <c r="AS5" s="198">
        <f>'NKC2'!AW17*100</f>
        <v>0</v>
      </c>
      <c r="AT5" s="198">
        <f>'NKC2'!AX17*100</f>
        <v>0</v>
      </c>
      <c r="AU5" s="198">
        <f>'NKC2'!AY17*100</f>
        <v>0</v>
      </c>
      <c r="AV5" s="198">
        <f>'NKC2'!AZ17*100</f>
        <v>0</v>
      </c>
      <c r="AW5" s="198">
        <f>'NKC2'!BA17*100</f>
        <v>0</v>
      </c>
      <c r="AX5" s="198">
        <f>'NKC2'!BB17*100</f>
        <v>0</v>
      </c>
      <c r="AY5" s="198">
        <f>'NKC2'!BC17*100</f>
        <v>0</v>
      </c>
      <c r="AZ5" s="198">
        <f>'NKC2'!BD17*100</f>
        <v>0</v>
      </c>
      <c r="BA5" s="198">
        <f>'NKC2'!BE17*100</f>
        <v>0</v>
      </c>
      <c r="BB5" s="198">
        <f>'NKC2'!BF17*100</f>
        <v>0</v>
      </c>
      <c r="BC5" s="198">
        <f>'NKC2'!BG17*100</f>
        <v>0</v>
      </c>
      <c r="BD5" s="198">
        <f>'NKC2'!BH17*100</f>
        <v>0</v>
      </c>
      <c r="BE5" s="198">
        <f>'NKC2'!BI17*100</f>
        <v>0</v>
      </c>
      <c r="BF5" s="198">
        <f>'NKC2'!BJ17*100</f>
        <v>0</v>
      </c>
      <c r="BG5" s="198">
        <f>'NKC2'!BK17*100</f>
        <v>0</v>
      </c>
      <c r="BH5" s="198">
        <f>'NKC2'!BL17*100</f>
        <v>0</v>
      </c>
      <c r="BI5" s="198">
        <f>'NKC2'!BM17*100</f>
        <v>0</v>
      </c>
      <c r="BJ5" s="198">
        <f>'NKC2'!BN17*100</f>
        <v>0</v>
      </c>
      <c r="BK5" s="198">
        <f>'NKC2'!BO17*100</f>
        <v>0</v>
      </c>
      <c r="BL5" s="198">
        <f>'NKC2'!BP17*100</f>
        <v>0</v>
      </c>
      <c r="BM5" s="198">
        <f>'NKC2'!BQ17*100</f>
        <v>0</v>
      </c>
      <c r="BN5" s="198">
        <f>'NKC2'!BR17*100</f>
        <v>0</v>
      </c>
      <c r="BO5" s="198">
        <f>'NKC2'!BS17*100</f>
        <v>0</v>
      </c>
      <c r="BP5" s="198">
        <f>'NKC2'!BT17*100</f>
        <v>0</v>
      </c>
      <c r="BQ5" s="198">
        <f>'NKC2'!BU17*100</f>
        <v>0</v>
      </c>
      <c r="BR5" s="198">
        <f>'NKC2'!BV17*100</f>
        <v>0</v>
      </c>
      <c r="BS5" s="198">
        <f>'NKC2'!BW17*100</f>
        <v>0</v>
      </c>
      <c r="BT5" s="198">
        <f>'NKC2'!BX17*100</f>
        <v>0</v>
      </c>
      <c r="BU5" s="198">
        <f>'NKC2'!BY17*100</f>
        <v>0</v>
      </c>
      <c r="BV5" s="198">
        <f>'NKC2'!BZ17*100</f>
        <v>0</v>
      </c>
      <c r="BW5" s="198">
        <f>'NKC2'!CA17*100</f>
        <v>0</v>
      </c>
      <c r="BX5" s="198">
        <f>'NKC2'!CB17*100</f>
        <v>0</v>
      </c>
      <c r="BY5" s="198">
        <f>'NKC2'!CC17*100</f>
        <v>0</v>
      </c>
      <c r="BZ5" s="198">
        <f>'NKC2'!CD17*100</f>
        <v>0</v>
      </c>
      <c r="CA5" s="198">
        <f>'NKC2'!CE17*100</f>
        <v>0</v>
      </c>
      <c r="CB5" s="198">
        <f>'NKC2'!CF17*100</f>
        <v>0</v>
      </c>
      <c r="CC5" s="198">
        <f>'NKC2'!CG17*100</f>
        <v>0</v>
      </c>
      <c r="CD5" s="198">
        <f>'NKC2'!CH17*100</f>
        <v>0</v>
      </c>
      <c r="CE5" s="198">
        <f>'NKC2'!CI17*100</f>
        <v>0</v>
      </c>
      <c r="CF5" s="198">
        <f>'NKC2'!CJ17*100</f>
        <v>0</v>
      </c>
      <c r="CG5" s="198">
        <f>'NKC2'!CK17*100</f>
        <v>0</v>
      </c>
      <c r="CH5" s="198">
        <f>'NKC2'!CL17*100</f>
        <v>0</v>
      </c>
      <c r="CI5" s="198">
        <f>'NKC2'!CM17*100</f>
        <v>0</v>
      </c>
    </row>
    <row r="6" spans="1:87" x14ac:dyDescent="0.45">
      <c r="A6" s="403">
        <f>'NKC2'!B18</f>
        <v>1.2</v>
      </c>
      <c r="B6" s="403" t="str">
        <f>'NKC2'!D18</f>
        <v xml:space="preserve">      งานโครงสร้าง</v>
      </c>
      <c r="C6" s="404">
        <f>'NKC2'!F18</f>
        <v>15467541.048800001</v>
      </c>
      <c r="D6" s="407" t="str">
        <f>'NKC2'!G16</f>
        <v>P</v>
      </c>
      <c r="E6" s="405">
        <f>'NKC2'!H18*100</f>
        <v>0</v>
      </c>
      <c r="F6" s="405">
        <f>'NKC2'!J18*100</f>
        <v>0</v>
      </c>
      <c r="G6" s="405">
        <f>'NKC2'!K18*100</f>
        <v>0</v>
      </c>
      <c r="H6" s="405">
        <f>'NKC2'!L18*100</f>
        <v>0</v>
      </c>
      <c r="I6" s="405">
        <f>'NKC2'!M18*100</f>
        <v>0</v>
      </c>
      <c r="J6" s="405">
        <f>'NKC2'!N18*100</f>
        <v>0</v>
      </c>
      <c r="K6" s="405">
        <f>'NKC2'!O18*100</f>
        <v>0</v>
      </c>
      <c r="L6" s="405">
        <f>'NKC2'!P18*100</f>
        <v>0</v>
      </c>
      <c r="M6" s="405">
        <f>'NKC2'!Q18*100</f>
        <v>0</v>
      </c>
      <c r="N6" s="405">
        <f>'NKC2'!R18*100</f>
        <v>0</v>
      </c>
      <c r="O6" s="405">
        <f>'NKC2'!S18*100</f>
        <v>0</v>
      </c>
      <c r="P6" s="405">
        <f>'NKC2'!T18*100</f>
        <v>0</v>
      </c>
      <c r="Q6" s="405">
        <f>'NKC2'!U18*100</f>
        <v>0</v>
      </c>
      <c r="R6" s="405">
        <f>'NKC2'!V18*100</f>
        <v>0</v>
      </c>
      <c r="S6" s="405">
        <f>'NKC2'!W18*100</f>
        <v>0</v>
      </c>
      <c r="T6" s="405">
        <f>'NKC2'!X18*100</f>
        <v>0</v>
      </c>
      <c r="U6" s="405">
        <f>'NKC2'!Y18*100</f>
        <v>0</v>
      </c>
      <c r="V6" s="405">
        <f>'NKC2'!Z18*100</f>
        <v>0</v>
      </c>
      <c r="W6" s="405">
        <f>'NKC2'!AA18*100</f>
        <v>0</v>
      </c>
      <c r="X6" s="405">
        <f>'NKC2'!AB18*100</f>
        <v>0</v>
      </c>
      <c r="Y6" s="405">
        <f>'NKC2'!AC18*100</f>
        <v>0</v>
      </c>
      <c r="Z6" s="405">
        <f>'NKC2'!AD18*100</f>
        <v>0</v>
      </c>
      <c r="AA6" s="405">
        <f>'NKC2'!AE18*100</f>
        <v>0</v>
      </c>
      <c r="AB6" s="405">
        <f>'NKC2'!AF18*100</f>
        <v>0</v>
      </c>
      <c r="AC6" s="405">
        <f>'NKC2'!AG18*100</f>
        <v>0</v>
      </c>
      <c r="AD6" s="405">
        <f>'NKC2'!AH18*100</f>
        <v>0</v>
      </c>
      <c r="AE6" s="405">
        <f>'NKC2'!AI18*100</f>
        <v>0</v>
      </c>
      <c r="AF6" s="405">
        <f>'NKC2'!AJ18*100</f>
        <v>0</v>
      </c>
      <c r="AG6" s="405">
        <f>'NKC2'!AK18*100</f>
        <v>0</v>
      </c>
      <c r="AH6" s="405">
        <f>'NKC2'!AL18*100</f>
        <v>0</v>
      </c>
      <c r="AI6" s="405">
        <f>'NKC2'!AM18*100</f>
        <v>0</v>
      </c>
      <c r="AJ6" s="405">
        <f>'NKC2'!AN18*100</f>
        <v>0</v>
      </c>
      <c r="AK6" s="405">
        <f>'NKC2'!AO18*100</f>
        <v>0</v>
      </c>
      <c r="AL6" s="405">
        <f>'NKC2'!AP18*100</f>
        <v>0</v>
      </c>
      <c r="AM6" s="405">
        <f>'NKC2'!AQ18*100</f>
        <v>0</v>
      </c>
      <c r="AN6" s="405">
        <f>'NKC2'!AR18*100</f>
        <v>0</v>
      </c>
      <c r="AO6" s="405">
        <f>'NKC2'!AS18*100</f>
        <v>0</v>
      </c>
      <c r="AP6" s="405">
        <f>'NKC2'!AT18*100</f>
        <v>0</v>
      </c>
      <c r="AQ6" s="405">
        <f>'NKC2'!AU18*100</f>
        <v>0</v>
      </c>
      <c r="AR6" s="405">
        <f>'NKC2'!AV18*100</f>
        <v>0</v>
      </c>
      <c r="AS6" s="405">
        <f>'NKC2'!AW18*100</f>
        <v>0</v>
      </c>
      <c r="AT6" s="405">
        <f>'NKC2'!AX18*100</f>
        <v>0</v>
      </c>
      <c r="AU6" s="405">
        <f>'NKC2'!AY18*100</f>
        <v>0</v>
      </c>
      <c r="AV6" s="405">
        <f>'NKC2'!AZ18*100</f>
        <v>0</v>
      </c>
      <c r="AW6" s="405">
        <f>'NKC2'!BA18*100</f>
        <v>0</v>
      </c>
      <c r="AX6" s="405">
        <f>'NKC2'!BB18*100</f>
        <v>0</v>
      </c>
      <c r="AY6" s="405">
        <f>'NKC2'!BC18*100</f>
        <v>0</v>
      </c>
      <c r="AZ6" s="405">
        <f>'NKC2'!BD18*100</f>
        <v>0</v>
      </c>
      <c r="BA6" s="405">
        <f>'NKC2'!BE18*100</f>
        <v>0</v>
      </c>
      <c r="BB6" s="405">
        <f>'NKC2'!BF18*100</f>
        <v>0</v>
      </c>
      <c r="BC6" s="405">
        <f>'NKC2'!BG18*100</f>
        <v>0</v>
      </c>
      <c r="BD6" s="405">
        <f>'NKC2'!BH18*100</f>
        <v>0</v>
      </c>
      <c r="BE6" s="405">
        <f>'NKC2'!BI18*100</f>
        <v>0</v>
      </c>
      <c r="BF6" s="405">
        <f>'NKC2'!BJ18*100</f>
        <v>0</v>
      </c>
      <c r="BG6" s="405">
        <f>'NKC2'!BK18*100</f>
        <v>0</v>
      </c>
      <c r="BH6" s="405">
        <f>'NKC2'!BL18*100</f>
        <v>0</v>
      </c>
      <c r="BI6" s="405">
        <f>'NKC2'!BM18*100</f>
        <v>0</v>
      </c>
      <c r="BJ6" s="405">
        <f>'NKC2'!BN18*100</f>
        <v>0</v>
      </c>
      <c r="BK6" s="405">
        <f>'NKC2'!BO18*100</f>
        <v>0</v>
      </c>
      <c r="BL6" s="405">
        <f>'NKC2'!BP18*100</f>
        <v>0</v>
      </c>
      <c r="BM6" s="405">
        <f>'NKC2'!BQ18*100</f>
        <v>0</v>
      </c>
      <c r="BN6" s="405">
        <f>'NKC2'!BR18*100</f>
        <v>0</v>
      </c>
      <c r="BO6" s="405">
        <f>'NKC2'!BS18*100</f>
        <v>0</v>
      </c>
      <c r="BP6" s="405">
        <f>'NKC2'!BT18*100</f>
        <v>0</v>
      </c>
      <c r="BQ6" s="405">
        <f>'NKC2'!BU18*100</f>
        <v>0</v>
      </c>
      <c r="BR6" s="405">
        <f>'NKC2'!BV18*100</f>
        <v>0</v>
      </c>
      <c r="BS6" s="405">
        <f>'NKC2'!BW18*100</f>
        <v>0</v>
      </c>
      <c r="BT6" s="405">
        <f>'NKC2'!BX18*100</f>
        <v>0</v>
      </c>
      <c r="BU6" s="405">
        <f>'NKC2'!BY18*100</f>
        <v>0</v>
      </c>
      <c r="BV6" s="405">
        <f>'NKC2'!BZ18*100</f>
        <v>0</v>
      </c>
      <c r="BW6" s="405">
        <f>'NKC2'!CA18*100</f>
        <v>0</v>
      </c>
      <c r="BX6" s="405">
        <f>'NKC2'!CB18*100</f>
        <v>0</v>
      </c>
      <c r="BY6" s="405">
        <f>'NKC2'!CC18*100</f>
        <v>0</v>
      </c>
      <c r="BZ6" s="405">
        <f>'NKC2'!CD18*100</f>
        <v>0</v>
      </c>
      <c r="CA6" s="405">
        <f>'NKC2'!CE18*100</f>
        <v>0</v>
      </c>
      <c r="CB6" s="405">
        <f>'NKC2'!CF18*100</f>
        <v>0</v>
      </c>
      <c r="CC6" s="405">
        <f>'NKC2'!CG18*100</f>
        <v>0</v>
      </c>
      <c r="CD6" s="405">
        <f>'NKC2'!CH18*100</f>
        <v>0</v>
      </c>
      <c r="CE6" s="405">
        <f>'NKC2'!CI18*100</f>
        <v>0</v>
      </c>
      <c r="CF6" s="405">
        <f>'NKC2'!CJ18*100</f>
        <v>0</v>
      </c>
      <c r="CG6" s="405">
        <f>'NKC2'!CK18*100</f>
        <v>0</v>
      </c>
      <c r="CH6" s="405">
        <f>'NKC2'!CL18*100</f>
        <v>0</v>
      </c>
      <c r="CI6" s="405">
        <f>'NKC2'!CM18*100</f>
        <v>0</v>
      </c>
    </row>
    <row r="7" spans="1:87" x14ac:dyDescent="0.45">
      <c r="A7">
        <f>'NKC2'!B19</f>
        <v>1.2</v>
      </c>
      <c r="B7" t="str">
        <f>'NKC2'!D19</f>
        <v xml:space="preserve">      งานโครงสร้าง</v>
      </c>
      <c r="C7" s="193">
        <f>'NKC2'!F19</f>
        <v>15467541.048800001</v>
      </c>
      <c r="D7" s="140" t="str">
        <f>'NKC2'!G17</f>
        <v>A</v>
      </c>
      <c r="E7" s="198">
        <f>'NKC2'!H19*100</f>
        <v>0</v>
      </c>
      <c r="F7" s="198">
        <f>'NKC2'!J19*100</f>
        <v>0</v>
      </c>
      <c r="G7" s="198">
        <f>'NKC2'!K19*100</f>
        <v>0</v>
      </c>
      <c r="H7" s="198">
        <f>'NKC2'!L19*100</f>
        <v>0</v>
      </c>
      <c r="I7" s="198">
        <f>'NKC2'!M19*100</f>
        <v>0</v>
      </c>
      <c r="J7" s="198">
        <f>'NKC2'!N19*100</f>
        <v>0</v>
      </c>
      <c r="K7" s="198">
        <f>'NKC2'!O19*100</f>
        <v>0</v>
      </c>
      <c r="L7" s="198">
        <f>'NKC2'!P19*100</f>
        <v>0</v>
      </c>
      <c r="M7" s="198">
        <f>'NKC2'!Q19*100</f>
        <v>0</v>
      </c>
      <c r="N7" s="198">
        <f>'NKC2'!R19*100</f>
        <v>0</v>
      </c>
      <c r="O7" s="198">
        <f>'NKC2'!S19*100</f>
        <v>0</v>
      </c>
      <c r="P7" s="198">
        <f>'NKC2'!T19*100</f>
        <v>0</v>
      </c>
      <c r="Q7" s="198">
        <f>'NKC2'!U19*100</f>
        <v>0</v>
      </c>
      <c r="R7" s="198">
        <f>'NKC2'!V19*100</f>
        <v>0</v>
      </c>
      <c r="S7" s="198">
        <f>'NKC2'!W19*100</f>
        <v>0</v>
      </c>
      <c r="T7" s="198">
        <f>'NKC2'!X19*100</f>
        <v>0</v>
      </c>
      <c r="U7" s="198">
        <f>'NKC2'!Y19*100</f>
        <v>0</v>
      </c>
      <c r="V7" s="198">
        <f>'NKC2'!Z19*100</f>
        <v>0</v>
      </c>
      <c r="W7" s="198">
        <f>'NKC2'!AA19*100</f>
        <v>0</v>
      </c>
      <c r="X7" s="198">
        <f>'NKC2'!AB19*100</f>
        <v>0</v>
      </c>
      <c r="Y7" s="198">
        <f>'NKC2'!AC19*100</f>
        <v>0</v>
      </c>
      <c r="Z7" s="198">
        <f>'NKC2'!AD19*100</f>
        <v>0</v>
      </c>
      <c r="AA7" s="198">
        <f>'NKC2'!AE19*100</f>
        <v>0</v>
      </c>
      <c r="AB7" s="198">
        <f>'NKC2'!AF19*100</f>
        <v>0</v>
      </c>
      <c r="AC7" s="198">
        <f>'NKC2'!AG19*100</f>
        <v>0</v>
      </c>
      <c r="AD7" s="198">
        <f>'NKC2'!AH19*100</f>
        <v>0</v>
      </c>
      <c r="AE7" s="198">
        <f>'NKC2'!AI19*100</f>
        <v>0</v>
      </c>
      <c r="AF7" s="198">
        <f>'NKC2'!AJ19*100</f>
        <v>0</v>
      </c>
      <c r="AG7" s="198">
        <f>'NKC2'!AK19*100</f>
        <v>0</v>
      </c>
      <c r="AH7" s="198">
        <f>'NKC2'!AL19*100</f>
        <v>0</v>
      </c>
      <c r="AI7" s="198">
        <f>'NKC2'!AM19*100</f>
        <v>0</v>
      </c>
      <c r="AJ7" s="198">
        <f>'NKC2'!AN19*100</f>
        <v>0</v>
      </c>
      <c r="AK7" s="198">
        <f>'NKC2'!AO19*100</f>
        <v>0</v>
      </c>
      <c r="AL7" s="198">
        <f>'NKC2'!AP19*100</f>
        <v>0</v>
      </c>
      <c r="AM7" s="198">
        <f>'NKC2'!AQ19*100</f>
        <v>0</v>
      </c>
      <c r="AN7" s="198">
        <f>'NKC2'!AR19*100</f>
        <v>0</v>
      </c>
      <c r="AO7" s="198">
        <f>'NKC2'!AS19*100</f>
        <v>0</v>
      </c>
      <c r="AP7" s="198">
        <f>'NKC2'!AT19*100</f>
        <v>0</v>
      </c>
      <c r="AQ7" s="198">
        <f>'NKC2'!AU19*100</f>
        <v>0</v>
      </c>
      <c r="AR7" s="198">
        <f>'NKC2'!AV19*100</f>
        <v>0</v>
      </c>
      <c r="AS7" s="198">
        <f>'NKC2'!AW19*100</f>
        <v>0</v>
      </c>
      <c r="AT7" s="198">
        <f>'NKC2'!AX19*100</f>
        <v>0</v>
      </c>
      <c r="AU7" s="198">
        <f>'NKC2'!AY19*100</f>
        <v>0</v>
      </c>
      <c r="AV7" s="198">
        <f>'NKC2'!AZ19*100</f>
        <v>0</v>
      </c>
      <c r="AW7" s="198">
        <f>'NKC2'!BA19*100</f>
        <v>0</v>
      </c>
      <c r="AX7" s="198">
        <f>'NKC2'!BB19*100</f>
        <v>0</v>
      </c>
      <c r="AY7" s="198">
        <f>'NKC2'!BC19*100</f>
        <v>0</v>
      </c>
      <c r="AZ7" s="198">
        <f>'NKC2'!BD19*100</f>
        <v>0</v>
      </c>
      <c r="BA7" s="198">
        <f>'NKC2'!BE19*100</f>
        <v>0</v>
      </c>
      <c r="BB7" s="198">
        <f>'NKC2'!BF19*100</f>
        <v>0</v>
      </c>
      <c r="BC7" s="198">
        <f>'NKC2'!BG19*100</f>
        <v>0</v>
      </c>
      <c r="BD7" s="198">
        <f>'NKC2'!BH19*100</f>
        <v>0</v>
      </c>
      <c r="BE7" s="198">
        <f>'NKC2'!BI19*100</f>
        <v>0</v>
      </c>
      <c r="BF7" s="198">
        <f>'NKC2'!BJ19*100</f>
        <v>0</v>
      </c>
      <c r="BG7" s="198">
        <f>'NKC2'!BK19*100</f>
        <v>0</v>
      </c>
      <c r="BH7" s="198">
        <f>'NKC2'!BL19*100</f>
        <v>0</v>
      </c>
      <c r="BI7" s="198">
        <f>'NKC2'!BM19*100</f>
        <v>0</v>
      </c>
      <c r="BJ7" s="198">
        <f>'NKC2'!BN19*100</f>
        <v>0</v>
      </c>
      <c r="BK7" s="198">
        <f>'NKC2'!BO19*100</f>
        <v>0</v>
      </c>
      <c r="BL7" s="198">
        <f>'NKC2'!BP19*100</f>
        <v>0</v>
      </c>
      <c r="BM7" s="198">
        <f>'NKC2'!BQ19*100</f>
        <v>0</v>
      </c>
      <c r="BN7" s="198">
        <f>'NKC2'!BR19*100</f>
        <v>0</v>
      </c>
      <c r="BO7" s="198">
        <f>'NKC2'!BS19*100</f>
        <v>0</v>
      </c>
      <c r="BP7" s="198">
        <f>'NKC2'!BT19*100</f>
        <v>0</v>
      </c>
      <c r="BQ7" s="198">
        <f>'NKC2'!BU19*100</f>
        <v>0</v>
      </c>
      <c r="BR7" s="198">
        <f>'NKC2'!BV19*100</f>
        <v>0</v>
      </c>
      <c r="BS7" s="198">
        <f>'NKC2'!BW19*100</f>
        <v>0</v>
      </c>
      <c r="BT7" s="198">
        <f>'NKC2'!BX19*100</f>
        <v>0</v>
      </c>
      <c r="BU7" s="198">
        <f>'NKC2'!BY19*100</f>
        <v>0</v>
      </c>
      <c r="BV7" s="198">
        <f>'NKC2'!BZ19*100</f>
        <v>0</v>
      </c>
      <c r="BW7" s="198">
        <f>'NKC2'!CA19*100</f>
        <v>0</v>
      </c>
      <c r="BX7" s="198">
        <f>'NKC2'!CB19*100</f>
        <v>0</v>
      </c>
      <c r="BY7" s="198">
        <f>'NKC2'!CC19*100</f>
        <v>0</v>
      </c>
      <c r="BZ7" s="198">
        <f>'NKC2'!CD19*100</f>
        <v>0</v>
      </c>
      <c r="CA7" s="198">
        <f>'NKC2'!CE19*100</f>
        <v>0</v>
      </c>
      <c r="CB7" s="198">
        <f>'NKC2'!CF19*100</f>
        <v>0</v>
      </c>
      <c r="CC7" s="198">
        <f>'NKC2'!CG19*100</f>
        <v>0</v>
      </c>
      <c r="CD7" s="198">
        <f>'NKC2'!CH19*100</f>
        <v>0</v>
      </c>
      <c r="CE7" s="198">
        <f>'NKC2'!CI19*100</f>
        <v>0</v>
      </c>
      <c r="CF7" s="198">
        <f>'NKC2'!CJ19*100</f>
        <v>0</v>
      </c>
      <c r="CG7" s="198">
        <f>'NKC2'!CK19*100</f>
        <v>0</v>
      </c>
      <c r="CH7" s="198">
        <f>'NKC2'!CL19*100</f>
        <v>0</v>
      </c>
      <c r="CI7" s="198">
        <f>'NKC2'!CM19*100</f>
        <v>0</v>
      </c>
    </row>
    <row r="8" spans="1:87" x14ac:dyDescent="0.45">
      <c r="A8" s="403" t="str">
        <f>'NKC2'!B20</f>
        <v>1.2.1</v>
      </c>
      <c r="B8" s="403" t="str">
        <f>'NKC2'!D20</f>
        <v xml:space="preserve">         งานโครงสร้างลิฟต์</v>
      </c>
      <c r="C8" s="404">
        <f>'NKC2'!F20</f>
        <v>1038486.6489</v>
      </c>
      <c r="D8" s="407" t="str">
        <f>'NKC2'!G18</f>
        <v>P</v>
      </c>
      <c r="E8" s="405">
        <f>'NKC2'!H20*100</f>
        <v>100</v>
      </c>
      <c r="F8" s="405">
        <f>'NKC2'!J20*100</f>
        <v>0</v>
      </c>
      <c r="G8" s="405">
        <f>'NKC2'!K20*100</f>
        <v>0</v>
      </c>
      <c r="H8" s="405">
        <f>'NKC2'!L20*100</f>
        <v>0</v>
      </c>
      <c r="I8" s="405">
        <f>'NKC2'!M20*100</f>
        <v>0</v>
      </c>
      <c r="J8" s="405">
        <f>'NKC2'!N20*100</f>
        <v>0</v>
      </c>
      <c r="K8" s="405">
        <f>'NKC2'!O20*100</f>
        <v>0</v>
      </c>
      <c r="L8" s="405">
        <f>'NKC2'!P20*100</f>
        <v>0</v>
      </c>
      <c r="M8" s="405">
        <f>'NKC2'!Q20*100</f>
        <v>0</v>
      </c>
      <c r="N8" s="405">
        <f>'NKC2'!R20*100</f>
        <v>2</v>
      </c>
      <c r="O8" s="405">
        <f>'NKC2'!S20*100</f>
        <v>2</v>
      </c>
      <c r="P8" s="405">
        <f>'NKC2'!T20*100</f>
        <v>4</v>
      </c>
      <c r="Q8" s="405">
        <f>'NKC2'!U20*100</f>
        <v>4</v>
      </c>
      <c r="R8" s="405">
        <f>'NKC2'!V20*100</f>
        <v>9</v>
      </c>
      <c r="S8" s="405">
        <f>'NKC2'!W20*100</f>
        <v>10</v>
      </c>
      <c r="T8" s="405">
        <f>'NKC2'!X20*100</f>
        <v>10</v>
      </c>
      <c r="U8" s="405">
        <f>'NKC2'!Y20*100</f>
        <v>10</v>
      </c>
      <c r="V8" s="405">
        <f>'NKC2'!Z20*100</f>
        <v>10</v>
      </c>
      <c r="W8" s="405">
        <f>'NKC2'!AA20*100</f>
        <v>10</v>
      </c>
      <c r="X8" s="405">
        <f>'NKC2'!AB20*100</f>
        <v>10</v>
      </c>
      <c r="Y8" s="405">
        <f>'NKC2'!AC20*100</f>
        <v>10</v>
      </c>
      <c r="Z8" s="405">
        <f>'NKC2'!AD20*100</f>
        <v>5</v>
      </c>
      <c r="AA8" s="405">
        <f>'NKC2'!AE20*100</f>
        <v>4</v>
      </c>
      <c r="AB8" s="405">
        <f>'NKC2'!AF20*100</f>
        <v>0</v>
      </c>
      <c r="AC8" s="405">
        <f>'NKC2'!AG20*100</f>
        <v>0</v>
      </c>
      <c r="AD8" s="405">
        <f>'NKC2'!AH20*100</f>
        <v>0</v>
      </c>
      <c r="AE8" s="405">
        <f>'NKC2'!AI20*100</f>
        <v>0</v>
      </c>
      <c r="AF8" s="405">
        <f>'NKC2'!AJ20*100</f>
        <v>0</v>
      </c>
      <c r="AG8" s="405">
        <f>'NKC2'!AK20*100</f>
        <v>0</v>
      </c>
      <c r="AH8" s="405">
        <f>'NKC2'!AL20*100</f>
        <v>0</v>
      </c>
      <c r="AI8" s="405">
        <f>'NKC2'!AM20*100</f>
        <v>0</v>
      </c>
      <c r="AJ8" s="405">
        <f>'NKC2'!AN20*100</f>
        <v>0</v>
      </c>
      <c r="AK8" s="405">
        <f>'NKC2'!AO20*100</f>
        <v>0</v>
      </c>
      <c r="AL8" s="405">
        <f>'NKC2'!AP20*100</f>
        <v>0</v>
      </c>
      <c r="AM8" s="405">
        <f>'NKC2'!AQ20*100</f>
        <v>0</v>
      </c>
      <c r="AN8" s="405">
        <f>'NKC2'!AR20*100</f>
        <v>0</v>
      </c>
      <c r="AO8" s="405">
        <f>'NKC2'!AS20*100</f>
        <v>0</v>
      </c>
      <c r="AP8" s="405">
        <f>'NKC2'!AT20*100</f>
        <v>0</v>
      </c>
      <c r="AQ8" s="405">
        <f>'NKC2'!AU20*100</f>
        <v>0</v>
      </c>
      <c r="AR8" s="405">
        <f>'NKC2'!AV20*100</f>
        <v>0</v>
      </c>
      <c r="AS8" s="405">
        <f>'NKC2'!AW20*100</f>
        <v>0</v>
      </c>
      <c r="AT8" s="405">
        <f>'NKC2'!AX20*100</f>
        <v>0</v>
      </c>
      <c r="AU8" s="405">
        <f>'NKC2'!AY20*100</f>
        <v>0</v>
      </c>
      <c r="AV8" s="405">
        <f>'NKC2'!AZ20*100</f>
        <v>0</v>
      </c>
      <c r="AW8" s="405">
        <f>'NKC2'!BA20*100</f>
        <v>0</v>
      </c>
      <c r="AX8" s="405">
        <f>'NKC2'!BB20*100</f>
        <v>0</v>
      </c>
      <c r="AY8" s="405">
        <f>'NKC2'!BC20*100</f>
        <v>0</v>
      </c>
      <c r="AZ8" s="405">
        <f>'NKC2'!BD20*100</f>
        <v>0</v>
      </c>
      <c r="BA8" s="405">
        <f>'NKC2'!BE20*100</f>
        <v>0</v>
      </c>
      <c r="BB8" s="405">
        <f>'NKC2'!BF20*100</f>
        <v>0</v>
      </c>
      <c r="BC8" s="405">
        <f>'NKC2'!BG20*100</f>
        <v>0</v>
      </c>
      <c r="BD8" s="405">
        <f>'NKC2'!BH20*100</f>
        <v>0</v>
      </c>
      <c r="BE8" s="405">
        <f>'NKC2'!BI20*100</f>
        <v>0</v>
      </c>
      <c r="BF8" s="405">
        <f>'NKC2'!BJ20*100</f>
        <v>0</v>
      </c>
      <c r="BG8" s="405">
        <f>'NKC2'!BK20*100</f>
        <v>0</v>
      </c>
      <c r="BH8" s="405">
        <f>'NKC2'!BL20*100</f>
        <v>0</v>
      </c>
      <c r="BI8" s="405">
        <f>'NKC2'!BM20*100</f>
        <v>0</v>
      </c>
      <c r="BJ8" s="405">
        <f>'NKC2'!BN20*100</f>
        <v>0</v>
      </c>
      <c r="BK8" s="405">
        <f>'NKC2'!BO20*100</f>
        <v>0</v>
      </c>
      <c r="BL8" s="405">
        <f>'NKC2'!BP20*100</f>
        <v>0</v>
      </c>
      <c r="BM8" s="405">
        <f>'NKC2'!BQ20*100</f>
        <v>0</v>
      </c>
      <c r="BN8" s="405">
        <f>'NKC2'!BR20*100</f>
        <v>0</v>
      </c>
      <c r="BO8" s="405">
        <f>'NKC2'!BS20*100</f>
        <v>0</v>
      </c>
      <c r="BP8" s="405">
        <f>'NKC2'!BT20*100</f>
        <v>0</v>
      </c>
      <c r="BQ8" s="405">
        <f>'NKC2'!BU20*100</f>
        <v>0</v>
      </c>
      <c r="BR8" s="405">
        <f>'NKC2'!BV20*100</f>
        <v>0</v>
      </c>
      <c r="BS8" s="405">
        <f>'NKC2'!BW20*100</f>
        <v>0</v>
      </c>
      <c r="BT8" s="405">
        <f>'NKC2'!BX20*100</f>
        <v>0</v>
      </c>
      <c r="BU8" s="405">
        <f>'NKC2'!BY20*100</f>
        <v>0</v>
      </c>
      <c r="BV8" s="405">
        <f>'NKC2'!BZ20*100</f>
        <v>0</v>
      </c>
      <c r="BW8" s="405">
        <f>'NKC2'!CA20*100</f>
        <v>0</v>
      </c>
      <c r="BX8" s="405">
        <f>'NKC2'!CB20*100</f>
        <v>0</v>
      </c>
      <c r="BY8" s="405">
        <f>'NKC2'!CC20*100</f>
        <v>0</v>
      </c>
      <c r="BZ8" s="405">
        <f>'NKC2'!CD20*100</f>
        <v>0</v>
      </c>
      <c r="CA8" s="405">
        <f>'NKC2'!CE20*100</f>
        <v>0</v>
      </c>
      <c r="CB8" s="405">
        <f>'NKC2'!CF20*100</f>
        <v>0</v>
      </c>
      <c r="CC8" s="405">
        <f>'NKC2'!CG20*100</f>
        <v>0</v>
      </c>
      <c r="CD8" s="405">
        <f>'NKC2'!CH20*100</f>
        <v>0</v>
      </c>
      <c r="CE8" s="405">
        <f>'NKC2'!CI20*100</f>
        <v>0</v>
      </c>
      <c r="CF8" s="405">
        <f>'NKC2'!CJ20*100</f>
        <v>0</v>
      </c>
      <c r="CG8" s="405">
        <f>'NKC2'!CK20*100</f>
        <v>0</v>
      </c>
      <c r="CH8" s="405">
        <f>'NKC2'!CL20*100</f>
        <v>0</v>
      </c>
      <c r="CI8" s="405">
        <f>'NKC2'!CM20*100</f>
        <v>0</v>
      </c>
    </row>
    <row r="9" spans="1:87" x14ac:dyDescent="0.45">
      <c r="A9" t="str">
        <f>'NKC2'!B21</f>
        <v>1.2.1</v>
      </c>
      <c r="B9" t="str">
        <f>'NKC2'!D21</f>
        <v xml:space="preserve">         งานโครงสร้างลิฟต์</v>
      </c>
      <c r="C9" s="193">
        <f>'NKC2'!F21</f>
        <v>1038486.6489</v>
      </c>
      <c r="D9" s="140" t="str">
        <f>'NKC2'!G19</f>
        <v>A</v>
      </c>
      <c r="E9" s="198">
        <f>'NKC2'!H21*100</f>
        <v>0</v>
      </c>
      <c r="F9" s="198">
        <f>'NKC2'!J21*100</f>
        <v>0</v>
      </c>
      <c r="G9" s="198">
        <f>'NKC2'!K21*100</f>
        <v>0</v>
      </c>
      <c r="H9" s="198">
        <f>'NKC2'!L21*100</f>
        <v>0</v>
      </c>
      <c r="I9" s="198">
        <f>'NKC2'!M21*100</f>
        <v>0</v>
      </c>
      <c r="J9" s="198">
        <f>'NKC2'!N21*100</f>
        <v>0</v>
      </c>
      <c r="K9" s="198">
        <f>'NKC2'!O21*100</f>
        <v>0</v>
      </c>
      <c r="L9" s="198">
        <f>'NKC2'!P21*100</f>
        <v>0</v>
      </c>
      <c r="M9" s="198">
        <f>'NKC2'!Q21*100</f>
        <v>0</v>
      </c>
      <c r="N9" s="198">
        <f>'NKC2'!R21*100</f>
        <v>0</v>
      </c>
      <c r="O9" s="198">
        <f>'NKC2'!S21*100</f>
        <v>0</v>
      </c>
      <c r="P9" s="198">
        <f>'NKC2'!T21*100</f>
        <v>0</v>
      </c>
      <c r="Q9" s="198">
        <f>'NKC2'!U21*100</f>
        <v>0</v>
      </c>
      <c r="R9" s="198">
        <f>'NKC2'!V21*100</f>
        <v>0</v>
      </c>
      <c r="S9" s="198">
        <f>'NKC2'!W21*100</f>
        <v>0</v>
      </c>
      <c r="T9" s="198">
        <f>'NKC2'!X21*100</f>
        <v>0</v>
      </c>
      <c r="U9" s="198">
        <f>'NKC2'!Y21*100</f>
        <v>0</v>
      </c>
      <c r="V9" s="198">
        <f>'NKC2'!Z21*100</f>
        <v>0</v>
      </c>
      <c r="W9" s="198">
        <f>'NKC2'!AA21*100</f>
        <v>0</v>
      </c>
      <c r="X9" s="198">
        <f>'NKC2'!AB21*100</f>
        <v>0</v>
      </c>
      <c r="Y9" s="198">
        <f>'NKC2'!AC21*100</f>
        <v>0</v>
      </c>
      <c r="Z9" s="198">
        <f>'NKC2'!AD21*100</f>
        <v>0</v>
      </c>
      <c r="AA9" s="198">
        <f>'NKC2'!AE21*100</f>
        <v>0</v>
      </c>
      <c r="AB9" s="198">
        <f>'NKC2'!AF21*100</f>
        <v>0</v>
      </c>
      <c r="AC9" s="198">
        <f>'NKC2'!AG21*100</f>
        <v>0</v>
      </c>
      <c r="AD9" s="198">
        <f>'NKC2'!AH21*100</f>
        <v>0</v>
      </c>
      <c r="AE9" s="198">
        <f>'NKC2'!AI21*100</f>
        <v>0</v>
      </c>
      <c r="AF9" s="198">
        <f>'NKC2'!AJ21*100</f>
        <v>0</v>
      </c>
      <c r="AG9" s="198">
        <f>'NKC2'!AK21*100</f>
        <v>0</v>
      </c>
      <c r="AH9" s="198">
        <f>'NKC2'!AL21*100</f>
        <v>0</v>
      </c>
      <c r="AI9" s="198">
        <f>'NKC2'!AM21*100</f>
        <v>0</v>
      </c>
      <c r="AJ9" s="198">
        <f>'NKC2'!AN21*100</f>
        <v>0</v>
      </c>
      <c r="AK9" s="198">
        <f>'NKC2'!AO21*100</f>
        <v>0</v>
      </c>
      <c r="AL9" s="198">
        <f>'NKC2'!AP21*100</f>
        <v>0</v>
      </c>
      <c r="AM9" s="198">
        <f>'NKC2'!AQ21*100</f>
        <v>0</v>
      </c>
      <c r="AN9" s="198">
        <f>'NKC2'!AR21*100</f>
        <v>0</v>
      </c>
      <c r="AO9" s="198">
        <f>'NKC2'!AS21*100</f>
        <v>0</v>
      </c>
      <c r="AP9" s="198">
        <f>'NKC2'!AT21*100</f>
        <v>0</v>
      </c>
      <c r="AQ9" s="198">
        <f>'NKC2'!AU21*100</f>
        <v>0</v>
      </c>
      <c r="AR9" s="198">
        <f>'NKC2'!AV21*100</f>
        <v>0</v>
      </c>
      <c r="AS9" s="198">
        <f>'NKC2'!AW21*100</f>
        <v>0</v>
      </c>
      <c r="AT9" s="198">
        <f>'NKC2'!AX21*100</f>
        <v>0</v>
      </c>
      <c r="AU9" s="198">
        <f>'NKC2'!AY21*100</f>
        <v>0</v>
      </c>
      <c r="AV9" s="198">
        <f>'NKC2'!AZ21*100</f>
        <v>0</v>
      </c>
      <c r="AW9" s="198">
        <f>'NKC2'!BA21*100</f>
        <v>0</v>
      </c>
      <c r="AX9" s="198">
        <f>'NKC2'!BB21*100</f>
        <v>0</v>
      </c>
      <c r="AY9" s="198">
        <f>'NKC2'!BC21*100</f>
        <v>0</v>
      </c>
      <c r="AZ9" s="198">
        <f>'NKC2'!BD21*100</f>
        <v>0</v>
      </c>
      <c r="BA9" s="198">
        <f>'NKC2'!BE21*100</f>
        <v>0</v>
      </c>
      <c r="BB9" s="198">
        <f>'NKC2'!BF21*100</f>
        <v>0</v>
      </c>
      <c r="BC9" s="198">
        <f>'NKC2'!BG21*100</f>
        <v>0</v>
      </c>
      <c r="BD9" s="198">
        <f>'NKC2'!BH21*100</f>
        <v>0</v>
      </c>
      <c r="BE9" s="198">
        <f>'NKC2'!BI21*100</f>
        <v>0</v>
      </c>
      <c r="BF9" s="198">
        <f>'NKC2'!BJ21*100</f>
        <v>0</v>
      </c>
      <c r="BG9" s="198">
        <f>'NKC2'!BK21*100</f>
        <v>0</v>
      </c>
      <c r="BH9" s="198">
        <f>'NKC2'!BL21*100</f>
        <v>0</v>
      </c>
      <c r="BI9" s="198">
        <f>'NKC2'!BM21*100</f>
        <v>0</v>
      </c>
      <c r="BJ9" s="198">
        <f>'NKC2'!BN21*100</f>
        <v>0</v>
      </c>
      <c r="BK9" s="198">
        <f>'NKC2'!BO21*100</f>
        <v>0</v>
      </c>
      <c r="BL9" s="198">
        <f>'NKC2'!BP21*100</f>
        <v>0</v>
      </c>
      <c r="BM9" s="198">
        <f>'NKC2'!BQ21*100</f>
        <v>0</v>
      </c>
      <c r="BN9" s="198">
        <f>'NKC2'!BR21*100</f>
        <v>0</v>
      </c>
      <c r="BO9" s="198">
        <f>'NKC2'!BS21*100</f>
        <v>0</v>
      </c>
      <c r="BP9" s="198">
        <f>'NKC2'!BT21*100</f>
        <v>0</v>
      </c>
      <c r="BQ9" s="198">
        <f>'NKC2'!BU21*100</f>
        <v>0</v>
      </c>
      <c r="BR9" s="198">
        <f>'NKC2'!BV21*100</f>
        <v>0</v>
      </c>
      <c r="BS9" s="198">
        <f>'NKC2'!BW21*100</f>
        <v>0</v>
      </c>
      <c r="BT9" s="198">
        <f>'NKC2'!BX21*100</f>
        <v>0</v>
      </c>
      <c r="BU9" s="198">
        <f>'NKC2'!BY21*100</f>
        <v>0</v>
      </c>
      <c r="BV9" s="198">
        <f>'NKC2'!BZ21*100</f>
        <v>0</v>
      </c>
      <c r="BW9" s="198">
        <f>'NKC2'!CA21*100</f>
        <v>0</v>
      </c>
      <c r="BX9" s="198">
        <f>'NKC2'!CB21*100</f>
        <v>0</v>
      </c>
      <c r="BY9" s="198">
        <f>'NKC2'!CC21*100</f>
        <v>0</v>
      </c>
      <c r="BZ9" s="198">
        <f>'NKC2'!CD21*100</f>
        <v>0</v>
      </c>
      <c r="CA9" s="198">
        <f>'NKC2'!CE21*100</f>
        <v>0</v>
      </c>
      <c r="CB9" s="198">
        <f>'NKC2'!CF21*100</f>
        <v>0</v>
      </c>
      <c r="CC9" s="198">
        <f>'NKC2'!CG21*100</f>
        <v>0</v>
      </c>
      <c r="CD9" s="198">
        <f>'NKC2'!CH21*100</f>
        <v>0</v>
      </c>
      <c r="CE9" s="198">
        <f>'NKC2'!CI21*100</f>
        <v>0</v>
      </c>
      <c r="CF9" s="198">
        <f>'NKC2'!CJ21*100</f>
        <v>0</v>
      </c>
      <c r="CG9" s="198">
        <f>'NKC2'!CK21*100</f>
        <v>0</v>
      </c>
      <c r="CH9" s="198">
        <f>'NKC2'!CL21*100</f>
        <v>0</v>
      </c>
      <c r="CI9" s="198">
        <f>'NKC2'!CM21*100</f>
        <v>0</v>
      </c>
    </row>
    <row r="10" spans="1:87" x14ac:dyDescent="0.45">
      <c r="A10" s="403" t="str">
        <f>'NKC2'!B22</f>
        <v>1.2.2</v>
      </c>
      <c r="B10" s="403" t="str">
        <f>'NKC2'!D22</f>
        <v xml:space="preserve">         งานโครงชั้นหลังคา (FL. +18.95 m. )</v>
      </c>
      <c r="C10" s="404">
        <f>'NKC2'!F22</f>
        <v>4195354.6218999997</v>
      </c>
      <c r="D10" s="407" t="str">
        <f>'NKC2'!G20</f>
        <v>P</v>
      </c>
      <c r="E10" s="405">
        <f>'NKC2'!H22*100</f>
        <v>100</v>
      </c>
      <c r="F10" s="405">
        <f>'NKC2'!J22*100</f>
        <v>0</v>
      </c>
      <c r="G10" s="405">
        <f>'NKC2'!K22*100</f>
        <v>0</v>
      </c>
      <c r="H10" s="405">
        <f>'NKC2'!L22*100</f>
        <v>0</v>
      </c>
      <c r="I10" s="405">
        <f>'NKC2'!M22*100</f>
        <v>0</v>
      </c>
      <c r="J10" s="405">
        <f>'NKC2'!N22*100</f>
        <v>0</v>
      </c>
      <c r="K10" s="405">
        <f>'NKC2'!O22*100</f>
        <v>0</v>
      </c>
      <c r="L10" s="405">
        <f>'NKC2'!P22*100</f>
        <v>0</v>
      </c>
      <c r="M10" s="405">
        <f>'NKC2'!Q22*100</f>
        <v>0</v>
      </c>
      <c r="N10" s="405">
        <f>'NKC2'!R22*100</f>
        <v>10</v>
      </c>
      <c r="O10" s="405">
        <f>'NKC2'!S22*100</f>
        <v>21</v>
      </c>
      <c r="P10" s="405">
        <f>'NKC2'!T22*100</f>
        <v>25</v>
      </c>
      <c r="Q10" s="405">
        <f>'NKC2'!U22*100</f>
        <v>22</v>
      </c>
      <c r="R10" s="405">
        <f>'NKC2'!V22*100</f>
        <v>10</v>
      </c>
      <c r="S10" s="405">
        <f>'NKC2'!W22*100</f>
        <v>5</v>
      </c>
      <c r="T10" s="405">
        <f>'NKC2'!X22*100</f>
        <v>3</v>
      </c>
      <c r="U10" s="405">
        <f>'NKC2'!Y22*100</f>
        <v>2</v>
      </c>
      <c r="V10" s="405">
        <f>'NKC2'!Z22*100</f>
        <v>2</v>
      </c>
      <c r="W10" s="405">
        <f>'NKC2'!AA22*100</f>
        <v>0</v>
      </c>
      <c r="X10" s="405">
        <f>'NKC2'!AB22*100</f>
        <v>0</v>
      </c>
      <c r="Y10" s="405">
        <f>'NKC2'!AC22*100</f>
        <v>0</v>
      </c>
      <c r="Z10" s="405">
        <f>'NKC2'!AD22*100</f>
        <v>0</v>
      </c>
      <c r="AA10" s="405">
        <f>'NKC2'!AE22*100</f>
        <v>0</v>
      </c>
      <c r="AB10" s="405">
        <f>'NKC2'!AF22*100</f>
        <v>0</v>
      </c>
      <c r="AC10" s="405">
        <f>'NKC2'!AG22*100</f>
        <v>0</v>
      </c>
      <c r="AD10" s="405">
        <f>'NKC2'!AH22*100</f>
        <v>0</v>
      </c>
      <c r="AE10" s="405">
        <f>'NKC2'!AI22*100</f>
        <v>0</v>
      </c>
      <c r="AF10" s="405">
        <f>'NKC2'!AJ22*100</f>
        <v>0</v>
      </c>
      <c r="AG10" s="405">
        <f>'NKC2'!AK22*100</f>
        <v>0</v>
      </c>
      <c r="AH10" s="405">
        <f>'NKC2'!AL22*100</f>
        <v>0</v>
      </c>
      <c r="AI10" s="405">
        <f>'NKC2'!AM22*100</f>
        <v>0</v>
      </c>
      <c r="AJ10" s="405">
        <f>'NKC2'!AN22*100</f>
        <v>0</v>
      </c>
      <c r="AK10" s="405">
        <f>'NKC2'!AO22*100</f>
        <v>0</v>
      </c>
      <c r="AL10" s="405">
        <f>'NKC2'!AP22*100</f>
        <v>0</v>
      </c>
      <c r="AM10" s="405">
        <f>'NKC2'!AQ22*100</f>
        <v>0</v>
      </c>
      <c r="AN10" s="405">
        <f>'NKC2'!AR22*100</f>
        <v>0</v>
      </c>
      <c r="AO10" s="405">
        <f>'NKC2'!AS22*100</f>
        <v>0</v>
      </c>
      <c r="AP10" s="405">
        <f>'NKC2'!AT22*100</f>
        <v>0</v>
      </c>
      <c r="AQ10" s="405">
        <f>'NKC2'!AU22*100</f>
        <v>0</v>
      </c>
      <c r="AR10" s="405">
        <f>'NKC2'!AV22*100</f>
        <v>0</v>
      </c>
      <c r="AS10" s="405">
        <f>'NKC2'!AW22*100</f>
        <v>0</v>
      </c>
      <c r="AT10" s="405">
        <f>'NKC2'!AX22*100</f>
        <v>0</v>
      </c>
      <c r="AU10" s="405">
        <f>'NKC2'!AY22*100</f>
        <v>0</v>
      </c>
      <c r="AV10" s="405">
        <f>'NKC2'!AZ22*100</f>
        <v>0</v>
      </c>
      <c r="AW10" s="405">
        <f>'NKC2'!BA22*100</f>
        <v>0</v>
      </c>
      <c r="AX10" s="405">
        <f>'NKC2'!BB22*100</f>
        <v>0</v>
      </c>
      <c r="AY10" s="405">
        <f>'NKC2'!BC22*100</f>
        <v>0</v>
      </c>
      <c r="AZ10" s="405">
        <f>'NKC2'!BD22*100</f>
        <v>0</v>
      </c>
      <c r="BA10" s="405">
        <f>'NKC2'!BE22*100</f>
        <v>0</v>
      </c>
      <c r="BB10" s="405">
        <f>'NKC2'!BF22*100</f>
        <v>0</v>
      </c>
      <c r="BC10" s="405">
        <f>'NKC2'!BG22*100</f>
        <v>0</v>
      </c>
      <c r="BD10" s="405">
        <f>'NKC2'!BH22*100</f>
        <v>0</v>
      </c>
      <c r="BE10" s="405">
        <f>'NKC2'!BI22*100</f>
        <v>0</v>
      </c>
      <c r="BF10" s="405">
        <f>'NKC2'!BJ22*100</f>
        <v>0</v>
      </c>
      <c r="BG10" s="405">
        <f>'NKC2'!BK22*100</f>
        <v>0</v>
      </c>
      <c r="BH10" s="405">
        <f>'NKC2'!BL22*100</f>
        <v>0</v>
      </c>
      <c r="BI10" s="405">
        <f>'NKC2'!BM22*100</f>
        <v>0</v>
      </c>
      <c r="BJ10" s="405">
        <f>'NKC2'!BN22*100</f>
        <v>0</v>
      </c>
      <c r="BK10" s="405">
        <f>'NKC2'!BO22*100</f>
        <v>0</v>
      </c>
      <c r="BL10" s="405">
        <f>'NKC2'!BP22*100</f>
        <v>0</v>
      </c>
      <c r="BM10" s="405">
        <f>'NKC2'!BQ22*100</f>
        <v>0</v>
      </c>
      <c r="BN10" s="405">
        <f>'NKC2'!BR22*100</f>
        <v>0</v>
      </c>
      <c r="BO10" s="405">
        <f>'NKC2'!BS22*100</f>
        <v>0</v>
      </c>
      <c r="BP10" s="405">
        <f>'NKC2'!BT22*100</f>
        <v>0</v>
      </c>
      <c r="BQ10" s="405">
        <f>'NKC2'!BU22*100</f>
        <v>0</v>
      </c>
      <c r="BR10" s="405">
        <f>'NKC2'!BV22*100</f>
        <v>0</v>
      </c>
      <c r="BS10" s="405">
        <f>'NKC2'!BW22*100</f>
        <v>0</v>
      </c>
      <c r="BT10" s="405">
        <f>'NKC2'!BX22*100</f>
        <v>0</v>
      </c>
      <c r="BU10" s="405">
        <f>'NKC2'!BY22*100</f>
        <v>0</v>
      </c>
      <c r="BV10" s="405">
        <f>'NKC2'!BZ22*100</f>
        <v>0</v>
      </c>
      <c r="BW10" s="405">
        <f>'NKC2'!CA22*100</f>
        <v>0</v>
      </c>
      <c r="BX10" s="405">
        <f>'NKC2'!CB22*100</f>
        <v>0</v>
      </c>
      <c r="BY10" s="405">
        <f>'NKC2'!CC22*100</f>
        <v>0</v>
      </c>
      <c r="BZ10" s="405">
        <f>'NKC2'!CD22*100</f>
        <v>0</v>
      </c>
      <c r="CA10" s="405">
        <f>'NKC2'!CE22*100</f>
        <v>0</v>
      </c>
      <c r="CB10" s="405">
        <f>'NKC2'!CF22*100</f>
        <v>0</v>
      </c>
      <c r="CC10" s="405">
        <f>'NKC2'!CG22*100</f>
        <v>0</v>
      </c>
      <c r="CD10" s="405">
        <f>'NKC2'!CH22*100</f>
        <v>0</v>
      </c>
      <c r="CE10" s="405">
        <f>'NKC2'!CI22*100</f>
        <v>0</v>
      </c>
      <c r="CF10" s="405">
        <f>'NKC2'!CJ22*100</f>
        <v>0</v>
      </c>
      <c r="CG10" s="405">
        <f>'NKC2'!CK22*100</f>
        <v>0</v>
      </c>
      <c r="CH10" s="405">
        <f>'NKC2'!CL22*100</f>
        <v>0</v>
      </c>
      <c r="CI10" s="405">
        <f>'NKC2'!CM22*100</f>
        <v>0</v>
      </c>
    </row>
    <row r="11" spans="1:87" x14ac:dyDescent="0.45">
      <c r="A11" t="str">
        <f>'NKC2'!B23</f>
        <v>1.2.2</v>
      </c>
      <c r="B11" t="str">
        <f>'NKC2'!D23</f>
        <v xml:space="preserve">         งานโครงชั้นหลังคา (FL. +18.95 m. )</v>
      </c>
      <c r="C11" s="193">
        <f>'NKC2'!F23</f>
        <v>4195354.6218999997</v>
      </c>
      <c r="D11" s="140" t="str">
        <f>'NKC2'!G21</f>
        <v>A</v>
      </c>
      <c r="E11" s="198">
        <f>'NKC2'!H23*100</f>
        <v>0</v>
      </c>
      <c r="F11" s="198">
        <f>'NKC2'!J23*100</f>
        <v>0</v>
      </c>
      <c r="G11" s="198">
        <f>'NKC2'!K23*100</f>
        <v>0</v>
      </c>
      <c r="H11" s="198">
        <f>'NKC2'!L23*100</f>
        <v>0</v>
      </c>
      <c r="I11" s="198">
        <f>'NKC2'!M23*100</f>
        <v>0</v>
      </c>
      <c r="J11" s="198">
        <f>'NKC2'!N23*100</f>
        <v>0</v>
      </c>
      <c r="K11" s="198">
        <f>'NKC2'!O23*100</f>
        <v>0</v>
      </c>
      <c r="L11" s="198">
        <f>'NKC2'!P23*100</f>
        <v>0</v>
      </c>
      <c r="M11" s="198">
        <f>'NKC2'!Q23*100</f>
        <v>0</v>
      </c>
      <c r="N11" s="198">
        <f>'NKC2'!R23*100</f>
        <v>0</v>
      </c>
      <c r="O11" s="198">
        <f>'NKC2'!S23*100</f>
        <v>0</v>
      </c>
      <c r="P11" s="198">
        <f>'NKC2'!T23*100</f>
        <v>0</v>
      </c>
      <c r="Q11" s="198">
        <f>'NKC2'!U23*100</f>
        <v>0</v>
      </c>
      <c r="R11" s="198">
        <f>'NKC2'!V23*100</f>
        <v>0</v>
      </c>
      <c r="S11" s="198">
        <f>'NKC2'!W23*100</f>
        <v>0</v>
      </c>
      <c r="T11" s="198">
        <f>'NKC2'!X23*100</f>
        <v>0</v>
      </c>
      <c r="U11" s="198">
        <f>'NKC2'!Y23*100</f>
        <v>0</v>
      </c>
      <c r="V11" s="198">
        <f>'NKC2'!Z23*100</f>
        <v>0</v>
      </c>
      <c r="W11" s="198">
        <f>'NKC2'!AA23*100</f>
        <v>0</v>
      </c>
      <c r="X11" s="198">
        <f>'NKC2'!AB23*100</f>
        <v>0</v>
      </c>
      <c r="Y11" s="198">
        <f>'NKC2'!AC23*100</f>
        <v>0</v>
      </c>
      <c r="Z11" s="198">
        <f>'NKC2'!AD23*100</f>
        <v>0</v>
      </c>
      <c r="AA11" s="198">
        <f>'NKC2'!AE23*100</f>
        <v>0</v>
      </c>
      <c r="AB11" s="198">
        <f>'NKC2'!AF23*100</f>
        <v>0</v>
      </c>
      <c r="AC11" s="198">
        <f>'NKC2'!AG23*100</f>
        <v>0</v>
      </c>
      <c r="AD11" s="198">
        <f>'NKC2'!AH23*100</f>
        <v>0</v>
      </c>
      <c r="AE11" s="198">
        <f>'NKC2'!AI23*100</f>
        <v>0</v>
      </c>
      <c r="AF11" s="198">
        <f>'NKC2'!AJ23*100</f>
        <v>0</v>
      </c>
      <c r="AG11" s="198">
        <f>'NKC2'!AK23*100</f>
        <v>0</v>
      </c>
      <c r="AH11" s="198">
        <f>'NKC2'!AL23*100</f>
        <v>0</v>
      </c>
      <c r="AI11" s="198">
        <f>'NKC2'!AM23*100</f>
        <v>0</v>
      </c>
      <c r="AJ11" s="198">
        <f>'NKC2'!AN23*100</f>
        <v>0</v>
      </c>
      <c r="AK11" s="198">
        <f>'NKC2'!AO23*100</f>
        <v>0</v>
      </c>
      <c r="AL11" s="198">
        <f>'NKC2'!AP23*100</f>
        <v>0</v>
      </c>
      <c r="AM11" s="198">
        <f>'NKC2'!AQ23*100</f>
        <v>0</v>
      </c>
      <c r="AN11" s="198">
        <f>'NKC2'!AR23*100</f>
        <v>0</v>
      </c>
      <c r="AO11" s="198">
        <f>'NKC2'!AS23*100</f>
        <v>0</v>
      </c>
      <c r="AP11" s="198">
        <f>'NKC2'!AT23*100</f>
        <v>0</v>
      </c>
      <c r="AQ11" s="198">
        <f>'NKC2'!AU23*100</f>
        <v>0</v>
      </c>
      <c r="AR11" s="198">
        <f>'NKC2'!AV23*100</f>
        <v>0</v>
      </c>
      <c r="AS11" s="198">
        <f>'NKC2'!AW23*100</f>
        <v>0</v>
      </c>
      <c r="AT11" s="198">
        <f>'NKC2'!AX23*100</f>
        <v>0</v>
      </c>
      <c r="AU11" s="198">
        <f>'NKC2'!AY23*100</f>
        <v>0</v>
      </c>
      <c r="AV11" s="198">
        <f>'NKC2'!AZ23*100</f>
        <v>0</v>
      </c>
      <c r="AW11" s="198">
        <f>'NKC2'!BA23*100</f>
        <v>0</v>
      </c>
      <c r="AX11" s="198">
        <f>'NKC2'!BB23*100</f>
        <v>0</v>
      </c>
      <c r="AY11" s="198">
        <f>'NKC2'!BC23*100</f>
        <v>0</v>
      </c>
      <c r="AZ11" s="198">
        <f>'NKC2'!BD23*100</f>
        <v>0</v>
      </c>
      <c r="BA11" s="198">
        <f>'NKC2'!BE23*100</f>
        <v>0</v>
      </c>
      <c r="BB11" s="198">
        <f>'NKC2'!BF23*100</f>
        <v>0</v>
      </c>
      <c r="BC11" s="198">
        <f>'NKC2'!BG23*100</f>
        <v>0</v>
      </c>
      <c r="BD11" s="198">
        <f>'NKC2'!BH23*100</f>
        <v>0</v>
      </c>
      <c r="BE11" s="198">
        <f>'NKC2'!BI23*100</f>
        <v>0</v>
      </c>
      <c r="BF11" s="198">
        <f>'NKC2'!BJ23*100</f>
        <v>0</v>
      </c>
      <c r="BG11" s="198">
        <f>'NKC2'!BK23*100</f>
        <v>0</v>
      </c>
      <c r="BH11" s="198">
        <f>'NKC2'!BL23*100</f>
        <v>0</v>
      </c>
      <c r="BI11" s="198">
        <f>'NKC2'!BM23*100</f>
        <v>0</v>
      </c>
      <c r="BJ11" s="198">
        <f>'NKC2'!BN23*100</f>
        <v>0</v>
      </c>
      <c r="BK11" s="198">
        <f>'NKC2'!BO23*100</f>
        <v>0</v>
      </c>
      <c r="BL11" s="198">
        <f>'NKC2'!BP23*100</f>
        <v>0</v>
      </c>
      <c r="BM11" s="198">
        <f>'NKC2'!BQ23*100</f>
        <v>0</v>
      </c>
      <c r="BN11" s="198">
        <f>'NKC2'!BR23*100</f>
        <v>0</v>
      </c>
      <c r="BO11" s="198">
        <f>'NKC2'!BS23*100</f>
        <v>0</v>
      </c>
      <c r="BP11" s="198">
        <f>'NKC2'!BT23*100</f>
        <v>0</v>
      </c>
      <c r="BQ11" s="198">
        <f>'NKC2'!BU23*100</f>
        <v>0</v>
      </c>
      <c r="BR11" s="198">
        <f>'NKC2'!BV23*100</f>
        <v>0</v>
      </c>
      <c r="BS11" s="198">
        <f>'NKC2'!BW23*100</f>
        <v>0</v>
      </c>
      <c r="BT11" s="198">
        <f>'NKC2'!BX23*100</f>
        <v>0</v>
      </c>
      <c r="BU11" s="198">
        <f>'NKC2'!BY23*100</f>
        <v>0</v>
      </c>
      <c r="BV11" s="198">
        <f>'NKC2'!BZ23*100</f>
        <v>0</v>
      </c>
      <c r="BW11" s="198">
        <f>'NKC2'!CA23*100</f>
        <v>0</v>
      </c>
      <c r="BX11" s="198">
        <f>'NKC2'!CB23*100</f>
        <v>0</v>
      </c>
      <c r="BY11" s="198">
        <f>'NKC2'!CC23*100</f>
        <v>0</v>
      </c>
      <c r="BZ11" s="198">
        <f>'NKC2'!CD23*100</f>
        <v>0</v>
      </c>
      <c r="CA11" s="198">
        <f>'NKC2'!CE23*100</f>
        <v>0</v>
      </c>
      <c r="CB11" s="198">
        <f>'NKC2'!CF23*100</f>
        <v>0</v>
      </c>
      <c r="CC11" s="198">
        <f>'NKC2'!CG23*100</f>
        <v>0</v>
      </c>
      <c r="CD11" s="198">
        <f>'NKC2'!CH23*100</f>
        <v>0</v>
      </c>
      <c r="CE11" s="198">
        <f>'NKC2'!CI23*100</f>
        <v>0</v>
      </c>
      <c r="CF11" s="198">
        <f>'NKC2'!CJ23*100</f>
        <v>0</v>
      </c>
      <c r="CG11" s="198">
        <f>'NKC2'!CK23*100</f>
        <v>0</v>
      </c>
      <c r="CH11" s="198">
        <f>'NKC2'!CL23*100</f>
        <v>0</v>
      </c>
      <c r="CI11" s="198">
        <f>'NKC2'!CM23*100</f>
        <v>0</v>
      </c>
    </row>
    <row r="12" spans="1:87" x14ac:dyDescent="0.45">
      <c r="A12" s="403" t="str">
        <f>'NKC2'!B24</f>
        <v>1.2.3</v>
      </c>
      <c r="B12" s="403" t="str">
        <f>'NKC2'!D24</f>
        <v xml:space="preserve">          งานโครงหลังคาห้องสนามหลวง ห้องศาสนา</v>
      </c>
      <c r="C12" s="404">
        <f>'NKC2'!F24</f>
        <v>1034941.9422</v>
      </c>
      <c r="D12" s="407" t="str">
        <f>'NKC2'!G22</f>
        <v>P</v>
      </c>
      <c r="E12" s="405">
        <f>'NKC2'!H24*100</f>
        <v>100</v>
      </c>
      <c r="F12" s="405">
        <f>'NKC2'!J24*100</f>
        <v>0</v>
      </c>
      <c r="G12" s="405">
        <f>'NKC2'!K24*100</f>
        <v>0</v>
      </c>
      <c r="H12" s="405">
        <f>'NKC2'!L24*100</f>
        <v>0</v>
      </c>
      <c r="I12" s="405">
        <f>'NKC2'!M24*100</f>
        <v>0</v>
      </c>
      <c r="J12" s="405">
        <f>'NKC2'!N24*100</f>
        <v>0</v>
      </c>
      <c r="K12" s="405">
        <f>'NKC2'!O24*100</f>
        <v>0</v>
      </c>
      <c r="L12" s="405">
        <f>'NKC2'!P24*100</f>
        <v>0</v>
      </c>
      <c r="M12" s="405">
        <f>'NKC2'!Q24*100</f>
        <v>0</v>
      </c>
      <c r="N12" s="405">
        <f>'NKC2'!R24*100</f>
        <v>0</v>
      </c>
      <c r="O12" s="405">
        <f>'NKC2'!S24*100</f>
        <v>0</v>
      </c>
      <c r="P12" s="405">
        <f>'NKC2'!T24*100</f>
        <v>0</v>
      </c>
      <c r="Q12" s="405">
        <f>'NKC2'!U24*100</f>
        <v>0</v>
      </c>
      <c r="R12" s="405">
        <f>'NKC2'!V24*100</f>
        <v>10</v>
      </c>
      <c r="S12" s="405">
        <f>'NKC2'!W24*100</f>
        <v>21</v>
      </c>
      <c r="T12" s="405">
        <f>'NKC2'!X24*100</f>
        <v>25</v>
      </c>
      <c r="U12" s="405">
        <f>'NKC2'!Y24*100</f>
        <v>15</v>
      </c>
      <c r="V12" s="405">
        <f>'NKC2'!Z24*100</f>
        <v>10</v>
      </c>
      <c r="W12" s="405">
        <f>'NKC2'!AA24*100</f>
        <v>10</v>
      </c>
      <c r="X12" s="405">
        <f>'NKC2'!AB24*100</f>
        <v>9</v>
      </c>
      <c r="Y12" s="405">
        <f>'NKC2'!AC24*100</f>
        <v>0</v>
      </c>
      <c r="Z12" s="405">
        <f>'NKC2'!AD24*100</f>
        <v>0</v>
      </c>
      <c r="AA12" s="405">
        <f>'NKC2'!AE24*100</f>
        <v>0</v>
      </c>
      <c r="AB12" s="405">
        <f>'NKC2'!AF24*100</f>
        <v>0</v>
      </c>
      <c r="AC12" s="405">
        <f>'NKC2'!AG24*100</f>
        <v>0</v>
      </c>
      <c r="AD12" s="405">
        <f>'NKC2'!AH24*100</f>
        <v>0</v>
      </c>
      <c r="AE12" s="405">
        <f>'NKC2'!AI24*100</f>
        <v>0</v>
      </c>
      <c r="AF12" s="405">
        <f>'NKC2'!AJ24*100</f>
        <v>0</v>
      </c>
      <c r="AG12" s="405">
        <f>'NKC2'!AK24*100</f>
        <v>0</v>
      </c>
      <c r="AH12" s="405">
        <f>'NKC2'!AL24*100</f>
        <v>0</v>
      </c>
      <c r="AI12" s="405">
        <f>'NKC2'!AM24*100</f>
        <v>0</v>
      </c>
      <c r="AJ12" s="405">
        <f>'NKC2'!AN24*100</f>
        <v>0</v>
      </c>
      <c r="AK12" s="405">
        <f>'NKC2'!AO24*100</f>
        <v>0</v>
      </c>
      <c r="AL12" s="405">
        <f>'NKC2'!AP24*100</f>
        <v>0</v>
      </c>
      <c r="AM12" s="405">
        <f>'NKC2'!AQ24*100</f>
        <v>0</v>
      </c>
      <c r="AN12" s="405">
        <f>'NKC2'!AR24*100</f>
        <v>0</v>
      </c>
      <c r="AO12" s="405">
        <f>'NKC2'!AS24*100</f>
        <v>0</v>
      </c>
      <c r="AP12" s="405">
        <f>'NKC2'!AT24*100</f>
        <v>0</v>
      </c>
      <c r="AQ12" s="405">
        <f>'NKC2'!AU24*100</f>
        <v>0</v>
      </c>
      <c r="AR12" s="405">
        <f>'NKC2'!AV24*100</f>
        <v>0</v>
      </c>
      <c r="AS12" s="405">
        <f>'NKC2'!AW24*100</f>
        <v>0</v>
      </c>
      <c r="AT12" s="405">
        <f>'NKC2'!AX24*100</f>
        <v>0</v>
      </c>
      <c r="AU12" s="405">
        <f>'NKC2'!AY24*100</f>
        <v>0</v>
      </c>
      <c r="AV12" s="405">
        <f>'NKC2'!AZ24*100</f>
        <v>0</v>
      </c>
      <c r="AW12" s="405">
        <f>'NKC2'!BA24*100</f>
        <v>0</v>
      </c>
      <c r="AX12" s="405">
        <f>'NKC2'!BB24*100</f>
        <v>0</v>
      </c>
      <c r="AY12" s="405">
        <f>'NKC2'!BC24*100</f>
        <v>0</v>
      </c>
      <c r="AZ12" s="405">
        <f>'NKC2'!BD24*100</f>
        <v>0</v>
      </c>
      <c r="BA12" s="405">
        <f>'NKC2'!BE24*100</f>
        <v>0</v>
      </c>
      <c r="BB12" s="405">
        <f>'NKC2'!BF24*100</f>
        <v>0</v>
      </c>
      <c r="BC12" s="405">
        <f>'NKC2'!BG24*100</f>
        <v>0</v>
      </c>
      <c r="BD12" s="405">
        <f>'NKC2'!BH24*100</f>
        <v>0</v>
      </c>
      <c r="BE12" s="405">
        <f>'NKC2'!BI24*100</f>
        <v>0</v>
      </c>
      <c r="BF12" s="405">
        <f>'NKC2'!BJ24*100</f>
        <v>0</v>
      </c>
      <c r="BG12" s="405">
        <f>'NKC2'!BK24*100</f>
        <v>0</v>
      </c>
      <c r="BH12" s="405">
        <f>'NKC2'!BL24*100</f>
        <v>0</v>
      </c>
      <c r="BI12" s="405">
        <f>'NKC2'!BM24*100</f>
        <v>0</v>
      </c>
      <c r="BJ12" s="405">
        <f>'NKC2'!BN24*100</f>
        <v>0</v>
      </c>
      <c r="BK12" s="405">
        <f>'NKC2'!BO24*100</f>
        <v>0</v>
      </c>
      <c r="BL12" s="405">
        <f>'NKC2'!BP24*100</f>
        <v>0</v>
      </c>
      <c r="BM12" s="405">
        <f>'NKC2'!BQ24*100</f>
        <v>0</v>
      </c>
      <c r="BN12" s="405">
        <f>'NKC2'!BR24*100</f>
        <v>0</v>
      </c>
      <c r="BO12" s="405">
        <f>'NKC2'!BS24*100</f>
        <v>0</v>
      </c>
      <c r="BP12" s="405">
        <f>'NKC2'!BT24*100</f>
        <v>0</v>
      </c>
      <c r="BQ12" s="405">
        <f>'NKC2'!BU24*100</f>
        <v>0</v>
      </c>
      <c r="BR12" s="405">
        <f>'NKC2'!BV24*100</f>
        <v>0</v>
      </c>
      <c r="BS12" s="405">
        <f>'NKC2'!BW24*100</f>
        <v>0</v>
      </c>
      <c r="BT12" s="405">
        <f>'NKC2'!BX24*100</f>
        <v>0</v>
      </c>
      <c r="BU12" s="405">
        <f>'NKC2'!BY24*100</f>
        <v>0</v>
      </c>
      <c r="BV12" s="405">
        <f>'NKC2'!BZ24*100</f>
        <v>0</v>
      </c>
      <c r="BW12" s="405">
        <f>'NKC2'!CA24*100</f>
        <v>0</v>
      </c>
      <c r="BX12" s="405">
        <f>'NKC2'!CB24*100</f>
        <v>0</v>
      </c>
      <c r="BY12" s="405">
        <f>'NKC2'!CC24*100</f>
        <v>0</v>
      </c>
      <c r="BZ12" s="405">
        <f>'NKC2'!CD24*100</f>
        <v>0</v>
      </c>
      <c r="CA12" s="405">
        <f>'NKC2'!CE24*100</f>
        <v>0</v>
      </c>
      <c r="CB12" s="405">
        <f>'NKC2'!CF24*100</f>
        <v>0</v>
      </c>
      <c r="CC12" s="405">
        <f>'NKC2'!CG24*100</f>
        <v>0</v>
      </c>
      <c r="CD12" s="405">
        <f>'NKC2'!CH24*100</f>
        <v>0</v>
      </c>
      <c r="CE12" s="405">
        <f>'NKC2'!CI24*100</f>
        <v>0</v>
      </c>
      <c r="CF12" s="405">
        <f>'NKC2'!CJ24*100</f>
        <v>0</v>
      </c>
      <c r="CG12" s="405">
        <f>'NKC2'!CK24*100</f>
        <v>0</v>
      </c>
      <c r="CH12" s="405">
        <f>'NKC2'!CL24*100</f>
        <v>0</v>
      </c>
      <c r="CI12" s="405">
        <f>'NKC2'!CM24*100</f>
        <v>0</v>
      </c>
    </row>
    <row r="13" spans="1:87" x14ac:dyDescent="0.45">
      <c r="A13" t="str">
        <f>'NKC2'!B25</f>
        <v>1.2.3</v>
      </c>
      <c r="B13" t="str">
        <f>'NKC2'!D25</f>
        <v xml:space="preserve">          งานโครงหลังคาห้องสนามหลวง ห้องศาสนา</v>
      </c>
      <c r="C13" s="193">
        <f>'NKC2'!F25</f>
        <v>1034941.9422</v>
      </c>
      <c r="D13" s="140" t="str">
        <f>'NKC2'!G23</f>
        <v>A</v>
      </c>
      <c r="E13" s="198">
        <f>'NKC2'!H25*100</f>
        <v>0</v>
      </c>
      <c r="F13" s="198">
        <f>'NKC2'!J25*100</f>
        <v>0</v>
      </c>
      <c r="G13" s="198">
        <f>'NKC2'!K25*100</f>
        <v>0</v>
      </c>
      <c r="H13" s="198">
        <f>'NKC2'!L25*100</f>
        <v>0</v>
      </c>
      <c r="I13" s="198">
        <f>'NKC2'!M25*100</f>
        <v>0</v>
      </c>
      <c r="J13" s="198">
        <f>'NKC2'!N25*100</f>
        <v>0</v>
      </c>
      <c r="K13" s="198">
        <f>'NKC2'!O25*100</f>
        <v>0</v>
      </c>
      <c r="L13" s="198">
        <f>'NKC2'!P25*100</f>
        <v>0</v>
      </c>
      <c r="M13" s="198">
        <f>'NKC2'!Q25*100</f>
        <v>0</v>
      </c>
      <c r="N13" s="198">
        <f>'NKC2'!R25*100</f>
        <v>0</v>
      </c>
      <c r="O13" s="198">
        <f>'NKC2'!S25*100</f>
        <v>0</v>
      </c>
      <c r="P13" s="198">
        <f>'NKC2'!T25*100</f>
        <v>0</v>
      </c>
      <c r="Q13" s="198">
        <f>'NKC2'!U25*100</f>
        <v>0</v>
      </c>
      <c r="R13" s="198">
        <f>'NKC2'!V25*100</f>
        <v>0</v>
      </c>
      <c r="S13" s="198">
        <f>'NKC2'!W25*100</f>
        <v>0</v>
      </c>
      <c r="T13" s="198">
        <f>'NKC2'!X25*100</f>
        <v>0</v>
      </c>
      <c r="U13" s="198">
        <f>'NKC2'!Y25*100</f>
        <v>0</v>
      </c>
      <c r="V13" s="198">
        <f>'NKC2'!Z25*100</f>
        <v>0</v>
      </c>
      <c r="W13" s="198">
        <f>'NKC2'!AA25*100</f>
        <v>0</v>
      </c>
      <c r="X13" s="198">
        <f>'NKC2'!AB25*100</f>
        <v>0</v>
      </c>
      <c r="Y13" s="198">
        <f>'NKC2'!AC25*100</f>
        <v>0</v>
      </c>
      <c r="Z13" s="198">
        <f>'NKC2'!AD25*100</f>
        <v>0</v>
      </c>
      <c r="AA13" s="198">
        <f>'NKC2'!AE25*100</f>
        <v>0</v>
      </c>
      <c r="AB13" s="198">
        <f>'NKC2'!AF25*100</f>
        <v>0</v>
      </c>
      <c r="AC13" s="198">
        <f>'NKC2'!AG25*100</f>
        <v>0</v>
      </c>
      <c r="AD13" s="198">
        <f>'NKC2'!AH25*100</f>
        <v>0</v>
      </c>
      <c r="AE13" s="198">
        <f>'NKC2'!AI25*100</f>
        <v>0</v>
      </c>
      <c r="AF13" s="198">
        <f>'NKC2'!AJ25*100</f>
        <v>0</v>
      </c>
      <c r="AG13" s="198">
        <f>'NKC2'!AK25*100</f>
        <v>0</v>
      </c>
      <c r="AH13" s="198">
        <f>'NKC2'!AL25*100</f>
        <v>0</v>
      </c>
      <c r="AI13" s="198">
        <f>'NKC2'!AM25*100</f>
        <v>0</v>
      </c>
      <c r="AJ13" s="198">
        <f>'NKC2'!AN25*100</f>
        <v>0</v>
      </c>
      <c r="AK13" s="198">
        <f>'NKC2'!AO25*100</f>
        <v>0</v>
      </c>
      <c r="AL13" s="198">
        <f>'NKC2'!AP25*100</f>
        <v>0</v>
      </c>
      <c r="AM13" s="198">
        <f>'NKC2'!AQ25*100</f>
        <v>0</v>
      </c>
      <c r="AN13" s="198">
        <f>'NKC2'!AR25*100</f>
        <v>0</v>
      </c>
      <c r="AO13" s="198">
        <f>'NKC2'!AS25*100</f>
        <v>0</v>
      </c>
      <c r="AP13" s="198">
        <f>'NKC2'!AT25*100</f>
        <v>0</v>
      </c>
      <c r="AQ13" s="198">
        <f>'NKC2'!AU25*100</f>
        <v>0</v>
      </c>
      <c r="AR13" s="198">
        <f>'NKC2'!AV25*100</f>
        <v>0</v>
      </c>
      <c r="AS13" s="198">
        <f>'NKC2'!AW25*100</f>
        <v>0</v>
      </c>
      <c r="AT13" s="198">
        <f>'NKC2'!AX25*100</f>
        <v>0</v>
      </c>
      <c r="AU13" s="198">
        <f>'NKC2'!AY25*100</f>
        <v>0</v>
      </c>
      <c r="AV13" s="198">
        <f>'NKC2'!AZ25*100</f>
        <v>0</v>
      </c>
      <c r="AW13" s="198">
        <f>'NKC2'!BA25*100</f>
        <v>0</v>
      </c>
      <c r="AX13" s="198">
        <f>'NKC2'!BB25*100</f>
        <v>0</v>
      </c>
      <c r="AY13" s="198">
        <f>'NKC2'!BC25*100</f>
        <v>0</v>
      </c>
      <c r="AZ13" s="198">
        <f>'NKC2'!BD25*100</f>
        <v>0</v>
      </c>
      <c r="BA13" s="198">
        <f>'NKC2'!BE25*100</f>
        <v>0</v>
      </c>
      <c r="BB13" s="198">
        <f>'NKC2'!BF25*100</f>
        <v>0</v>
      </c>
      <c r="BC13" s="198">
        <f>'NKC2'!BG25*100</f>
        <v>0</v>
      </c>
      <c r="BD13" s="198">
        <f>'NKC2'!BH25*100</f>
        <v>0</v>
      </c>
      <c r="BE13" s="198">
        <f>'NKC2'!BI25*100</f>
        <v>0</v>
      </c>
      <c r="BF13" s="198">
        <f>'NKC2'!BJ25*100</f>
        <v>0</v>
      </c>
      <c r="BG13" s="198">
        <f>'NKC2'!BK25*100</f>
        <v>0</v>
      </c>
      <c r="BH13" s="198">
        <f>'NKC2'!BL25*100</f>
        <v>0</v>
      </c>
      <c r="BI13" s="198">
        <f>'NKC2'!BM25*100</f>
        <v>0</v>
      </c>
      <c r="BJ13" s="198">
        <f>'NKC2'!BN25*100</f>
        <v>0</v>
      </c>
      <c r="BK13" s="198">
        <f>'NKC2'!BO25*100</f>
        <v>0</v>
      </c>
      <c r="BL13" s="198">
        <f>'NKC2'!BP25*100</f>
        <v>0</v>
      </c>
      <c r="BM13" s="198">
        <f>'NKC2'!BQ25*100</f>
        <v>0</v>
      </c>
      <c r="BN13" s="198">
        <f>'NKC2'!BR25*100</f>
        <v>0</v>
      </c>
      <c r="BO13" s="198">
        <f>'NKC2'!BS25*100</f>
        <v>0</v>
      </c>
      <c r="BP13" s="198">
        <f>'NKC2'!BT25*100</f>
        <v>0</v>
      </c>
      <c r="BQ13" s="198">
        <f>'NKC2'!BU25*100</f>
        <v>0</v>
      </c>
      <c r="BR13" s="198">
        <f>'NKC2'!BV25*100</f>
        <v>0</v>
      </c>
      <c r="BS13" s="198">
        <f>'NKC2'!BW25*100</f>
        <v>0</v>
      </c>
      <c r="BT13" s="198">
        <f>'NKC2'!BX25*100</f>
        <v>0</v>
      </c>
      <c r="BU13" s="198">
        <f>'NKC2'!BY25*100</f>
        <v>0</v>
      </c>
      <c r="BV13" s="198">
        <f>'NKC2'!BZ25*100</f>
        <v>0</v>
      </c>
      <c r="BW13" s="198">
        <f>'NKC2'!CA25*100</f>
        <v>0</v>
      </c>
      <c r="BX13" s="198">
        <f>'NKC2'!CB25*100</f>
        <v>0</v>
      </c>
      <c r="BY13" s="198">
        <f>'NKC2'!CC25*100</f>
        <v>0</v>
      </c>
      <c r="BZ13" s="198">
        <f>'NKC2'!CD25*100</f>
        <v>0</v>
      </c>
      <c r="CA13" s="198">
        <f>'NKC2'!CE25*100</f>
        <v>0</v>
      </c>
      <c r="CB13" s="198">
        <f>'NKC2'!CF25*100</f>
        <v>0</v>
      </c>
      <c r="CC13" s="198">
        <f>'NKC2'!CG25*100</f>
        <v>0</v>
      </c>
      <c r="CD13" s="198">
        <f>'NKC2'!CH25*100</f>
        <v>0</v>
      </c>
      <c r="CE13" s="198">
        <f>'NKC2'!CI25*100</f>
        <v>0</v>
      </c>
      <c r="CF13" s="198">
        <f>'NKC2'!CJ25*100</f>
        <v>0</v>
      </c>
      <c r="CG13" s="198">
        <f>'NKC2'!CK25*100</f>
        <v>0</v>
      </c>
      <c r="CH13" s="198">
        <f>'NKC2'!CL25*100</f>
        <v>0</v>
      </c>
      <c r="CI13" s="198">
        <f>'NKC2'!CM25*100</f>
        <v>0</v>
      </c>
    </row>
    <row r="14" spans="1:87" x14ac:dyDescent="0.45">
      <c r="A14" s="403" t="str">
        <f>'NKC2'!B26</f>
        <v>1.2.4</v>
      </c>
      <c r="B14" s="403" t="str">
        <f>'NKC2'!D26</f>
        <v xml:space="preserve">         งานซ่อมแซมโครงสร้างอาคารเดิม</v>
      </c>
      <c r="C14" s="404">
        <f>'NKC2'!F26</f>
        <v>881401.58600000001</v>
      </c>
      <c r="D14" s="407" t="str">
        <f>'NKC2'!G24</f>
        <v>P</v>
      </c>
      <c r="E14" s="405">
        <f>'NKC2'!H26*100</f>
        <v>100</v>
      </c>
      <c r="F14" s="405">
        <f>'NKC2'!J26*100</f>
        <v>0</v>
      </c>
      <c r="G14" s="405">
        <f>'NKC2'!K26*100</f>
        <v>0</v>
      </c>
      <c r="H14" s="405">
        <f>'NKC2'!L26*100</f>
        <v>0</v>
      </c>
      <c r="I14" s="405">
        <f>'NKC2'!M26*100</f>
        <v>0</v>
      </c>
      <c r="J14" s="405">
        <f>'NKC2'!N26*100</f>
        <v>0</v>
      </c>
      <c r="K14" s="405">
        <f>'NKC2'!O26*100</f>
        <v>0</v>
      </c>
      <c r="L14" s="405">
        <f>'NKC2'!P26*100</f>
        <v>0</v>
      </c>
      <c r="M14" s="405">
        <f>'NKC2'!Q26*100</f>
        <v>0</v>
      </c>
      <c r="N14" s="405">
        <f>'NKC2'!R26*100</f>
        <v>0</v>
      </c>
      <c r="O14" s="405">
        <f>'NKC2'!S26*100</f>
        <v>0</v>
      </c>
      <c r="P14" s="405">
        <f>'NKC2'!T26*100</f>
        <v>0</v>
      </c>
      <c r="Q14" s="405">
        <f>'NKC2'!U26*100</f>
        <v>0</v>
      </c>
      <c r="R14" s="405">
        <f>'NKC2'!V26*100</f>
        <v>0</v>
      </c>
      <c r="S14" s="405">
        <f>'NKC2'!W26*100</f>
        <v>0</v>
      </c>
      <c r="T14" s="405">
        <f>'NKC2'!X26*100</f>
        <v>0</v>
      </c>
      <c r="U14" s="405">
        <f>'NKC2'!Y26*100</f>
        <v>5</v>
      </c>
      <c r="V14" s="405">
        <f>'NKC2'!Z26*100</f>
        <v>5</v>
      </c>
      <c r="W14" s="405">
        <f>'NKC2'!AA26*100</f>
        <v>10</v>
      </c>
      <c r="X14" s="405">
        <f>'NKC2'!AB26*100</f>
        <v>10</v>
      </c>
      <c r="Y14" s="405">
        <f>'NKC2'!AC26*100</f>
        <v>15</v>
      </c>
      <c r="Z14" s="405">
        <f>'NKC2'!AD26*100</f>
        <v>15</v>
      </c>
      <c r="AA14" s="405">
        <f>'NKC2'!AE26*100</f>
        <v>15</v>
      </c>
      <c r="AB14" s="405">
        <f>'NKC2'!AF26*100</f>
        <v>10</v>
      </c>
      <c r="AC14" s="405">
        <f>'NKC2'!AG26*100</f>
        <v>10</v>
      </c>
      <c r="AD14" s="405">
        <f>'NKC2'!AH26*100</f>
        <v>5</v>
      </c>
      <c r="AE14" s="405">
        <f>'NKC2'!AI26*100</f>
        <v>0</v>
      </c>
      <c r="AF14" s="405">
        <f>'NKC2'!AJ26*100</f>
        <v>0</v>
      </c>
      <c r="AG14" s="405">
        <f>'NKC2'!AK26*100</f>
        <v>0</v>
      </c>
      <c r="AH14" s="405">
        <f>'NKC2'!AL26*100</f>
        <v>0</v>
      </c>
      <c r="AI14" s="405">
        <f>'NKC2'!AM26*100</f>
        <v>0</v>
      </c>
      <c r="AJ14" s="405">
        <f>'NKC2'!AN26*100</f>
        <v>0</v>
      </c>
      <c r="AK14" s="405">
        <f>'NKC2'!AO26*100</f>
        <v>0</v>
      </c>
      <c r="AL14" s="405">
        <f>'NKC2'!AP26*100</f>
        <v>0</v>
      </c>
      <c r="AM14" s="405">
        <f>'NKC2'!AQ26*100</f>
        <v>0</v>
      </c>
      <c r="AN14" s="405">
        <f>'NKC2'!AR26*100</f>
        <v>0</v>
      </c>
      <c r="AO14" s="405">
        <f>'NKC2'!AS26*100</f>
        <v>0</v>
      </c>
      <c r="AP14" s="405">
        <f>'NKC2'!AT26*100</f>
        <v>0</v>
      </c>
      <c r="AQ14" s="405">
        <f>'NKC2'!AU26*100</f>
        <v>0</v>
      </c>
      <c r="AR14" s="405">
        <f>'NKC2'!AV26*100</f>
        <v>0</v>
      </c>
      <c r="AS14" s="405">
        <f>'NKC2'!AW26*100</f>
        <v>0</v>
      </c>
      <c r="AT14" s="405">
        <f>'NKC2'!AX26*100</f>
        <v>0</v>
      </c>
      <c r="AU14" s="405">
        <f>'NKC2'!AY26*100</f>
        <v>0</v>
      </c>
      <c r="AV14" s="405">
        <f>'NKC2'!AZ26*100</f>
        <v>0</v>
      </c>
      <c r="AW14" s="405">
        <f>'NKC2'!BA26*100</f>
        <v>0</v>
      </c>
      <c r="AX14" s="405">
        <f>'NKC2'!BB26*100</f>
        <v>0</v>
      </c>
      <c r="AY14" s="405">
        <f>'NKC2'!BC26*100</f>
        <v>0</v>
      </c>
      <c r="AZ14" s="405">
        <f>'NKC2'!BD26*100</f>
        <v>0</v>
      </c>
      <c r="BA14" s="405">
        <f>'NKC2'!BE26*100</f>
        <v>0</v>
      </c>
      <c r="BB14" s="405">
        <f>'NKC2'!BF26*100</f>
        <v>0</v>
      </c>
      <c r="BC14" s="405">
        <f>'NKC2'!BG26*100</f>
        <v>0</v>
      </c>
      <c r="BD14" s="405">
        <f>'NKC2'!BH26*100</f>
        <v>0</v>
      </c>
      <c r="BE14" s="405">
        <f>'NKC2'!BI26*100</f>
        <v>0</v>
      </c>
      <c r="BF14" s="405">
        <f>'NKC2'!BJ26*100</f>
        <v>0</v>
      </c>
      <c r="BG14" s="405">
        <f>'NKC2'!BK26*100</f>
        <v>0</v>
      </c>
      <c r="BH14" s="405">
        <f>'NKC2'!BL26*100</f>
        <v>0</v>
      </c>
      <c r="BI14" s="405">
        <f>'NKC2'!BM26*100</f>
        <v>0</v>
      </c>
      <c r="BJ14" s="405">
        <f>'NKC2'!BN26*100</f>
        <v>0</v>
      </c>
      <c r="BK14" s="405">
        <f>'NKC2'!BO26*100</f>
        <v>0</v>
      </c>
      <c r="BL14" s="405">
        <f>'NKC2'!BP26*100</f>
        <v>0</v>
      </c>
      <c r="BM14" s="405">
        <f>'NKC2'!BQ26*100</f>
        <v>0</v>
      </c>
      <c r="BN14" s="405">
        <f>'NKC2'!BR26*100</f>
        <v>0</v>
      </c>
      <c r="BO14" s="405">
        <f>'NKC2'!BS26*100</f>
        <v>0</v>
      </c>
      <c r="BP14" s="405">
        <f>'NKC2'!BT26*100</f>
        <v>0</v>
      </c>
      <c r="BQ14" s="405">
        <f>'NKC2'!BU26*100</f>
        <v>0</v>
      </c>
      <c r="BR14" s="405">
        <f>'NKC2'!BV26*100</f>
        <v>0</v>
      </c>
      <c r="BS14" s="405">
        <f>'NKC2'!BW26*100</f>
        <v>0</v>
      </c>
      <c r="BT14" s="405">
        <f>'NKC2'!BX26*100</f>
        <v>0</v>
      </c>
      <c r="BU14" s="405">
        <f>'NKC2'!BY26*100</f>
        <v>0</v>
      </c>
      <c r="BV14" s="405">
        <f>'NKC2'!BZ26*100</f>
        <v>0</v>
      </c>
      <c r="BW14" s="405">
        <f>'NKC2'!CA26*100</f>
        <v>0</v>
      </c>
      <c r="BX14" s="405">
        <f>'NKC2'!CB26*100</f>
        <v>0</v>
      </c>
      <c r="BY14" s="405">
        <f>'NKC2'!CC26*100</f>
        <v>0</v>
      </c>
      <c r="BZ14" s="405">
        <f>'NKC2'!CD26*100</f>
        <v>0</v>
      </c>
      <c r="CA14" s="405">
        <f>'NKC2'!CE26*100</f>
        <v>0</v>
      </c>
      <c r="CB14" s="405">
        <f>'NKC2'!CF26*100</f>
        <v>0</v>
      </c>
      <c r="CC14" s="405">
        <f>'NKC2'!CG26*100</f>
        <v>0</v>
      </c>
      <c r="CD14" s="405">
        <f>'NKC2'!CH26*100</f>
        <v>0</v>
      </c>
      <c r="CE14" s="405">
        <f>'NKC2'!CI26*100</f>
        <v>0</v>
      </c>
      <c r="CF14" s="405">
        <f>'NKC2'!CJ26*100</f>
        <v>0</v>
      </c>
      <c r="CG14" s="405">
        <f>'NKC2'!CK26*100</f>
        <v>0</v>
      </c>
      <c r="CH14" s="405">
        <f>'NKC2'!CL26*100</f>
        <v>0</v>
      </c>
      <c r="CI14" s="405">
        <f>'NKC2'!CM26*100</f>
        <v>0</v>
      </c>
    </row>
    <row r="15" spans="1:87" x14ac:dyDescent="0.45">
      <c r="A15" t="str">
        <f>'NKC2'!B27</f>
        <v>1.2.4</v>
      </c>
      <c r="B15" t="str">
        <f>'NKC2'!D27</f>
        <v xml:space="preserve">         งานซ่อมแซมโครงสร้างอาคารเดิม</v>
      </c>
      <c r="C15" s="193">
        <f>'NKC2'!F27</f>
        <v>881401.58600000001</v>
      </c>
      <c r="D15" s="140" t="str">
        <f>'NKC2'!G25</f>
        <v>A</v>
      </c>
      <c r="E15" s="198">
        <f>'NKC2'!H27*100</f>
        <v>0</v>
      </c>
      <c r="F15" s="198">
        <f>'NKC2'!J27*100</f>
        <v>0</v>
      </c>
      <c r="G15" s="198">
        <f>'NKC2'!K27*100</f>
        <v>0</v>
      </c>
      <c r="H15" s="198">
        <f>'NKC2'!L27*100</f>
        <v>0</v>
      </c>
      <c r="I15" s="198">
        <f>'NKC2'!M27*100</f>
        <v>0</v>
      </c>
      <c r="J15" s="198">
        <f>'NKC2'!N27*100</f>
        <v>0</v>
      </c>
      <c r="K15" s="198">
        <f>'NKC2'!O27*100</f>
        <v>0</v>
      </c>
      <c r="L15" s="198">
        <f>'NKC2'!P27*100</f>
        <v>0</v>
      </c>
      <c r="M15" s="198">
        <f>'NKC2'!Q27*100</f>
        <v>0</v>
      </c>
      <c r="N15" s="198">
        <f>'NKC2'!R27*100</f>
        <v>0</v>
      </c>
      <c r="O15" s="198">
        <f>'NKC2'!S27*100</f>
        <v>0</v>
      </c>
      <c r="P15" s="198">
        <f>'NKC2'!T27*100</f>
        <v>0</v>
      </c>
      <c r="Q15" s="198">
        <f>'NKC2'!U27*100</f>
        <v>0</v>
      </c>
      <c r="R15" s="198">
        <f>'NKC2'!V27*100</f>
        <v>0</v>
      </c>
      <c r="S15" s="198">
        <f>'NKC2'!W27*100</f>
        <v>0</v>
      </c>
      <c r="T15" s="198">
        <f>'NKC2'!X27*100</f>
        <v>0</v>
      </c>
      <c r="U15" s="198">
        <f>'NKC2'!Y27*100</f>
        <v>0</v>
      </c>
      <c r="V15" s="198">
        <f>'NKC2'!Z27*100</f>
        <v>0</v>
      </c>
      <c r="W15" s="198">
        <f>'NKC2'!AA27*100</f>
        <v>0</v>
      </c>
      <c r="X15" s="198">
        <f>'NKC2'!AB27*100</f>
        <v>0</v>
      </c>
      <c r="Y15" s="198">
        <f>'NKC2'!AC27*100</f>
        <v>0</v>
      </c>
      <c r="Z15" s="198">
        <f>'NKC2'!AD27*100</f>
        <v>0</v>
      </c>
      <c r="AA15" s="198">
        <f>'NKC2'!AE27*100</f>
        <v>0</v>
      </c>
      <c r="AB15" s="198">
        <f>'NKC2'!AF27*100</f>
        <v>0</v>
      </c>
      <c r="AC15" s="198">
        <f>'NKC2'!AG27*100</f>
        <v>0</v>
      </c>
      <c r="AD15" s="198">
        <f>'NKC2'!AH27*100</f>
        <v>0</v>
      </c>
      <c r="AE15" s="198">
        <f>'NKC2'!AI27*100</f>
        <v>0</v>
      </c>
      <c r="AF15" s="198">
        <f>'NKC2'!AJ27*100</f>
        <v>0</v>
      </c>
      <c r="AG15" s="198">
        <f>'NKC2'!AK27*100</f>
        <v>0</v>
      </c>
      <c r="AH15" s="198">
        <f>'NKC2'!AL27*100</f>
        <v>0</v>
      </c>
      <c r="AI15" s="198">
        <f>'NKC2'!AM27*100</f>
        <v>0</v>
      </c>
      <c r="AJ15" s="198">
        <f>'NKC2'!AN27*100</f>
        <v>0</v>
      </c>
      <c r="AK15" s="198">
        <f>'NKC2'!AO27*100</f>
        <v>0</v>
      </c>
      <c r="AL15" s="198">
        <f>'NKC2'!AP27*100</f>
        <v>0</v>
      </c>
      <c r="AM15" s="198">
        <f>'NKC2'!AQ27*100</f>
        <v>0</v>
      </c>
      <c r="AN15" s="198">
        <f>'NKC2'!AR27*100</f>
        <v>0</v>
      </c>
      <c r="AO15" s="198">
        <f>'NKC2'!AS27*100</f>
        <v>0</v>
      </c>
      <c r="AP15" s="198">
        <f>'NKC2'!AT27*100</f>
        <v>0</v>
      </c>
      <c r="AQ15" s="198">
        <f>'NKC2'!AU27*100</f>
        <v>0</v>
      </c>
      <c r="AR15" s="198">
        <f>'NKC2'!AV27*100</f>
        <v>0</v>
      </c>
      <c r="AS15" s="198">
        <f>'NKC2'!AW27*100</f>
        <v>0</v>
      </c>
      <c r="AT15" s="198">
        <f>'NKC2'!AX27*100</f>
        <v>0</v>
      </c>
      <c r="AU15" s="198">
        <f>'NKC2'!AY27*100</f>
        <v>0</v>
      </c>
      <c r="AV15" s="198">
        <f>'NKC2'!AZ27*100</f>
        <v>0</v>
      </c>
      <c r="AW15" s="198">
        <f>'NKC2'!BA27*100</f>
        <v>0</v>
      </c>
      <c r="AX15" s="198">
        <f>'NKC2'!BB27*100</f>
        <v>0</v>
      </c>
      <c r="AY15" s="198">
        <f>'NKC2'!BC27*100</f>
        <v>0</v>
      </c>
      <c r="AZ15" s="198">
        <f>'NKC2'!BD27*100</f>
        <v>0</v>
      </c>
      <c r="BA15" s="198">
        <f>'NKC2'!BE27*100</f>
        <v>0</v>
      </c>
      <c r="BB15" s="198">
        <f>'NKC2'!BF27*100</f>
        <v>0</v>
      </c>
      <c r="BC15" s="198">
        <f>'NKC2'!BG27*100</f>
        <v>0</v>
      </c>
      <c r="BD15" s="198">
        <f>'NKC2'!BH27*100</f>
        <v>0</v>
      </c>
      <c r="BE15" s="198">
        <f>'NKC2'!BI27*100</f>
        <v>0</v>
      </c>
      <c r="BF15" s="198">
        <f>'NKC2'!BJ27*100</f>
        <v>0</v>
      </c>
      <c r="BG15" s="198">
        <f>'NKC2'!BK27*100</f>
        <v>0</v>
      </c>
      <c r="BH15" s="198">
        <f>'NKC2'!BL27*100</f>
        <v>0</v>
      </c>
      <c r="BI15" s="198">
        <f>'NKC2'!BM27*100</f>
        <v>0</v>
      </c>
      <c r="BJ15" s="198">
        <f>'NKC2'!BN27*100</f>
        <v>0</v>
      </c>
      <c r="BK15" s="198">
        <f>'NKC2'!BO27*100</f>
        <v>0</v>
      </c>
      <c r="BL15" s="198">
        <f>'NKC2'!BP27*100</f>
        <v>0</v>
      </c>
      <c r="BM15" s="198">
        <f>'NKC2'!BQ27*100</f>
        <v>0</v>
      </c>
      <c r="BN15" s="198">
        <f>'NKC2'!BR27*100</f>
        <v>0</v>
      </c>
      <c r="BO15" s="198">
        <f>'NKC2'!BS27*100</f>
        <v>0</v>
      </c>
      <c r="BP15" s="198">
        <f>'NKC2'!BT27*100</f>
        <v>0</v>
      </c>
      <c r="BQ15" s="198">
        <f>'NKC2'!BU27*100</f>
        <v>0</v>
      </c>
      <c r="BR15" s="198">
        <f>'NKC2'!BV27*100</f>
        <v>0</v>
      </c>
      <c r="BS15" s="198">
        <f>'NKC2'!BW27*100</f>
        <v>0</v>
      </c>
      <c r="BT15" s="198">
        <f>'NKC2'!BX27*100</f>
        <v>0</v>
      </c>
      <c r="BU15" s="198">
        <f>'NKC2'!BY27*100</f>
        <v>0</v>
      </c>
      <c r="BV15" s="198">
        <f>'NKC2'!BZ27*100</f>
        <v>0</v>
      </c>
      <c r="BW15" s="198">
        <f>'NKC2'!CA27*100</f>
        <v>0</v>
      </c>
      <c r="BX15" s="198">
        <f>'NKC2'!CB27*100</f>
        <v>0</v>
      </c>
      <c r="BY15" s="198">
        <f>'NKC2'!CC27*100</f>
        <v>0</v>
      </c>
      <c r="BZ15" s="198">
        <f>'NKC2'!CD27*100</f>
        <v>0</v>
      </c>
      <c r="CA15" s="198">
        <f>'NKC2'!CE27*100</f>
        <v>0</v>
      </c>
      <c r="CB15" s="198">
        <f>'NKC2'!CF27*100</f>
        <v>0</v>
      </c>
      <c r="CC15" s="198">
        <f>'NKC2'!CG27*100</f>
        <v>0</v>
      </c>
      <c r="CD15" s="198">
        <f>'NKC2'!CH27*100</f>
        <v>0</v>
      </c>
      <c r="CE15" s="198">
        <f>'NKC2'!CI27*100</f>
        <v>0</v>
      </c>
      <c r="CF15" s="198">
        <f>'NKC2'!CJ27*100</f>
        <v>0</v>
      </c>
      <c r="CG15" s="198">
        <f>'NKC2'!CK27*100</f>
        <v>0</v>
      </c>
      <c r="CH15" s="198">
        <f>'NKC2'!CL27*100</f>
        <v>0</v>
      </c>
      <c r="CI15" s="198">
        <f>'NKC2'!CM27*100</f>
        <v>0</v>
      </c>
    </row>
    <row r="16" spans="1:87" x14ac:dyDescent="0.45">
      <c r="A16" s="403" t="str">
        <f>'NKC2'!B28</f>
        <v>1.2.5</v>
      </c>
      <c r="B16" s="403" t="str">
        <f>'NKC2'!D28</f>
        <v xml:space="preserve">         ห้องน้ำและห้องเตรียมอาหาร </v>
      </c>
      <c r="C16" s="404">
        <f>'NKC2'!F28</f>
        <v>3388363.6713999999</v>
      </c>
      <c r="D16" s="407" t="str">
        <f>'NKC2'!G26</f>
        <v>P</v>
      </c>
      <c r="E16" s="405">
        <f>'NKC2'!H28*100</f>
        <v>99.999999999999986</v>
      </c>
      <c r="F16" s="405">
        <f>'NKC2'!J28*100</f>
        <v>0</v>
      </c>
      <c r="G16" s="405">
        <f>'NKC2'!K28*100</f>
        <v>0</v>
      </c>
      <c r="H16" s="405">
        <f>'NKC2'!L28*100</f>
        <v>0</v>
      </c>
      <c r="I16" s="405">
        <f>'NKC2'!M28*100</f>
        <v>0</v>
      </c>
      <c r="J16" s="405">
        <f>'NKC2'!N28*100</f>
        <v>0</v>
      </c>
      <c r="K16" s="405">
        <f>'NKC2'!O28*100</f>
        <v>0</v>
      </c>
      <c r="L16" s="405">
        <f>'NKC2'!P28*100</f>
        <v>0</v>
      </c>
      <c r="M16" s="405">
        <f>'NKC2'!Q28*100</f>
        <v>0</v>
      </c>
      <c r="N16" s="405">
        <f>'NKC2'!R28*100</f>
        <v>0</v>
      </c>
      <c r="O16" s="405">
        <f>'NKC2'!S28*100</f>
        <v>0</v>
      </c>
      <c r="P16" s="405">
        <f>'NKC2'!T28*100</f>
        <v>0</v>
      </c>
      <c r="Q16" s="405">
        <f>'NKC2'!U28*100</f>
        <v>5</v>
      </c>
      <c r="R16" s="405">
        <f>'NKC2'!V28*100</f>
        <v>10</v>
      </c>
      <c r="S16" s="405">
        <f>'NKC2'!W28*100</f>
        <v>10</v>
      </c>
      <c r="T16" s="405">
        <f>'NKC2'!X28*100</f>
        <v>10</v>
      </c>
      <c r="U16" s="405">
        <f>'NKC2'!Y28*100</f>
        <v>10</v>
      </c>
      <c r="V16" s="405">
        <f>'NKC2'!Z28*100</f>
        <v>10</v>
      </c>
      <c r="W16" s="405">
        <f>'NKC2'!AA28*100</f>
        <v>10</v>
      </c>
      <c r="X16" s="405">
        <f>'NKC2'!AB28*100</f>
        <v>10</v>
      </c>
      <c r="Y16" s="405">
        <f>'NKC2'!AC28*100</f>
        <v>10</v>
      </c>
      <c r="Z16" s="405">
        <f>'NKC2'!AD28*100</f>
        <v>10</v>
      </c>
      <c r="AA16" s="405">
        <f>'NKC2'!AE28*100</f>
        <v>5</v>
      </c>
      <c r="AB16" s="405">
        <f>'NKC2'!AF28*100</f>
        <v>0</v>
      </c>
      <c r="AC16" s="405">
        <f>'NKC2'!AG28*100</f>
        <v>0</v>
      </c>
      <c r="AD16" s="405">
        <f>'NKC2'!AH28*100</f>
        <v>0</v>
      </c>
      <c r="AE16" s="405">
        <f>'NKC2'!AI28*100</f>
        <v>0</v>
      </c>
      <c r="AF16" s="405">
        <f>'NKC2'!AJ28*100</f>
        <v>0</v>
      </c>
      <c r="AG16" s="405">
        <f>'NKC2'!AK28*100</f>
        <v>0</v>
      </c>
      <c r="AH16" s="405">
        <f>'NKC2'!AL28*100</f>
        <v>0</v>
      </c>
      <c r="AI16" s="405">
        <f>'NKC2'!AM28*100</f>
        <v>0</v>
      </c>
      <c r="AJ16" s="405">
        <f>'NKC2'!AN28*100</f>
        <v>0</v>
      </c>
      <c r="AK16" s="405">
        <f>'NKC2'!AO28*100</f>
        <v>0</v>
      </c>
      <c r="AL16" s="405">
        <f>'NKC2'!AP28*100</f>
        <v>0</v>
      </c>
      <c r="AM16" s="405">
        <f>'NKC2'!AQ28*100</f>
        <v>0</v>
      </c>
      <c r="AN16" s="405">
        <f>'NKC2'!AR28*100</f>
        <v>0</v>
      </c>
      <c r="AO16" s="405">
        <f>'NKC2'!AS28*100</f>
        <v>0</v>
      </c>
      <c r="AP16" s="405">
        <f>'NKC2'!AT28*100</f>
        <v>0</v>
      </c>
      <c r="AQ16" s="405">
        <f>'NKC2'!AU28*100</f>
        <v>0</v>
      </c>
      <c r="AR16" s="405">
        <f>'NKC2'!AV28*100</f>
        <v>0</v>
      </c>
      <c r="AS16" s="405">
        <f>'NKC2'!AW28*100</f>
        <v>0</v>
      </c>
      <c r="AT16" s="405">
        <f>'NKC2'!AX28*100</f>
        <v>0</v>
      </c>
      <c r="AU16" s="405">
        <f>'NKC2'!AY28*100</f>
        <v>0</v>
      </c>
      <c r="AV16" s="405">
        <f>'NKC2'!AZ28*100</f>
        <v>0</v>
      </c>
      <c r="AW16" s="405">
        <f>'NKC2'!BA28*100</f>
        <v>0</v>
      </c>
      <c r="AX16" s="405">
        <f>'NKC2'!BB28*100</f>
        <v>0</v>
      </c>
      <c r="AY16" s="405">
        <f>'NKC2'!BC28*100</f>
        <v>0</v>
      </c>
      <c r="AZ16" s="405">
        <f>'NKC2'!BD28*100</f>
        <v>0</v>
      </c>
      <c r="BA16" s="405">
        <f>'NKC2'!BE28*100</f>
        <v>0</v>
      </c>
      <c r="BB16" s="405">
        <f>'NKC2'!BF28*100</f>
        <v>0</v>
      </c>
      <c r="BC16" s="405">
        <f>'NKC2'!BG28*100</f>
        <v>0</v>
      </c>
      <c r="BD16" s="405">
        <f>'NKC2'!BH28*100</f>
        <v>0</v>
      </c>
      <c r="BE16" s="405">
        <f>'NKC2'!BI28*100</f>
        <v>0</v>
      </c>
      <c r="BF16" s="405">
        <f>'NKC2'!BJ28*100</f>
        <v>0</v>
      </c>
      <c r="BG16" s="405">
        <f>'NKC2'!BK28*100</f>
        <v>0</v>
      </c>
      <c r="BH16" s="405">
        <f>'NKC2'!BL28*100</f>
        <v>0</v>
      </c>
      <c r="BI16" s="405">
        <f>'NKC2'!BM28*100</f>
        <v>0</v>
      </c>
      <c r="BJ16" s="405">
        <f>'NKC2'!BN28*100</f>
        <v>0</v>
      </c>
      <c r="BK16" s="405">
        <f>'NKC2'!BO28*100</f>
        <v>0</v>
      </c>
      <c r="BL16" s="405">
        <f>'NKC2'!BP28*100</f>
        <v>0</v>
      </c>
      <c r="BM16" s="405">
        <f>'NKC2'!BQ28*100</f>
        <v>0</v>
      </c>
      <c r="BN16" s="405">
        <f>'NKC2'!BR28*100</f>
        <v>0</v>
      </c>
      <c r="BO16" s="405">
        <f>'NKC2'!BS28*100</f>
        <v>0</v>
      </c>
      <c r="BP16" s="405">
        <f>'NKC2'!BT28*100</f>
        <v>0</v>
      </c>
      <c r="BQ16" s="405">
        <f>'NKC2'!BU28*100</f>
        <v>0</v>
      </c>
      <c r="BR16" s="405">
        <f>'NKC2'!BV28*100</f>
        <v>0</v>
      </c>
      <c r="BS16" s="405">
        <f>'NKC2'!BW28*100</f>
        <v>0</v>
      </c>
      <c r="BT16" s="405">
        <f>'NKC2'!BX28*100</f>
        <v>0</v>
      </c>
      <c r="BU16" s="405">
        <f>'NKC2'!BY28*100</f>
        <v>0</v>
      </c>
      <c r="BV16" s="405">
        <f>'NKC2'!BZ28*100</f>
        <v>0</v>
      </c>
      <c r="BW16" s="405">
        <f>'NKC2'!CA28*100</f>
        <v>0</v>
      </c>
      <c r="BX16" s="405">
        <f>'NKC2'!CB28*100</f>
        <v>0</v>
      </c>
      <c r="BY16" s="405">
        <f>'NKC2'!CC28*100</f>
        <v>0</v>
      </c>
      <c r="BZ16" s="405">
        <f>'NKC2'!CD28*100</f>
        <v>0</v>
      </c>
      <c r="CA16" s="405">
        <f>'NKC2'!CE28*100</f>
        <v>0</v>
      </c>
      <c r="CB16" s="405">
        <f>'NKC2'!CF28*100</f>
        <v>0</v>
      </c>
      <c r="CC16" s="405">
        <f>'NKC2'!CG28*100</f>
        <v>0</v>
      </c>
      <c r="CD16" s="405">
        <f>'NKC2'!CH28*100</f>
        <v>0</v>
      </c>
      <c r="CE16" s="405">
        <f>'NKC2'!CI28*100</f>
        <v>0</v>
      </c>
      <c r="CF16" s="405">
        <f>'NKC2'!CJ28*100</f>
        <v>0</v>
      </c>
      <c r="CG16" s="405">
        <f>'NKC2'!CK28*100</f>
        <v>0</v>
      </c>
      <c r="CH16" s="405">
        <f>'NKC2'!CL28*100</f>
        <v>0</v>
      </c>
      <c r="CI16" s="405">
        <f>'NKC2'!CM28*100</f>
        <v>0</v>
      </c>
    </row>
    <row r="17" spans="1:87" x14ac:dyDescent="0.45">
      <c r="A17" t="str">
        <f>'NKC2'!B29</f>
        <v>1.2.5</v>
      </c>
      <c r="B17" t="str">
        <f>'NKC2'!D29</f>
        <v xml:space="preserve">         ห้องน้ำและห้องเตรียมอาหาร </v>
      </c>
      <c r="C17" s="193">
        <f>'NKC2'!F29</f>
        <v>3388363.6713999999</v>
      </c>
      <c r="D17" s="140" t="str">
        <f>'NKC2'!G27</f>
        <v>A</v>
      </c>
      <c r="E17" s="198">
        <f>'NKC2'!H29*100</f>
        <v>0</v>
      </c>
      <c r="F17" s="198">
        <f>'NKC2'!J29*100</f>
        <v>0</v>
      </c>
      <c r="G17" s="198">
        <f>'NKC2'!K29*100</f>
        <v>0</v>
      </c>
      <c r="H17" s="198">
        <f>'NKC2'!L29*100</f>
        <v>0</v>
      </c>
      <c r="I17" s="198">
        <f>'NKC2'!M29*100</f>
        <v>0</v>
      </c>
      <c r="J17" s="198">
        <f>'NKC2'!N29*100</f>
        <v>0</v>
      </c>
      <c r="K17" s="198">
        <f>'NKC2'!O29*100</f>
        <v>0</v>
      </c>
      <c r="L17" s="198">
        <f>'NKC2'!P29*100</f>
        <v>0</v>
      </c>
      <c r="M17" s="198">
        <f>'NKC2'!Q29*100</f>
        <v>0</v>
      </c>
      <c r="N17" s="198">
        <f>'NKC2'!R29*100</f>
        <v>0</v>
      </c>
      <c r="O17" s="198">
        <f>'NKC2'!S29*100</f>
        <v>0</v>
      </c>
      <c r="P17" s="198">
        <f>'NKC2'!T29*100</f>
        <v>0</v>
      </c>
      <c r="Q17" s="198">
        <f>'NKC2'!U29*100</f>
        <v>0</v>
      </c>
      <c r="R17" s="198">
        <f>'NKC2'!V29*100</f>
        <v>0</v>
      </c>
      <c r="S17" s="198">
        <f>'NKC2'!W29*100</f>
        <v>0</v>
      </c>
      <c r="T17" s="198">
        <f>'NKC2'!X29*100</f>
        <v>0</v>
      </c>
      <c r="U17" s="198">
        <f>'NKC2'!Y29*100</f>
        <v>0</v>
      </c>
      <c r="V17" s="198">
        <f>'NKC2'!Z29*100</f>
        <v>0</v>
      </c>
      <c r="W17" s="198">
        <f>'NKC2'!AA29*100</f>
        <v>0</v>
      </c>
      <c r="X17" s="198">
        <f>'NKC2'!AB29*100</f>
        <v>0</v>
      </c>
      <c r="Y17" s="198">
        <f>'NKC2'!AC29*100</f>
        <v>0</v>
      </c>
      <c r="Z17" s="198">
        <f>'NKC2'!AD29*100</f>
        <v>0</v>
      </c>
      <c r="AA17" s="198">
        <f>'NKC2'!AE29*100</f>
        <v>0</v>
      </c>
      <c r="AB17" s="198">
        <f>'NKC2'!AF29*100</f>
        <v>0</v>
      </c>
      <c r="AC17" s="198">
        <f>'NKC2'!AG29*100</f>
        <v>0</v>
      </c>
      <c r="AD17" s="198">
        <f>'NKC2'!AH29*100</f>
        <v>0</v>
      </c>
      <c r="AE17" s="198">
        <f>'NKC2'!AI29*100</f>
        <v>0</v>
      </c>
      <c r="AF17" s="198">
        <f>'NKC2'!AJ29*100</f>
        <v>0</v>
      </c>
      <c r="AG17" s="198">
        <f>'NKC2'!AK29*100</f>
        <v>0</v>
      </c>
      <c r="AH17" s="198">
        <f>'NKC2'!AL29*100</f>
        <v>0</v>
      </c>
      <c r="AI17" s="198">
        <f>'NKC2'!AM29*100</f>
        <v>0</v>
      </c>
      <c r="AJ17" s="198">
        <f>'NKC2'!AN29*100</f>
        <v>0</v>
      </c>
      <c r="AK17" s="198">
        <f>'NKC2'!AO29*100</f>
        <v>0</v>
      </c>
      <c r="AL17" s="198">
        <f>'NKC2'!AP29*100</f>
        <v>0</v>
      </c>
      <c r="AM17" s="198">
        <f>'NKC2'!AQ29*100</f>
        <v>0</v>
      </c>
      <c r="AN17" s="198">
        <f>'NKC2'!AR29*100</f>
        <v>0</v>
      </c>
      <c r="AO17" s="198">
        <f>'NKC2'!AS29*100</f>
        <v>0</v>
      </c>
      <c r="AP17" s="198">
        <f>'NKC2'!AT29*100</f>
        <v>0</v>
      </c>
      <c r="AQ17" s="198">
        <f>'NKC2'!AU29*100</f>
        <v>0</v>
      </c>
      <c r="AR17" s="198">
        <f>'NKC2'!AV29*100</f>
        <v>0</v>
      </c>
      <c r="AS17" s="198">
        <f>'NKC2'!AW29*100</f>
        <v>0</v>
      </c>
      <c r="AT17" s="198">
        <f>'NKC2'!AX29*100</f>
        <v>0</v>
      </c>
      <c r="AU17" s="198">
        <f>'NKC2'!AY29*100</f>
        <v>0</v>
      </c>
      <c r="AV17" s="198">
        <f>'NKC2'!AZ29*100</f>
        <v>0</v>
      </c>
      <c r="AW17" s="198">
        <f>'NKC2'!BA29*100</f>
        <v>0</v>
      </c>
      <c r="AX17" s="198">
        <f>'NKC2'!BB29*100</f>
        <v>0</v>
      </c>
      <c r="AY17" s="198">
        <f>'NKC2'!BC29*100</f>
        <v>0</v>
      </c>
      <c r="AZ17" s="198">
        <f>'NKC2'!BD29*100</f>
        <v>0</v>
      </c>
      <c r="BA17" s="198">
        <f>'NKC2'!BE29*100</f>
        <v>0</v>
      </c>
      <c r="BB17" s="198">
        <f>'NKC2'!BF29*100</f>
        <v>0</v>
      </c>
      <c r="BC17" s="198">
        <f>'NKC2'!BG29*100</f>
        <v>0</v>
      </c>
      <c r="BD17" s="198">
        <f>'NKC2'!BH29*100</f>
        <v>0</v>
      </c>
      <c r="BE17" s="198">
        <f>'NKC2'!BI29*100</f>
        <v>0</v>
      </c>
      <c r="BF17" s="198">
        <f>'NKC2'!BJ29*100</f>
        <v>0</v>
      </c>
      <c r="BG17" s="198">
        <f>'NKC2'!BK29*100</f>
        <v>0</v>
      </c>
      <c r="BH17" s="198">
        <f>'NKC2'!BL29*100</f>
        <v>0</v>
      </c>
      <c r="BI17" s="198">
        <f>'NKC2'!BM29*100</f>
        <v>0</v>
      </c>
      <c r="BJ17" s="198">
        <f>'NKC2'!BN29*100</f>
        <v>0</v>
      </c>
      <c r="BK17" s="198">
        <f>'NKC2'!BO29*100</f>
        <v>0</v>
      </c>
      <c r="BL17" s="198">
        <f>'NKC2'!BP29*100</f>
        <v>0</v>
      </c>
      <c r="BM17" s="198">
        <f>'NKC2'!BQ29*100</f>
        <v>0</v>
      </c>
      <c r="BN17" s="198">
        <f>'NKC2'!BR29*100</f>
        <v>0</v>
      </c>
      <c r="BO17" s="198">
        <f>'NKC2'!BS29*100</f>
        <v>0</v>
      </c>
      <c r="BP17" s="198">
        <f>'NKC2'!BT29*100</f>
        <v>0</v>
      </c>
      <c r="BQ17" s="198">
        <f>'NKC2'!BU29*100</f>
        <v>0</v>
      </c>
      <c r="BR17" s="198">
        <f>'NKC2'!BV29*100</f>
        <v>0</v>
      </c>
      <c r="BS17" s="198">
        <f>'NKC2'!BW29*100</f>
        <v>0</v>
      </c>
      <c r="BT17" s="198">
        <f>'NKC2'!BX29*100</f>
        <v>0</v>
      </c>
      <c r="BU17" s="198">
        <f>'NKC2'!BY29*100</f>
        <v>0</v>
      </c>
      <c r="BV17" s="198">
        <f>'NKC2'!BZ29*100</f>
        <v>0</v>
      </c>
      <c r="BW17" s="198">
        <f>'NKC2'!CA29*100</f>
        <v>0</v>
      </c>
      <c r="BX17" s="198">
        <f>'NKC2'!CB29*100</f>
        <v>0</v>
      </c>
      <c r="BY17" s="198">
        <f>'NKC2'!CC29*100</f>
        <v>0</v>
      </c>
      <c r="BZ17" s="198">
        <f>'NKC2'!CD29*100</f>
        <v>0</v>
      </c>
      <c r="CA17" s="198">
        <f>'NKC2'!CE29*100</f>
        <v>0</v>
      </c>
      <c r="CB17" s="198">
        <f>'NKC2'!CF29*100</f>
        <v>0</v>
      </c>
      <c r="CC17" s="198">
        <f>'NKC2'!CG29*100</f>
        <v>0</v>
      </c>
      <c r="CD17" s="198">
        <f>'NKC2'!CH29*100</f>
        <v>0</v>
      </c>
      <c r="CE17" s="198">
        <f>'NKC2'!CI29*100</f>
        <v>0</v>
      </c>
      <c r="CF17" s="198">
        <f>'NKC2'!CJ29*100</f>
        <v>0</v>
      </c>
      <c r="CG17" s="198">
        <f>'NKC2'!CK29*100</f>
        <v>0</v>
      </c>
      <c r="CH17" s="198">
        <f>'NKC2'!CL29*100</f>
        <v>0</v>
      </c>
      <c r="CI17" s="198">
        <f>'NKC2'!CM29*100</f>
        <v>0</v>
      </c>
    </row>
    <row r="18" spans="1:87" x14ac:dyDescent="0.45">
      <c r="A18" s="403" t="str">
        <f>'NKC2'!B30</f>
        <v>1.2.6</v>
      </c>
      <c r="B18" s="403" t="str">
        <f>'NKC2'!D30</f>
        <v xml:space="preserve">         งานโครงสร้างชั้นลอย</v>
      </c>
      <c r="C18" s="404">
        <f>'NKC2'!F30</f>
        <v>3778708.0174000002</v>
      </c>
      <c r="D18" s="407" t="str">
        <f>'NKC2'!G28</f>
        <v>P</v>
      </c>
      <c r="E18" s="405">
        <f>'NKC2'!H30*100</f>
        <v>100</v>
      </c>
      <c r="F18" s="405">
        <f>'NKC2'!J30*100</f>
        <v>0</v>
      </c>
      <c r="G18" s="405">
        <f>'NKC2'!K30*100</f>
        <v>0</v>
      </c>
      <c r="H18" s="405">
        <f>'NKC2'!L30*100</f>
        <v>0</v>
      </c>
      <c r="I18" s="405">
        <f>'NKC2'!M30*100</f>
        <v>0</v>
      </c>
      <c r="J18" s="405">
        <f>'NKC2'!N30*100</f>
        <v>0</v>
      </c>
      <c r="K18" s="405">
        <f>'NKC2'!O30*100</f>
        <v>0</v>
      </c>
      <c r="L18" s="405">
        <f>'NKC2'!P30*100</f>
        <v>0</v>
      </c>
      <c r="M18" s="405">
        <f>'NKC2'!Q30*100</f>
        <v>0</v>
      </c>
      <c r="N18" s="405">
        <f>'NKC2'!R30*100</f>
        <v>0</v>
      </c>
      <c r="O18" s="405">
        <f>'NKC2'!S30*100</f>
        <v>0</v>
      </c>
      <c r="P18" s="405">
        <f>'NKC2'!T30*100</f>
        <v>0</v>
      </c>
      <c r="Q18" s="405">
        <f>'NKC2'!U30*100</f>
        <v>0</v>
      </c>
      <c r="R18" s="405">
        <f>'NKC2'!V30*100</f>
        <v>8</v>
      </c>
      <c r="S18" s="405">
        <f>'NKC2'!W30*100</f>
        <v>10</v>
      </c>
      <c r="T18" s="405">
        <f>'NKC2'!X30*100</f>
        <v>10</v>
      </c>
      <c r="U18" s="405">
        <f>'NKC2'!Y30*100</f>
        <v>10</v>
      </c>
      <c r="V18" s="405">
        <f>'NKC2'!Z30*100</f>
        <v>15</v>
      </c>
      <c r="W18" s="405">
        <f>'NKC2'!AA30*100</f>
        <v>20</v>
      </c>
      <c r="X18" s="405">
        <f>'NKC2'!AB30*100</f>
        <v>10</v>
      </c>
      <c r="Y18" s="405">
        <f>'NKC2'!AC30*100</f>
        <v>10</v>
      </c>
      <c r="Z18" s="405">
        <f>'NKC2'!AD30*100</f>
        <v>7.0000000000000009</v>
      </c>
      <c r="AA18" s="405">
        <f>'NKC2'!AE30*100</f>
        <v>0</v>
      </c>
      <c r="AB18" s="405">
        <f>'NKC2'!AF30*100</f>
        <v>0</v>
      </c>
      <c r="AC18" s="405">
        <f>'NKC2'!AG30*100</f>
        <v>0</v>
      </c>
      <c r="AD18" s="405">
        <f>'NKC2'!AH30*100</f>
        <v>0</v>
      </c>
      <c r="AE18" s="405">
        <f>'NKC2'!AI30*100</f>
        <v>0</v>
      </c>
      <c r="AF18" s="405">
        <f>'NKC2'!AJ30*100</f>
        <v>0</v>
      </c>
      <c r="AG18" s="405">
        <f>'NKC2'!AK30*100</f>
        <v>0</v>
      </c>
      <c r="AH18" s="405">
        <f>'NKC2'!AL30*100</f>
        <v>0</v>
      </c>
      <c r="AI18" s="405">
        <f>'NKC2'!AM30*100</f>
        <v>0</v>
      </c>
      <c r="AJ18" s="405">
        <f>'NKC2'!AN30*100</f>
        <v>0</v>
      </c>
      <c r="AK18" s="405">
        <f>'NKC2'!AO30*100</f>
        <v>0</v>
      </c>
      <c r="AL18" s="405">
        <f>'NKC2'!AP30*100</f>
        <v>0</v>
      </c>
      <c r="AM18" s="405">
        <f>'NKC2'!AQ30*100</f>
        <v>0</v>
      </c>
      <c r="AN18" s="405">
        <f>'NKC2'!AR30*100</f>
        <v>0</v>
      </c>
      <c r="AO18" s="405">
        <f>'NKC2'!AS30*100</f>
        <v>0</v>
      </c>
      <c r="AP18" s="405">
        <f>'NKC2'!AT30*100</f>
        <v>0</v>
      </c>
      <c r="AQ18" s="405">
        <f>'NKC2'!AU30*100</f>
        <v>0</v>
      </c>
      <c r="AR18" s="405">
        <f>'NKC2'!AV30*100</f>
        <v>0</v>
      </c>
      <c r="AS18" s="405">
        <f>'NKC2'!AW30*100</f>
        <v>0</v>
      </c>
      <c r="AT18" s="405">
        <f>'NKC2'!AX30*100</f>
        <v>0</v>
      </c>
      <c r="AU18" s="405">
        <f>'NKC2'!AY30*100</f>
        <v>0</v>
      </c>
      <c r="AV18" s="405">
        <f>'NKC2'!AZ30*100</f>
        <v>0</v>
      </c>
      <c r="AW18" s="405">
        <f>'NKC2'!BA30*100</f>
        <v>0</v>
      </c>
      <c r="AX18" s="405">
        <f>'NKC2'!BB30*100</f>
        <v>0</v>
      </c>
      <c r="AY18" s="405">
        <f>'NKC2'!BC30*100</f>
        <v>0</v>
      </c>
      <c r="AZ18" s="405">
        <f>'NKC2'!BD30*100</f>
        <v>0</v>
      </c>
      <c r="BA18" s="405">
        <f>'NKC2'!BE30*100</f>
        <v>0</v>
      </c>
      <c r="BB18" s="405">
        <f>'NKC2'!BF30*100</f>
        <v>0</v>
      </c>
      <c r="BC18" s="405">
        <f>'NKC2'!BG30*100</f>
        <v>0</v>
      </c>
      <c r="BD18" s="405">
        <f>'NKC2'!BH30*100</f>
        <v>0</v>
      </c>
      <c r="BE18" s="405">
        <f>'NKC2'!BI30*100</f>
        <v>0</v>
      </c>
      <c r="BF18" s="405">
        <f>'NKC2'!BJ30*100</f>
        <v>0</v>
      </c>
      <c r="BG18" s="405">
        <f>'NKC2'!BK30*100</f>
        <v>0</v>
      </c>
      <c r="BH18" s="405">
        <f>'NKC2'!BL30*100</f>
        <v>0</v>
      </c>
      <c r="BI18" s="405">
        <f>'NKC2'!BM30*100</f>
        <v>0</v>
      </c>
      <c r="BJ18" s="405">
        <f>'NKC2'!BN30*100</f>
        <v>0</v>
      </c>
      <c r="BK18" s="405">
        <f>'NKC2'!BO30*100</f>
        <v>0</v>
      </c>
      <c r="BL18" s="405">
        <f>'NKC2'!BP30*100</f>
        <v>0</v>
      </c>
      <c r="BM18" s="405">
        <f>'NKC2'!BQ30*100</f>
        <v>0</v>
      </c>
      <c r="BN18" s="405">
        <f>'NKC2'!BR30*100</f>
        <v>0</v>
      </c>
      <c r="BO18" s="405">
        <f>'NKC2'!BS30*100</f>
        <v>0</v>
      </c>
      <c r="BP18" s="405">
        <f>'NKC2'!BT30*100</f>
        <v>0</v>
      </c>
      <c r="BQ18" s="405">
        <f>'NKC2'!BU30*100</f>
        <v>0</v>
      </c>
      <c r="BR18" s="405">
        <f>'NKC2'!BV30*100</f>
        <v>0</v>
      </c>
      <c r="BS18" s="405">
        <f>'NKC2'!BW30*100</f>
        <v>0</v>
      </c>
      <c r="BT18" s="405">
        <f>'NKC2'!BX30*100</f>
        <v>0</v>
      </c>
      <c r="BU18" s="405">
        <f>'NKC2'!BY30*100</f>
        <v>0</v>
      </c>
      <c r="BV18" s="405">
        <f>'NKC2'!BZ30*100</f>
        <v>0</v>
      </c>
      <c r="BW18" s="405">
        <f>'NKC2'!CA30*100</f>
        <v>0</v>
      </c>
      <c r="BX18" s="405">
        <f>'NKC2'!CB30*100</f>
        <v>0</v>
      </c>
      <c r="BY18" s="405">
        <f>'NKC2'!CC30*100</f>
        <v>0</v>
      </c>
      <c r="BZ18" s="405">
        <f>'NKC2'!CD30*100</f>
        <v>0</v>
      </c>
      <c r="CA18" s="405">
        <f>'NKC2'!CE30*100</f>
        <v>0</v>
      </c>
      <c r="CB18" s="405">
        <f>'NKC2'!CF30*100</f>
        <v>0</v>
      </c>
      <c r="CC18" s="405">
        <f>'NKC2'!CG30*100</f>
        <v>0</v>
      </c>
      <c r="CD18" s="405">
        <f>'NKC2'!CH30*100</f>
        <v>0</v>
      </c>
      <c r="CE18" s="405">
        <f>'NKC2'!CI30*100</f>
        <v>0</v>
      </c>
      <c r="CF18" s="405">
        <f>'NKC2'!CJ30*100</f>
        <v>0</v>
      </c>
      <c r="CG18" s="405">
        <f>'NKC2'!CK30*100</f>
        <v>0</v>
      </c>
      <c r="CH18" s="405">
        <f>'NKC2'!CL30*100</f>
        <v>0</v>
      </c>
      <c r="CI18" s="405">
        <f>'NKC2'!CM30*100</f>
        <v>0</v>
      </c>
    </row>
    <row r="19" spans="1:87" x14ac:dyDescent="0.45">
      <c r="A19" t="str">
        <f>'NKC2'!B31</f>
        <v>1.2.6</v>
      </c>
      <c r="B19" t="str">
        <f>'NKC2'!D31</f>
        <v xml:space="preserve">         งานโครงสร้างชั้นลอย</v>
      </c>
      <c r="C19" s="193">
        <f>'NKC2'!F31</f>
        <v>3778708.0174000002</v>
      </c>
      <c r="D19" s="140" t="str">
        <f>'NKC2'!G29</f>
        <v>A</v>
      </c>
      <c r="E19" s="198">
        <f>'NKC2'!H31*100</f>
        <v>0</v>
      </c>
      <c r="F19" s="198">
        <f>'NKC2'!J31*100</f>
        <v>0</v>
      </c>
      <c r="G19" s="198">
        <f>'NKC2'!K31*100</f>
        <v>0</v>
      </c>
      <c r="H19" s="198">
        <f>'NKC2'!L31*100</f>
        <v>0</v>
      </c>
      <c r="I19" s="198">
        <f>'NKC2'!M31*100</f>
        <v>0</v>
      </c>
      <c r="J19" s="198">
        <f>'NKC2'!N31*100</f>
        <v>0</v>
      </c>
      <c r="K19" s="198">
        <f>'NKC2'!O31*100</f>
        <v>0</v>
      </c>
      <c r="L19" s="198">
        <f>'NKC2'!P31*100</f>
        <v>0</v>
      </c>
      <c r="M19" s="198">
        <f>'NKC2'!Q31*100</f>
        <v>0</v>
      </c>
      <c r="N19" s="198">
        <f>'NKC2'!R31*100</f>
        <v>0</v>
      </c>
      <c r="O19" s="198">
        <f>'NKC2'!S31*100</f>
        <v>0</v>
      </c>
      <c r="P19" s="198">
        <f>'NKC2'!T31*100</f>
        <v>0</v>
      </c>
      <c r="Q19" s="198">
        <f>'NKC2'!U31*100</f>
        <v>0</v>
      </c>
      <c r="R19" s="198">
        <f>'NKC2'!V31*100</f>
        <v>0</v>
      </c>
      <c r="S19" s="198">
        <f>'NKC2'!W31*100</f>
        <v>0</v>
      </c>
      <c r="T19" s="198">
        <f>'NKC2'!X31*100</f>
        <v>0</v>
      </c>
      <c r="U19" s="198">
        <f>'NKC2'!Y31*100</f>
        <v>0</v>
      </c>
      <c r="V19" s="198">
        <f>'NKC2'!Z31*100</f>
        <v>0</v>
      </c>
      <c r="W19" s="198">
        <f>'NKC2'!AA31*100</f>
        <v>0</v>
      </c>
      <c r="X19" s="198">
        <f>'NKC2'!AB31*100</f>
        <v>0</v>
      </c>
      <c r="Y19" s="198">
        <f>'NKC2'!AC31*100</f>
        <v>0</v>
      </c>
      <c r="Z19" s="198">
        <f>'NKC2'!AD31*100</f>
        <v>0</v>
      </c>
      <c r="AA19" s="198">
        <f>'NKC2'!AE31*100</f>
        <v>0</v>
      </c>
      <c r="AB19" s="198">
        <f>'NKC2'!AF31*100</f>
        <v>0</v>
      </c>
      <c r="AC19" s="198">
        <f>'NKC2'!AG31*100</f>
        <v>0</v>
      </c>
      <c r="AD19" s="198">
        <f>'NKC2'!AH31*100</f>
        <v>0</v>
      </c>
      <c r="AE19" s="198">
        <f>'NKC2'!AI31*100</f>
        <v>0</v>
      </c>
      <c r="AF19" s="198">
        <f>'NKC2'!AJ31*100</f>
        <v>0</v>
      </c>
      <c r="AG19" s="198">
        <f>'NKC2'!AK31*100</f>
        <v>0</v>
      </c>
      <c r="AH19" s="198">
        <f>'NKC2'!AL31*100</f>
        <v>0</v>
      </c>
      <c r="AI19" s="198">
        <f>'NKC2'!AM31*100</f>
        <v>0</v>
      </c>
      <c r="AJ19" s="198">
        <f>'NKC2'!AN31*100</f>
        <v>0</v>
      </c>
      <c r="AK19" s="198">
        <f>'NKC2'!AO31*100</f>
        <v>0</v>
      </c>
      <c r="AL19" s="198">
        <f>'NKC2'!AP31*100</f>
        <v>0</v>
      </c>
      <c r="AM19" s="198">
        <f>'NKC2'!AQ31*100</f>
        <v>0</v>
      </c>
      <c r="AN19" s="198">
        <f>'NKC2'!AR31*100</f>
        <v>0</v>
      </c>
      <c r="AO19" s="198">
        <f>'NKC2'!AS31*100</f>
        <v>0</v>
      </c>
      <c r="AP19" s="198">
        <f>'NKC2'!AT31*100</f>
        <v>0</v>
      </c>
      <c r="AQ19" s="198">
        <f>'NKC2'!AU31*100</f>
        <v>0</v>
      </c>
      <c r="AR19" s="198">
        <f>'NKC2'!AV31*100</f>
        <v>0</v>
      </c>
      <c r="AS19" s="198">
        <f>'NKC2'!AW31*100</f>
        <v>0</v>
      </c>
      <c r="AT19" s="198">
        <f>'NKC2'!AX31*100</f>
        <v>0</v>
      </c>
      <c r="AU19" s="198">
        <f>'NKC2'!AY31*100</f>
        <v>0</v>
      </c>
      <c r="AV19" s="198">
        <f>'NKC2'!AZ31*100</f>
        <v>0</v>
      </c>
      <c r="AW19" s="198">
        <f>'NKC2'!BA31*100</f>
        <v>0</v>
      </c>
      <c r="AX19" s="198">
        <f>'NKC2'!BB31*100</f>
        <v>0</v>
      </c>
      <c r="AY19" s="198">
        <f>'NKC2'!BC31*100</f>
        <v>0</v>
      </c>
      <c r="AZ19" s="198">
        <f>'NKC2'!BD31*100</f>
        <v>0</v>
      </c>
      <c r="BA19" s="198">
        <f>'NKC2'!BE31*100</f>
        <v>0</v>
      </c>
      <c r="BB19" s="198">
        <f>'NKC2'!BF31*100</f>
        <v>0</v>
      </c>
      <c r="BC19" s="198">
        <f>'NKC2'!BG31*100</f>
        <v>0</v>
      </c>
      <c r="BD19" s="198">
        <f>'NKC2'!BH31*100</f>
        <v>0</v>
      </c>
      <c r="BE19" s="198">
        <f>'NKC2'!BI31*100</f>
        <v>0</v>
      </c>
      <c r="BF19" s="198">
        <f>'NKC2'!BJ31*100</f>
        <v>0</v>
      </c>
      <c r="BG19" s="198">
        <f>'NKC2'!BK31*100</f>
        <v>0</v>
      </c>
      <c r="BH19" s="198">
        <f>'NKC2'!BL31*100</f>
        <v>0</v>
      </c>
      <c r="BI19" s="198">
        <f>'NKC2'!BM31*100</f>
        <v>0</v>
      </c>
      <c r="BJ19" s="198">
        <f>'NKC2'!BN31*100</f>
        <v>0</v>
      </c>
      <c r="BK19" s="198">
        <f>'NKC2'!BO31*100</f>
        <v>0</v>
      </c>
      <c r="BL19" s="198">
        <f>'NKC2'!BP31*100</f>
        <v>0</v>
      </c>
      <c r="BM19" s="198">
        <f>'NKC2'!BQ31*100</f>
        <v>0</v>
      </c>
      <c r="BN19" s="198">
        <f>'NKC2'!BR31*100</f>
        <v>0</v>
      </c>
      <c r="BO19" s="198">
        <f>'NKC2'!BS31*100</f>
        <v>0</v>
      </c>
      <c r="BP19" s="198">
        <f>'NKC2'!BT31*100</f>
        <v>0</v>
      </c>
      <c r="BQ19" s="198">
        <f>'NKC2'!BU31*100</f>
        <v>0</v>
      </c>
      <c r="BR19" s="198">
        <f>'NKC2'!BV31*100</f>
        <v>0</v>
      </c>
      <c r="BS19" s="198">
        <f>'NKC2'!BW31*100</f>
        <v>0</v>
      </c>
      <c r="BT19" s="198">
        <f>'NKC2'!BX31*100</f>
        <v>0</v>
      </c>
      <c r="BU19" s="198">
        <f>'NKC2'!BY31*100</f>
        <v>0</v>
      </c>
      <c r="BV19" s="198">
        <f>'NKC2'!BZ31*100</f>
        <v>0</v>
      </c>
      <c r="BW19" s="198">
        <f>'NKC2'!CA31*100</f>
        <v>0</v>
      </c>
      <c r="BX19" s="198">
        <f>'NKC2'!CB31*100</f>
        <v>0</v>
      </c>
      <c r="BY19" s="198">
        <f>'NKC2'!CC31*100</f>
        <v>0</v>
      </c>
      <c r="BZ19" s="198">
        <f>'NKC2'!CD31*100</f>
        <v>0</v>
      </c>
      <c r="CA19" s="198">
        <f>'NKC2'!CE31*100</f>
        <v>0</v>
      </c>
      <c r="CB19" s="198">
        <f>'NKC2'!CF31*100</f>
        <v>0</v>
      </c>
      <c r="CC19" s="198">
        <f>'NKC2'!CG31*100</f>
        <v>0</v>
      </c>
      <c r="CD19" s="198">
        <f>'NKC2'!CH31*100</f>
        <v>0</v>
      </c>
      <c r="CE19" s="198">
        <f>'NKC2'!CI31*100</f>
        <v>0</v>
      </c>
      <c r="CF19" s="198">
        <f>'NKC2'!CJ31*100</f>
        <v>0</v>
      </c>
      <c r="CG19" s="198">
        <f>'NKC2'!CK31*100</f>
        <v>0</v>
      </c>
      <c r="CH19" s="198">
        <f>'NKC2'!CL31*100</f>
        <v>0</v>
      </c>
      <c r="CI19" s="198">
        <f>'NKC2'!CM31*100</f>
        <v>0</v>
      </c>
    </row>
    <row r="20" spans="1:87" x14ac:dyDescent="0.45">
      <c r="A20" s="403" t="str">
        <f>'NKC2'!B32</f>
        <v>1.2.7</v>
      </c>
      <c r="B20" s="403" t="str">
        <f>'NKC2'!D32</f>
        <v xml:space="preserve">         งานโครงสร้างต่อเติมพื้นชั้น 2 Area = 59.06 sq.m. ( GL.1-5/B-C &amp; GL.33-37/B-C )</v>
      </c>
      <c r="C20" s="404">
        <f>'NKC2'!F32</f>
        <v>449323.23820000002</v>
      </c>
      <c r="D20" s="407" t="str">
        <f>'NKC2'!G30</f>
        <v>P</v>
      </c>
      <c r="E20" s="405">
        <f>'NKC2'!H32*100</f>
        <v>100</v>
      </c>
      <c r="F20" s="405">
        <f>'NKC2'!J32*100</f>
        <v>0</v>
      </c>
      <c r="G20" s="405">
        <f>'NKC2'!K32*100</f>
        <v>0</v>
      </c>
      <c r="H20" s="405">
        <f>'NKC2'!L32*100</f>
        <v>0</v>
      </c>
      <c r="I20" s="405">
        <f>'NKC2'!M32*100</f>
        <v>0</v>
      </c>
      <c r="J20" s="405">
        <f>'NKC2'!N32*100</f>
        <v>0</v>
      </c>
      <c r="K20" s="405">
        <f>'NKC2'!O32*100</f>
        <v>0</v>
      </c>
      <c r="L20" s="405">
        <f>'NKC2'!P32*100</f>
        <v>0</v>
      </c>
      <c r="M20" s="405">
        <f>'NKC2'!Q32*100</f>
        <v>0</v>
      </c>
      <c r="N20" s="405">
        <f>'NKC2'!R32*100</f>
        <v>0</v>
      </c>
      <c r="O20" s="405">
        <f>'NKC2'!S32*100</f>
        <v>0</v>
      </c>
      <c r="P20" s="405">
        <f>'NKC2'!T32*100</f>
        <v>0</v>
      </c>
      <c r="Q20" s="405">
        <f>'NKC2'!U32*100</f>
        <v>0</v>
      </c>
      <c r="R20" s="405">
        <f>'NKC2'!V32*100</f>
        <v>0</v>
      </c>
      <c r="S20" s="405">
        <f>'NKC2'!W32*100</f>
        <v>0</v>
      </c>
      <c r="T20" s="405">
        <f>'NKC2'!X32*100</f>
        <v>0</v>
      </c>
      <c r="U20" s="405">
        <f>'NKC2'!Y32*100</f>
        <v>0</v>
      </c>
      <c r="V20" s="405">
        <f>'NKC2'!Z32*100</f>
        <v>0</v>
      </c>
      <c r="W20" s="405">
        <f>'NKC2'!AA32*100</f>
        <v>10</v>
      </c>
      <c r="X20" s="405">
        <f>'NKC2'!AB32*100</f>
        <v>35</v>
      </c>
      <c r="Y20" s="405">
        <f>'NKC2'!AC32*100</f>
        <v>30</v>
      </c>
      <c r="Z20" s="405">
        <f>'NKC2'!AD32*100</f>
        <v>25</v>
      </c>
      <c r="AA20" s="405">
        <f>'NKC2'!AE32*100</f>
        <v>0</v>
      </c>
      <c r="AB20" s="405">
        <f>'NKC2'!AF32*100</f>
        <v>0</v>
      </c>
      <c r="AC20" s="405">
        <f>'NKC2'!AG32*100</f>
        <v>0</v>
      </c>
      <c r="AD20" s="405">
        <f>'NKC2'!AH32*100</f>
        <v>0</v>
      </c>
      <c r="AE20" s="405">
        <f>'NKC2'!AI32*100</f>
        <v>0</v>
      </c>
      <c r="AF20" s="405">
        <f>'NKC2'!AJ32*100</f>
        <v>0</v>
      </c>
      <c r="AG20" s="405">
        <f>'NKC2'!AK32*100</f>
        <v>0</v>
      </c>
      <c r="AH20" s="405">
        <f>'NKC2'!AL32*100</f>
        <v>0</v>
      </c>
      <c r="AI20" s="405">
        <f>'NKC2'!AM32*100</f>
        <v>0</v>
      </c>
      <c r="AJ20" s="405">
        <f>'NKC2'!AN32*100</f>
        <v>0</v>
      </c>
      <c r="AK20" s="405">
        <f>'NKC2'!AO32*100</f>
        <v>0</v>
      </c>
      <c r="AL20" s="405">
        <f>'NKC2'!AP32*100</f>
        <v>0</v>
      </c>
      <c r="AM20" s="405">
        <f>'NKC2'!AQ32*100</f>
        <v>0</v>
      </c>
      <c r="AN20" s="405">
        <f>'NKC2'!AR32*100</f>
        <v>0</v>
      </c>
      <c r="AO20" s="405">
        <f>'NKC2'!AS32*100</f>
        <v>0</v>
      </c>
      <c r="AP20" s="405">
        <f>'NKC2'!AT32*100</f>
        <v>0</v>
      </c>
      <c r="AQ20" s="405">
        <f>'NKC2'!AU32*100</f>
        <v>0</v>
      </c>
      <c r="AR20" s="405">
        <f>'NKC2'!AV32*100</f>
        <v>0</v>
      </c>
      <c r="AS20" s="405">
        <f>'NKC2'!AW32*100</f>
        <v>0</v>
      </c>
      <c r="AT20" s="405">
        <f>'NKC2'!AX32*100</f>
        <v>0</v>
      </c>
      <c r="AU20" s="405">
        <f>'NKC2'!AY32*100</f>
        <v>0</v>
      </c>
      <c r="AV20" s="405">
        <f>'NKC2'!AZ32*100</f>
        <v>0</v>
      </c>
      <c r="AW20" s="405">
        <f>'NKC2'!BA32*100</f>
        <v>0</v>
      </c>
      <c r="AX20" s="405">
        <f>'NKC2'!BB32*100</f>
        <v>0</v>
      </c>
      <c r="AY20" s="405">
        <f>'NKC2'!BC32*100</f>
        <v>0</v>
      </c>
      <c r="AZ20" s="405">
        <f>'NKC2'!BD32*100</f>
        <v>0</v>
      </c>
      <c r="BA20" s="405">
        <f>'NKC2'!BE32*100</f>
        <v>0</v>
      </c>
      <c r="BB20" s="405">
        <f>'NKC2'!BF32*100</f>
        <v>0</v>
      </c>
      <c r="BC20" s="405">
        <f>'NKC2'!BG32*100</f>
        <v>0</v>
      </c>
      <c r="BD20" s="405">
        <f>'NKC2'!BH32*100</f>
        <v>0</v>
      </c>
      <c r="BE20" s="405">
        <f>'NKC2'!BI32*100</f>
        <v>0</v>
      </c>
      <c r="BF20" s="405">
        <f>'NKC2'!BJ32*100</f>
        <v>0</v>
      </c>
      <c r="BG20" s="405">
        <f>'NKC2'!BK32*100</f>
        <v>0</v>
      </c>
      <c r="BH20" s="405">
        <f>'NKC2'!BL32*100</f>
        <v>0</v>
      </c>
      <c r="BI20" s="405">
        <f>'NKC2'!BM32*100</f>
        <v>0</v>
      </c>
      <c r="BJ20" s="405">
        <f>'NKC2'!BN32*100</f>
        <v>0</v>
      </c>
      <c r="BK20" s="405">
        <f>'NKC2'!BO32*100</f>
        <v>0</v>
      </c>
      <c r="BL20" s="405">
        <f>'NKC2'!BP32*100</f>
        <v>0</v>
      </c>
      <c r="BM20" s="405">
        <f>'NKC2'!BQ32*100</f>
        <v>0</v>
      </c>
      <c r="BN20" s="405">
        <f>'NKC2'!BR32*100</f>
        <v>0</v>
      </c>
      <c r="BO20" s="405">
        <f>'NKC2'!BS32*100</f>
        <v>0</v>
      </c>
      <c r="BP20" s="405">
        <f>'NKC2'!BT32*100</f>
        <v>0</v>
      </c>
      <c r="BQ20" s="405">
        <f>'NKC2'!BU32*100</f>
        <v>0</v>
      </c>
      <c r="BR20" s="405">
        <f>'NKC2'!BV32*100</f>
        <v>0</v>
      </c>
      <c r="BS20" s="405">
        <f>'NKC2'!BW32*100</f>
        <v>0</v>
      </c>
      <c r="BT20" s="405">
        <f>'NKC2'!BX32*100</f>
        <v>0</v>
      </c>
      <c r="BU20" s="405">
        <f>'NKC2'!BY32*100</f>
        <v>0</v>
      </c>
      <c r="BV20" s="405">
        <f>'NKC2'!BZ32*100</f>
        <v>0</v>
      </c>
      <c r="BW20" s="405">
        <f>'NKC2'!CA32*100</f>
        <v>0</v>
      </c>
      <c r="BX20" s="405">
        <f>'NKC2'!CB32*100</f>
        <v>0</v>
      </c>
      <c r="BY20" s="405">
        <f>'NKC2'!CC32*100</f>
        <v>0</v>
      </c>
      <c r="BZ20" s="405">
        <f>'NKC2'!CD32*100</f>
        <v>0</v>
      </c>
      <c r="CA20" s="405">
        <f>'NKC2'!CE32*100</f>
        <v>0</v>
      </c>
      <c r="CB20" s="405">
        <f>'NKC2'!CF32*100</f>
        <v>0</v>
      </c>
      <c r="CC20" s="405">
        <f>'NKC2'!CG32*100</f>
        <v>0</v>
      </c>
      <c r="CD20" s="405">
        <f>'NKC2'!CH32*100</f>
        <v>0</v>
      </c>
      <c r="CE20" s="405">
        <f>'NKC2'!CI32*100</f>
        <v>0</v>
      </c>
      <c r="CF20" s="405">
        <f>'NKC2'!CJ32*100</f>
        <v>0</v>
      </c>
      <c r="CG20" s="405">
        <f>'NKC2'!CK32*100</f>
        <v>0</v>
      </c>
      <c r="CH20" s="405">
        <f>'NKC2'!CL32*100</f>
        <v>0</v>
      </c>
      <c r="CI20" s="405">
        <f>'NKC2'!CM32*100</f>
        <v>0</v>
      </c>
    </row>
    <row r="21" spans="1:87" x14ac:dyDescent="0.45">
      <c r="A21" t="str">
        <f>'NKC2'!B33</f>
        <v>1.2.7</v>
      </c>
      <c r="B21" t="str">
        <f>'NKC2'!D33</f>
        <v xml:space="preserve">         งานโครงสร้างต่อเติมพื้นชั้น 2 Area = 59.06 sq.m. ( GL.1-5/B-C &amp; GL.33-37/B-C )</v>
      </c>
      <c r="C21" s="193">
        <f>'NKC2'!F33</f>
        <v>449323.23820000002</v>
      </c>
      <c r="D21" s="140" t="str">
        <f>'NKC2'!G31</f>
        <v>A</v>
      </c>
      <c r="E21" s="198">
        <f>'NKC2'!H33*100</f>
        <v>0</v>
      </c>
      <c r="F21" s="198">
        <f>'NKC2'!J33*100</f>
        <v>0</v>
      </c>
      <c r="G21" s="198">
        <f>'NKC2'!K33*100</f>
        <v>0</v>
      </c>
      <c r="H21" s="198">
        <f>'NKC2'!L33*100</f>
        <v>0</v>
      </c>
      <c r="I21" s="198">
        <f>'NKC2'!M33*100</f>
        <v>0</v>
      </c>
      <c r="J21" s="198">
        <f>'NKC2'!N33*100</f>
        <v>0</v>
      </c>
      <c r="K21" s="198">
        <f>'NKC2'!O33*100</f>
        <v>0</v>
      </c>
      <c r="L21" s="198">
        <f>'NKC2'!P33*100</f>
        <v>0</v>
      </c>
      <c r="M21" s="198">
        <f>'NKC2'!Q33*100</f>
        <v>0</v>
      </c>
      <c r="N21" s="198">
        <f>'NKC2'!R33*100</f>
        <v>0</v>
      </c>
      <c r="O21" s="198">
        <f>'NKC2'!S33*100</f>
        <v>0</v>
      </c>
      <c r="P21" s="198">
        <f>'NKC2'!T33*100</f>
        <v>0</v>
      </c>
      <c r="Q21" s="198">
        <f>'NKC2'!U33*100</f>
        <v>0</v>
      </c>
      <c r="R21" s="198">
        <f>'NKC2'!V33*100</f>
        <v>0</v>
      </c>
      <c r="S21" s="198">
        <f>'NKC2'!W33*100</f>
        <v>0</v>
      </c>
      <c r="T21" s="198">
        <f>'NKC2'!X33*100</f>
        <v>0</v>
      </c>
      <c r="U21" s="198">
        <f>'NKC2'!Y33*100</f>
        <v>0</v>
      </c>
      <c r="V21" s="198">
        <f>'NKC2'!Z33*100</f>
        <v>0</v>
      </c>
      <c r="W21" s="198">
        <f>'NKC2'!AA33*100</f>
        <v>0</v>
      </c>
      <c r="X21" s="198">
        <f>'NKC2'!AB33*100</f>
        <v>0</v>
      </c>
      <c r="Y21" s="198">
        <f>'NKC2'!AC33*100</f>
        <v>0</v>
      </c>
      <c r="Z21" s="198">
        <f>'NKC2'!AD33*100</f>
        <v>0</v>
      </c>
      <c r="AA21" s="198">
        <f>'NKC2'!AE33*100</f>
        <v>0</v>
      </c>
      <c r="AB21" s="198">
        <f>'NKC2'!AF33*100</f>
        <v>0</v>
      </c>
      <c r="AC21" s="198">
        <f>'NKC2'!AG33*100</f>
        <v>0</v>
      </c>
      <c r="AD21" s="198">
        <f>'NKC2'!AH33*100</f>
        <v>0</v>
      </c>
      <c r="AE21" s="198">
        <f>'NKC2'!AI33*100</f>
        <v>0</v>
      </c>
      <c r="AF21" s="198">
        <f>'NKC2'!AJ33*100</f>
        <v>0</v>
      </c>
      <c r="AG21" s="198">
        <f>'NKC2'!AK33*100</f>
        <v>0</v>
      </c>
      <c r="AH21" s="198">
        <f>'NKC2'!AL33*100</f>
        <v>0</v>
      </c>
      <c r="AI21" s="198">
        <f>'NKC2'!AM33*100</f>
        <v>0</v>
      </c>
      <c r="AJ21" s="198">
        <f>'NKC2'!AN33*100</f>
        <v>0</v>
      </c>
      <c r="AK21" s="198">
        <f>'NKC2'!AO33*100</f>
        <v>0</v>
      </c>
      <c r="AL21" s="198">
        <f>'NKC2'!AP33*100</f>
        <v>0</v>
      </c>
      <c r="AM21" s="198">
        <f>'NKC2'!AQ33*100</f>
        <v>0</v>
      </c>
      <c r="AN21" s="198">
        <f>'NKC2'!AR33*100</f>
        <v>0</v>
      </c>
      <c r="AO21" s="198">
        <f>'NKC2'!AS33*100</f>
        <v>0</v>
      </c>
      <c r="AP21" s="198">
        <f>'NKC2'!AT33*100</f>
        <v>0</v>
      </c>
      <c r="AQ21" s="198">
        <f>'NKC2'!AU33*100</f>
        <v>0</v>
      </c>
      <c r="AR21" s="198">
        <f>'NKC2'!AV33*100</f>
        <v>0</v>
      </c>
      <c r="AS21" s="198">
        <f>'NKC2'!AW33*100</f>
        <v>0</v>
      </c>
      <c r="AT21" s="198">
        <f>'NKC2'!AX33*100</f>
        <v>0</v>
      </c>
      <c r="AU21" s="198">
        <f>'NKC2'!AY33*100</f>
        <v>0</v>
      </c>
      <c r="AV21" s="198">
        <f>'NKC2'!AZ33*100</f>
        <v>0</v>
      </c>
      <c r="AW21" s="198">
        <f>'NKC2'!BA33*100</f>
        <v>0</v>
      </c>
      <c r="AX21" s="198">
        <f>'NKC2'!BB33*100</f>
        <v>0</v>
      </c>
      <c r="AY21" s="198">
        <f>'NKC2'!BC33*100</f>
        <v>0</v>
      </c>
      <c r="AZ21" s="198">
        <f>'NKC2'!BD33*100</f>
        <v>0</v>
      </c>
      <c r="BA21" s="198">
        <f>'NKC2'!BE33*100</f>
        <v>0</v>
      </c>
      <c r="BB21" s="198">
        <f>'NKC2'!BF33*100</f>
        <v>0</v>
      </c>
      <c r="BC21" s="198">
        <f>'NKC2'!BG33*100</f>
        <v>0</v>
      </c>
      <c r="BD21" s="198">
        <f>'NKC2'!BH33*100</f>
        <v>0</v>
      </c>
      <c r="BE21" s="198">
        <f>'NKC2'!BI33*100</f>
        <v>0</v>
      </c>
      <c r="BF21" s="198">
        <f>'NKC2'!BJ33*100</f>
        <v>0</v>
      </c>
      <c r="BG21" s="198">
        <f>'NKC2'!BK33*100</f>
        <v>0</v>
      </c>
      <c r="BH21" s="198">
        <f>'NKC2'!BL33*100</f>
        <v>0</v>
      </c>
      <c r="BI21" s="198">
        <f>'NKC2'!BM33*100</f>
        <v>0</v>
      </c>
      <c r="BJ21" s="198">
        <f>'NKC2'!BN33*100</f>
        <v>0</v>
      </c>
      <c r="BK21" s="198">
        <f>'NKC2'!BO33*100</f>
        <v>0</v>
      </c>
      <c r="BL21" s="198">
        <f>'NKC2'!BP33*100</f>
        <v>0</v>
      </c>
      <c r="BM21" s="198">
        <f>'NKC2'!BQ33*100</f>
        <v>0</v>
      </c>
      <c r="BN21" s="198">
        <f>'NKC2'!BR33*100</f>
        <v>0</v>
      </c>
      <c r="BO21" s="198">
        <f>'NKC2'!BS33*100</f>
        <v>0</v>
      </c>
      <c r="BP21" s="198">
        <f>'NKC2'!BT33*100</f>
        <v>0</v>
      </c>
      <c r="BQ21" s="198">
        <f>'NKC2'!BU33*100</f>
        <v>0</v>
      </c>
      <c r="BR21" s="198">
        <f>'NKC2'!BV33*100</f>
        <v>0</v>
      </c>
      <c r="BS21" s="198">
        <f>'NKC2'!BW33*100</f>
        <v>0</v>
      </c>
      <c r="BT21" s="198">
        <f>'NKC2'!BX33*100</f>
        <v>0</v>
      </c>
      <c r="BU21" s="198">
        <f>'NKC2'!BY33*100</f>
        <v>0</v>
      </c>
      <c r="BV21" s="198">
        <f>'NKC2'!BZ33*100</f>
        <v>0</v>
      </c>
      <c r="BW21" s="198">
        <f>'NKC2'!CA33*100</f>
        <v>0</v>
      </c>
      <c r="BX21" s="198">
        <f>'NKC2'!CB33*100</f>
        <v>0</v>
      </c>
      <c r="BY21" s="198">
        <f>'NKC2'!CC33*100</f>
        <v>0</v>
      </c>
      <c r="BZ21" s="198">
        <f>'NKC2'!CD33*100</f>
        <v>0</v>
      </c>
      <c r="CA21" s="198">
        <f>'NKC2'!CE33*100</f>
        <v>0</v>
      </c>
      <c r="CB21" s="198">
        <f>'NKC2'!CF33*100</f>
        <v>0</v>
      </c>
      <c r="CC21" s="198">
        <f>'NKC2'!CG33*100</f>
        <v>0</v>
      </c>
      <c r="CD21" s="198">
        <f>'NKC2'!CH33*100</f>
        <v>0</v>
      </c>
      <c r="CE21" s="198">
        <f>'NKC2'!CI33*100</f>
        <v>0</v>
      </c>
      <c r="CF21" s="198">
        <f>'NKC2'!CJ33*100</f>
        <v>0</v>
      </c>
      <c r="CG21" s="198">
        <f>'NKC2'!CK33*100</f>
        <v>0</v>
      </c>
      <c r="CH21" s="198">
        <f>'NKC2'!CL33*100</f>
        <v>0</v>
      </c>
      <c r="CI21" s="198">
        <f>'NKC2'!CM33*100</f>
        <v>0</v>
      </c>
    </row>
    <row r="22" spans="1:87" x14ac:dyDescent="0.45">
      <c r="A22" s="403" t="str">
        <f>'NKC2'!B34</f>
        <v>1.2.8</v>
      </c>
      <c r="B22" s="403" t="str">
        <f>'NKC2'!D34</f>
        <v xml:space="preserve">         งานโครงสร้าง Platform สำหรับงานระบบ ( GL.23-37 / A )</v>
      </c>
      <c r="C22" s="404">
        <f>'NKC2'!F34</f>
        <v>91097.831200000001</v>
      </c>
      <c r="D22" s="407" t="str">
        <f>'NKC2'!G32</f>
        <v>P</v>
      </c>
      <c r="E22" s="405">
        <f>'NKC2'!H34*100</f>
        <v>100</v>
      </c>
      <c r="F22" s="405">
        <f>'NKC2'!J34*100</f>
        <v>0</v>
      </c>
      <c r="G22" s="405">
        <f>'NKC2'!K34*100</f>
        <v>0</v>
      </c>
      <c r="H22" s="405">
        <f>'NKC2'!L34*100</f>
        <v>0</v>
      </c>
      <c r="I22" s="405">
        <f>'NKC2'!M34*100</f>
        <v>0</v>
      </c>
      <c r="J22" s="405">
        <f>'NKC2'!N34*100</f>
        <v>0</v>
      </c>
      <c r="K22" s="405">
        <f>'NKC2'!O34*100</f>
        <v>0</v>
      </c>
      <c r="L22" s="405">
        <f>'NKC2'!P34*100</f>
        <v>0</v>
      </c>
      <c r="M22" s="405">
        <f>'NKC2'!Q34*100</f>
        <v>0</v>
      </c>
      <c r="N22" s="405">
        <f>'NKC2'!R34*100</f>
        <v>0</v>
      </c>
      <c r="O22" s="405">
        <f>'NKC2'!S34*100</f>
        <v>0</v>
      </c>
      <c r="P22" s="405">
        <f>'NKC2'!T34*100</f>
        <v>0</v>
      </c>
      <c r="Q22" s="405">
        <f>'NKC2'!U34*100</f>
        <v>0</v>
      </c>
      <c r="R22" s="405">
        <f>'NKC2'!V34*100</f>
        <v>0</v>
      </c>
      <c r="S22" s="405">
        <f>'NKC2'!W34*100</f>
        <v>0</v>
      </c>
      <c r="T22" s="405">
        <f>'NKC2'!X34*100</f>
        <v>0</v>
      </c>
      <c r="U22" s="405">
        <f>'NKC2'!Y34*100</f>
        <v>0</v>
      </c>
      <c r="V22" s="405">
        <f>'NKC2'!Z34*100</f>
        <v>0</v>
      </c>
      <c r="W22" s="405">
        <f>'NKC2'!AA34*100</f>
        <v>0</v>
      </c>
      <c r="X22" s="405">
        <f>'NKC2'!AB34*100</f>
        <v>50</v>
      </c>
      <c r="Y22" s="405">
        <f>'NKC2'!AC34*100</f>
        <v>50</v>
      </c>
      <c r="Z22" s="405">
        <f>'NKC2'!AD34*100</f>
        <v>0</v>
      </c>
      <c r="AA22" s="405">
        <f>'NKC2'!AE34*100</f>
        <v>0</v>
      </c>
      <c r="AB22" s="405">
        <f>'NKC2'!AF34*100</f>
        <v>0</v>
      </c>
      <c r="AC22" s="405">
        <f>'NKC2'!AG34*100</f>
        <v>0</v>
      </c>
      <c r="AD22" s="405">
        <f>'NKC2'!AH34*100</f>
        <v>0</v>
      </c>
      <c r="AE22" s="405">
        <f>'NKC2'!AI34*100</f>
        <v>0</v>
      </c>
      <c r="AF22" s="405">
        <f>'NKC2'!AJ34*100</f>
        <v>0</v>
      </c>
      <c r="AG22" s="405">
        <f>'NKC2'!AK34*100</f>
        <v>0</v>
      </c>
      <c r="AH22" s="405">
        <f>'NKC2'!AL34*100</f>
        <v>0</v>
      </c>
      <c r="AI22" s="405">
        <f>'NKC2'!AM34*100</f>
        <v>0</v>
      </c>
      <c r="AJ22" s="405">
        <f>'NKC2'!AN34*100</f>
        <v>0</v>
      </c>
      <c r="AK22" s="405">
        <f>'NKC2'!AO34*100</f>
        <v>0</v>
      </c>
      <c r="AL22" s="405">
        <f>'NKC2'!AP34*100</f>
        <v>0</v>
      </c>
      <c r="AM22" s="405">
        <f>'NKC2'!AQ34*100</f>
        <v>0</v>
      </c>
      <c r="AN22" s="405">
        <f>'NKC2'!AR34*100</f>
        <v>0</v>
      </c>
      <c r="AO22" s="405">
        <f>'NKC2'!AS34*100</f>
        <v>0</v>
      </c>
      <c r="AP22" s="405">
        <f>'NKC2'!AT34*100</f>
        <v>0</v>
      </c>
      <c r="AQ22" s="405">
        <f>'NKC2'!AU34*100</f>
        <v>0</v>
      </c>
      <c r="AR22" s="405">
        <f>'NKC2'!AV34*100</f>
        <v>0</v>
      </c>
      <c r="AS22" s="405">
        <f>'NKC2'!AW34*100</f>
        <v>0</v>
      </c>
      <c r="AT22" s="405">
        <f>'NKC2'!AX34*100</f>
        <v>0</v>
      </c>
      <c r="AU22" s="405">
        <f>'NKC2'!AY34*100</f>
        <v>0</v>
      </c>
      <c r="AV22" s="405">
        <f>'NKC2'!AZ34*100</f>
        <v>0</v>
      </c>
      <c r="AW22" s="405">
        <f>'NKC2'!BA34*100</f>
        <v>0</v>
      </c>
      <c r="AX22" s="405">
        <f>'NKC2'!BB34*100</f>
        <v>0</v>
      </c>
      <c r="AY22" s="405">
        <f>'NKC2'!BC34*100</f>
        <v>0</v>
      </c>
      <c r="AZ22" s="405">
        <f>'NKC2'!BD34*100</f>
        <v>0</v>
      </c>
      <c r="BA22" s="405">
        <f>'NKC2'!BE34*100</f>
        <v>0</v>
      </c>
      <c r="BB22" s="405">
        <f>'NKC2'!BF34*100</f>
        <v>0</v>
      </c>
      <c r="BC22" s="405">
        <f>'NKC2'!BG34*100</f>
        <v>0</v>
      </c>
      <c r="BD22" s="405">
        <f>'NKC2'!BH34*100</f>
        <v>0</v>
      </c>
      <c r="BE22" s="405">
        <f>'NKC2'!BI34*100</f>
        <v>0</v>
      </c>
      <c r="BF22" s="405">
        <f>'NKC2'!BJ34*100</f>
        <v>0</v>
      </c>
      <c r="BG22" s="405">
        <f>'NKC2'!BK34*100</f>
        <v>0</v>
      </c>
      <c r="BH22" s="405">
        <f>'NKC2'!BL34*100</f>
        <v>0</v>
      </c>
      <c r="BI22" s="405">
        <f>'NKC2'!BM34*100</f>
        <v>0</v>
      </c>
      <c r="BJ22" s="405">
        <f>'NKC2'!BN34*100</f>
        <v>0</v>
      </c>
      <c r="BK22" s="405">
        <f>'NKC2'!BO34*100</f>
        <v>0</v>
      </c>
      <c r="BL22" s="405">
        <f>'NKC2'!BP34*100</f>
        <v>0</v>
      </c>
      <c r="BM22" s="405">
        <f>'NKC2'!BQ34*100</f>
        <v>0</v>
      </c>
      <c r="BN22" s="405">
        <f>'NKC2'!BR34*100</f>
        <v>0</v>
      </c>
      <c r="BO22" s="405">
        <f>'NKC2'!BS34*100</f>
        <v>0</v>
      </c>
      <c r="BP22" s="405">
        <f>'NKC2'!BT34*100</f>
        <v>0</v>
      </c>
      <c r="BQ22" s="405">
        <f>'NKC2'!BU34*100</f>
        <v>0</v>
      </c>
      <c r="BR22" s="405">
        <f>'NKC2'!BV34*100</f>
        <v>0</v>
      </c>
      <c r="BS22" s="405">
        <f>'NKC2'!BW34*100</f>
        <v>0</v>
      </c>
      <c r="BT22" s="405">
        <f>'NKC2'!BX34*100</f>
        <v>0</v>
      </c>
      <c r="BU22" s="405">
        <f>'NKC2'!BY34*100</f>
        <v>0</v>
      </c>
      <c r="BV22" s="405">
        <f>'NKC2'!BZ34*100</f>
        <v>0</v>
      </c>
      <c r="BW22" s="405">
        <f>'NKC2'!CA34*100</f>
        <v>0</v>
      </c>
      <c r="BX22" s="405">
        <f>'NKC2'!CB34*100</f>
        <v>0</v>
      </c>
      <c r="BY22" s="405">
        <f>'NKC2'!CC34*100</f>
        <v>0</v>
      </c>
      <c r="BZ22" s="405">
        <f>'NKC2'!CD34*100</f>
        <v>0</v>
      </c>
      <c r="CA22" s="405">
        <f>'NKC2'!CE34*100</f>
        <v>0</v>
      </c>
      <c r="CB22" s="405">
        <f>'NKC2'!CF34*100</f>
        <v>0</v>
      </c>
      <c r="CC22" s="405">
        <f>'NKC2'!CG34*100</f>
        <v>0</v>
      </c>
      <c r="CD22" s="405">
        <f>'NKC2'!CH34*100</f>
        <v>0</v>
      </c>
      <c r="CE22" s="405">
        <f>'NKC2'!CI34*100</f>
        <v>0</v>
      </c>
      <c r="CF22" s="405">
        <f>'NKC2'!CJ34*100</f>
        <v>0</v>
      </c>
      <c r="CG22" s="405">
        <f>'NKC2'!CK34*100</f>
        <v>0</v>
      </c>
      <c r="CH22" s="405">
        <f>'NKC2'!CL34*100</f>
        <v>0</v>
      </c>
      <c r="CI22" s="405">
        <f>'NKC2'!CM34*100</f>
        <v>0</v>
      </c>
    </row>
    <row r="23" spans="1:87" x14ac:dyDescent="0.45">
      <c r="A23" t="str">
        <f>'NKC2'!B35</f>
        <v>1.2.8</v>
      </c>
      <c r="B23" t="str">
        <f>'NKC2'!D35</f>
        <v xml:space="preserve">         งานโครงสร้าง Platform สำหรับงานระบบ ( GL.23-37 / A )</v>
      </c>
      <c r="C23" s="193">
        <f>'NKC2'!F35</f>
        <v>91097.831200000001</v>
      </c>
      <c r="D23" s="140" t="str">
        <f>'NKC2'!G33</f>
        <v>A</v>
      </c>
      <c r="E23" s="198">
        <f>'NKC2'!H35*100</f>
        <v>0</v>
      </c>
      <c r="F23" s="198">
        <f>'NKC2'!J35*100</f>
        <v>0</v>
      </c>
      <c r="G23" s="198">
        <f>'NKC2'!K35*100</f>
        <v>0</v>
      </c>
      <c r="H23" s="198">
        <f>'NKC2'!L35*100</f>
        <v>0</v>
      </c>
      <c r="I23" s="198">
        <f>'NKC2'!M35*100</f>
        <v>0</v>
      </c>
      <c r="J23" s="198">
        <f>'NKC2'!N35*100</f>
        <v>0</v>
      </c>
      <c r="K23" s="198">
        <f>'NKC2'!O35*100</f>
        <v>0</v>
      </c>
      <c r="L23" s="198">
        <f>'NKC2'!P35*100</f>
        <v>0</v>
      </c>
      <c r="M23" s="198">
        <f>'NKC2'!Q35*100</f>
        <v>0</v>
      </c>
      <c r="N23" s="198">
        <f>'NKC2'!R35*100</f>
        <v>0</v>
      </c>
      <c r="O23" s="198">
        <f>'NKC2'!S35*100</f>
        <v>0</v>
      </c>
      <c r="P23" s="198">
        <f>'NKC2'!T35*100</f>
        <v>0</v>
      </c>
      <c r="Q23" s="198">
        <f>'NKC2'!U35*100</f>
        <v>0</v>
      </c>
      <c r="R23" s="198">
        <f>'NKC2'!V35*100</f>
        <v>0</v>
      </c>
      <c r="S23" s="198">
        <f>'NKC2'!W35*100</f>
        <v>0</v>
      </c>
      <c r="T23" s="198">
        <f>'NKC2'!X35*100</f>
        <v>0</v>
      </c>
      <c r="U23" s="198">
        <f>'NKC2'!Y35*100</f>
        <v>0</v>
      </c>
      <c r="V23" s="198">
        <f>'NKC2'!Z35*100</f>
        <v>0</v>
      </c>
      <c r="W23" s="198">
        <f>'NKC2'!AA35*100</f>
        <v>0</v>
      </c>
      <c r="X23" s="198">
        <f>'NKC2'!AB35*100</f>
        <v>0</v>
      </c>
      <c r="Y23" s="198">
        <f>'NKC2'!AC35*100</f>
        <v>0</v>
      </c>
      <c r="Z23" s="198">
        <f>'NKC2'!AD35*100</f>
        <v>0</v>
      </c>
      <c r="AA23" s="198">
        <f>'NKC2'!AE35*100</f>
        <v>0</v>
      </c>
      <c r="AB23" s="198">
        <f>'NKC2'!AF35*100</f>
        <v>0</v>
      </c>
      <c r="AC23" s="198">
        <f>'NKC2'!AG35*100</f>
        <v>0</v>
      </c>
      <c r="AD23" s="198">
        <f>'NKC2'!AH35*100</f>
        <v>0</v>
      </c>
      <c r="AE23" s="198">
        <f>'NKC2'!AI35*100</f>
        <v>0</v>
      </c>
      <c r="AF23" s="198">
        <f>'NKC2'!AJ35*100</f>
        <v>0</v>
      </c>
      <c r="AG23" s="198">
        <f>'NKC2'!AK35*100</f>
        <v>0</v>
      </c>
      <c r="AH23" s="198">
        <f>'NKC2'!AL35*100</f>
        <v>0</v>
      </c>
      <c r="AI23" s="198">
        <f>'NKC2'!AM35*100</f>
        <v>0</v>
      </c>
      <c r="AJ23" s="198">
        <f>'NKC2'!AN35*100</f>
        <v>0</v>
      </c>
      <c r="AK23" s="198">
        <f>'NKC2'!AO35*100</f>
        <v>0</v>
      </c>
      <c r="AL23" s="198">
        <f>'NKC2'!AP35*100</f>
        <v>0</v>
      </c>
      <c r="AM23" s="198">
        <f>'NKC2'!AQ35*100</f>
        <v>0</v>
      </c>
      <c r="AN23" s="198">
        <f>'NKC2'!AR35*100</f>
        <v>0</v>
      </c>
      <c r="AO23" s="198">
        <f>'NKC2'!AS35*100</f>
        <v>0</v>
      </c>
      <c r="AP23" s="198">
        <f>'NKC2'!AT35*100</f>
        <v>0</v>
      </c>
      <c r="AQ23" s="198">
        <f>'NKC2'!AU35*100</f>
        <v>0</v>
      </c>
      <c r="AR23" s="198">
        <f>'NKC2'!AV35*100</f>
        <v>0</v>
      </c>
      <c r="AS23" s="198">
        <f>'NKC2'!AW35*100</f>
        <v>0</v>
      </c>
      <c r="AT23" s="198">
        <f>'NKC2'!AX35*100</f>
        <v>0</v>
      </c>
      <c r="AU23" s="198">
        <f>'NKC2'!AY35*100</f>
        <v>0</v>
      </c>
      <c r="AV23" s="198">
        <f>'NKC2'!AZ35*100</f>
        <v>0</v>
      </c>
      <c r="AW23" s="198">
        <f>'NKC2'!BA35*100</f>
        <v>0</v>
      </c>
      <c r="AX23" s="198">
        <f>'NKC2'!BB35*100</f>
        <v>0</v>
      </c>
      <c r="AY23" s="198">
        <f>'NKC2'!BC35*100</f>
        <v>0</v>
      </c>
      <c r="AZ23" s="198">
        <f>'NKC2'!BD35*100</f>
        <v>0</v>
      </c>
      <c r="BA23" s="198">
        <f>'NKC2'!BE35*100</f>
        <v>0</v>
      </c>
      <c r="BB23" s="198">
        <f>'NKC2'!BF35*100</f>
        <v>0</v>
      </c>
      <c r="BC23" s="198">
        <f>'NKC2'!BG35*100</f>
        <v>0</v>
      </c>
      <c r="BD23" s="198">
        <f>'NKC2'!BH35*100</f>
        <v>0</v>
      </c>
      <c r="BE23" s="198">
        <f>'NKC2'!BI35*100</f>
        <v>0</v>
      </c>
      <c r="BF23" s="198">
        <f>'NKC2'!BJ35*100</f>
        <v>0</v>
      </c>
      <c r="BG23" s="198">
        <f>'NKC2'!BK35*100</f>
        <v>0</v>
      </c>
      <c r="BH23" s="198">
        <f>'NKC2'!BL35*100</f>
        <v>0</v>
      </c>
      <c r="BI23" s="198">
        <f>'NKC2'!BM35*100</f>
        <v>0</v>
      </c>
      <c r="BJ23" s="198">
        <f>'NKC2'!BN35*100</f>
        <v>0</v>
      </c>
      <c r="BK23" s="198">
        <f>'NKC2'!BO35*100</f>
        <v>0</v>
      </c>
      <c r="BL23" s="198">
        <f>'NKC2'!BP35*100</f>
        <v>0</v>
      </c>
      <c r="BM23" s="198">
        <f>'NKC2'!BQ35*100</f>
        <v>0</v>
      </c>
      <c r="BN23" s="198">
        <f>'NKC2'!BR35*100</f>
        <v>0</v>
      </c>
      <c r="BO23" s="198">
        <f>'NKC2'!BS35*100</f>
        <v>0</v>
      </c>
      <c r="BP23" s="198">
        <f>'NKC2'!BT35*100</f>
        <v>0</v>
      </c>
      <c r="BQ23" s="198">
        <f>'NKC2'!BU35*100</f>
        <v>0</v>
      </c>
      <c r="BR23" s="198">
        <f>'NKC2'!BV35*100</f>
        <v>0</v>
      </c>
      <c r="BS23" s="198">
        <f>'NKC2'!BW35*100</f>
        <v>0</v>
      </c>
      <c r="BT23" s="198">
        <f>'NKC2'!BX35*100</f>
        <v>0</v>
      </c>
      <c r="BU23" s="198">
        <f>'NKC2'!BY35*100</f>
        <v>0</v>
      </c>
      <c r="BV23" s="198">
        <f>'NKC2'!BZ35*100</f>
        <v>0</v>
      </c>
      <c r="BW23" s="198">
        <f>'NKC2'!CA35*100</f>
        <v>0</v>
      </c>
      <c r="BX23" s="198">
        <f>'NKC2'!CB35*100</f>
        <v>0</v>
      </c>
      <c r="BY23" s="198">
        <f>'NKC2'!CC35*100</f>
        <v>0</v>
      </c>
      <c r="BZ23" s="198">
        <f>'NKC2'!CD35*100</f>
        <v>0</v>
      </c>
      <c r="CA23" s="198">
        <f>'NKC2'!CE35*100</f>
        <v>0</v>
      </c>
      <c r="CB23" s="198">
        <f>'NKC2'!CF35*100</f>
        <v>0</v>
      </c>
      <c r="CC23" s="198">
        <f>'NKC2'!CG35*100</f>
        <v>0</v>
      </c>
      <c r="CD23" s="198">
        <f>'NKC2'!CH35*100</f>
        <v>0</v>
      </c>
      <c r="CE23" s="198">
        <f>'NKC2'!CI35*100</f>
        <v>0</v>
      </c>
      <c r="CF23" s="198">
        <f>'NKC2'!CJ35*100</f>
        <v>0</v>
      </c>
      <c r="CG23" s="198">
        <f>'NKC2'!CK35*100</f>
        <v>0</v>
      </c>
      <c r="CH23" s="198">
        <f>'NKC2'!CL35*100</f>
        <v>0</v>
      </c>
      <c r="CI23" s="198">
        <f>'NKC2'!CM35*100</f>
        <v>0</v>
      </c>
    </row>
    <row r="24" spans="1:87" x14ac:dyDescent="0.45">
      <c r="A24" s="403" t="str">
        <f>'NKC2'!B36</f>
        <v>1.2.9</v>
      </c>
      <c r="B24" s="403" t="str">
        <f>'NKC2'!D36</f>
        <v xml:space="preserve">         งานโครงสร้างถังบำบัดน้ำเสีย ( GL.23-28 / A )</v>
      </c>
      <c r="C24" s="404">
        <f>'NKC2'!F36</f>
        <v>213666.42749999999</v>
      </c>
      <c r="D24" s="407" t="str">
        <f>'NKC2'!G34</f>
        <v>P</v>
      </c>
      <c r="E24" s="405">
        <f>'NKC2'!H36*100</f>
        <v>100</v>
      </c>
      <c r="F24" s="405">
        <f>'NKC2'!J36*100</f>
        <v>0</v>
      </c>
      <c r="G24" s="405">
        <f>'NKC2'!K36*100</f>
        <v>0</v>
      </c>
      <c r="H24" s="405">
        <f>'NKC2'!L36*100</f>
        <v>0</v>
      </c>
      <c r="I24" s="405">
        <f>'NKC2'!M36*100</f>
        <v>0</v>
      </c>
      <c r="J24" s="405">
        <f>'NKC2'!N36*100</f>
        <v>0</v>
      </c>
      <c r="K24" s="405">
        <f>'NKC2'!O36*100</f>
        <v>0</v>
      </c>
      <c r="L24" s="405">
        <f>'NKC2'!P36*100</f>
        <v>0</v>
      </c>
      <c r="M24" s="405">
        <f>'NKC2'!Q36*100</f>
        <v>0</v>
      </c>
      <c r="N24" s="405">
        <f>'NKC2'!R36*100</f>
        <v>0</v>
      </c>
      <c r="O24" s="405">
        <f>'NKC2'!S36*100</f>
        <v>0</v>
      </c>
      <c r="P24" s="405">
        <f>'NKC2'!T36*100</f>
        <v>0</v>
      </c>
      <c r="Q24" s="405">
        <f>'NKC2'!U36*100</f>
        <v>0</v>
      </c>
      <c r="R24" s="405">
        <f>'NKC2'!V36*100</f>
        <v>0</v>
      </c>
      <c r="S24" s="405">
        <f>'NKC2'!W36*100</f>
        <v>0</v>
      </c>
      <c r="T24" s="405">
        <f>'NKC2'!X36*100</f>
        <v>10</v>
      </c>
      <c r="U24" s="405">
        <f>'NKC2'!Y36*100</f>
        <v>10</v>
      </c>
      <c r="V24" s="405">
        <f>'NKC2'!Z36*100</f>
        <v>20</v>
      </c>
      <c r="W24" s="405">
        <f>'NKC2'!AA36*100</f>
        <v>40</v>
      </c>
      <c r="X24" s="405">
        <f>'NKC2'!AB36*100</f>
        <v>20</v>
      </c>
      <c r="Y24" s="405">
        <f>'NKC2'!AC36*100</f>
        <v>0</v>
      </c>
      <c r="Z24" s="405">
        <f>'NKC2'!AD36*100</f>
        <v>0</v>
      </c>
      <c r="AA24" s="405">
        <f>'NKC2'!AE36*100</f>
        <v>0</v>
      </c>
      <c r="AB24" s="405">
        <f>'NKC2'!AF36*100</f>
        <v>0</v>
      </c>
      <c r="AC24" s="405">
        <f>'NKC2'!AG36*100</f>
        <v>0</v>
      </c>
      <c r="AD24" s="405">
        <f>'NKC2'!AH36*100</f>
        <v>0</v>
      </c>
      <c r="AE24" s="405">
        <f>'NKC2'!AI36*100</f>
        <v>0</v>
      </c>
      <c r="AF24" s="405">
        <f>'NKC2'!AJ36*100</f>
        <v>0</v>
      </c>
      <c r="AG24" s="405">
        <f>'NKC2'!AK36*100</f>
        <v>0</v>
      </c>
      <c r="AH24" s="405">
        <f>'NKC2'!AL36*100</f>
        <v>0</v>
      </c>
      <c r="AI24" s="405">
        <f>'NKC2'!AM36*100</f>
        <v>0</v>
      </c>
      <c r="AJ24" s="405">
        <f>'NKC2'!AN36*100</f>
        <v>0</v>
      </c>
      <c r="AK24" s="405">
        <f>'NKC2'!AO36*100</f>
        <v>0</v>
      </c>
      <c r="AL24" s="405">
        <f>'NKC2'!AP36*100</f>
        <v>0</v>
      </c>
      <c r="AM24" s="405">
        <f>'NKC2'!AQ36*100</f>
        <v>0</v>
      </c>
      <c r="AN24" s="405">
        <f>'NKC2'!AR36*100</f>
        <v>0</v>
      </c>
      <c r="AO24" s="405">
        <f>'NKC2'!AS36*100</f>
        <v>0</v>
      </c>
      <c r="AP24" s="405">
        <f>'NKC2'!AT36*100</f>
        <v>0</v>
      </c>
      <c r="AQ24" s="405">
        <f>'NKC2'!AU36*100</f>
        <v>0</v>
      </c>
      <c r="AR24" s="405">
        <f>'NKC2'!AV36*100</f>
        <v>0</v>
      </c>
      <c r="AS24" s="405">
        <f>'NKC2'!AW36*100</f>
        <v>0</v>
      </c>
      <c r="AT24" s="405">
        <f>'NKC2'!AX36*100</f>
        <v>0</v>
      </c>
      <c r="AU24" s="405">
        <f>'NKC2'!AY36*100</f>
        <v>0</v>
      </c>
      <c r="AV24" s="405">
        <f>'NKC2'!AZ36*100</f>
        <v>0</v>
      </c>
      <c r="AW24" s="405">
        <f>'NKC2'!BA36*100</f>
        <v>0</v>
      </c>
      <c r="AX24" s="405">
        <f>'NKC2'!BB36*100</f>
        <v>0</v>
      </c>
      <c r="AY24" s="405">
        <f>'NKC2'!BC36*100</f>
        <v>0</v>
      </c>
      <c r="AZ24" s="405">
        <f>'NKC2'!BD36*100</f>
        <v>0</v>
      </c>
      <c r="BA24" s="405">
        <f>'NKC2'!BE36*100</f>
        <v>0</v>
      </c>
      <c r="BB24" s="405">
        <f>'NKC2'!BF36*100</f>
        <v>0</v>
      </c>
      <c r="BC24" s="405">
        <f>'NKC2'!BG36*100</f>
        <v>0</v>
      </c>
      <c r="BD24" s="405">
        <f>'NKC2'!BH36*100</f>
        <v>0</v>
      </c>
      <c r="BE24" s="405">
        <f>'NKC2'!BI36*100</f>
        <v>0</v>
      </c>
      <c r="BF24" s="405">
        <f>'NKC2'!BJ36*100</f>
        <v>0</v>
      </c>
      <c r="BG24" s="405">
        <f>'NKC2'!BK36*100</f>
        <v>0</v>
      </c>
      <c r="BH24" s="405">
        <f>'NKC2'!BL36*100</f>
        <v>0</v>
      </c>
      <c r="BI24" s="405">
        <f>'NKC2'!BM36*100</f>
        <v>0</v>
      </c>
      <c r="BJ24" s="405">
        <f>'NKC2'!BN36*100</f>
        <v>0</v>
      </c>
      <c r="BK24" s="405">
        <f>'NKC2'!BO36*100</f>
        <v>0</v>
      </c>
      <c r="BL24" s="405">
        <f>'NKC2'!BP36*100</f>
        <v>0</v>
      </c>
      <c r="BM24" s="405">
        <f>'NKC2'!BQ36*100</f>
        <v>0</v>
      </c>
      <c r="BN24" s="405">
        <f>'NKC2'!BR36*100</f>
        <v>0</v>
      </c>
      <c r="BO24" s="405">
        <f>'NKC2'!BS36*100</f>
        <v>0</v>
      </c>
      <c r="BP24" s="405">
        <f>'NKC2'!BT36*100</f>
        <v>0</v>
      </c>
      <c r="BQ24" s="405">
        <f>'NKC2'!BU36*100</f>
        <v>0</v>
      </c>
      <c r="BR24" s="405">
        <f>'NKC2'!BV36*100</f>
        <v>0</v>
      </c>
      <c r="BS24" s="405">
        <f>'NKC2'!BW36*100</f>
        <v>0</v>
      </c>
      <c r="BT24" s="405">
        <f>'NKC2'!BX36*100</f>
        <v>0</v>
      </c>
      <c r="BU24" s="405">
        <f>'NKC2'!BY36*100</f>
        <v>0</v>
      </c>
      <c r="BV24" s="405">
        <f>'NKC2'!BZ36*100</f>
        <v>0</v>
      </c>
      <c r="BW24" s="405">
        <f>'NKC2'!CA36*100</f>
        <v>0</v>
      </c>
      <c r="BX24" s="405">
        <f>'NKC2'!CB36*100</f>
        <v>0</v>
      </c>
      <c r="BY24" s="405">
        <f>'NKC2'!CC36*100</f>
        <v>0</v>
      </c>
      <c r="BZ24" s="405">
        <f>'NKC2'!CD36*100</f>
        <v>0</v>
      </c>
      <c r="CA24" s="405">
        <f>'NKC2'!CE36*100</f>
        <v>0</v>
      </c>
      <c r="CB24" s="405">
        <f>'NKC2'!CF36*100</f>
        <v>0</v>
      </c>
      <c r="CC24" s="405">
        <f>'NKC2'!CG36*100</f>
        <v>0</v>
      </c>
      <c r="CD24" s="405">
        <f>'NKC2'!CH36*100</f>
        <v>0</v>
      </c>
      <c r="CE24" s="405">
        <f>'NKC2'!CI36*100</f>
        <v>0</v>
      </c>
      <c r="CF24" s="405">
        <f>'NKC2'!CJ36*100</f>
        <v>0</v>
      </c>
      <c r="CG24" s="405">
        <f>'NKC2'!CK36*100</f>
        <v>0</v>
      </c>
      <c r="CH24" s="405">
        <f>'NKC2'!CL36*100</f>
        <v>0</v>
      </c>
      <c r="CI24" s="405">
        <f>'NKC2'!CM36*100</f>
        <v>0</v>
      </c>
    </row>
    <row r="25" spans="1:87" x14ac:dyDescent="0.45">
      <c r="A25" t="str">
        <f>'NKC2'!B37</f>
        <v>1.2.9</v>
      </c>
      <c r="B25" t="str">
        <f>'NKC2'!D37</f>
        <v xml:space="preserve">         งานโครงสร้างถังบำบัดน้ำเสีย ( GL.23-28 / A )</v>
      </c>
      <c r="C25" s="193">
        <f>'NKC2'!F37</f>
        <v>213666.42749999999</v>
      </c>
      <c r="D25" s="140" t="str">
        <f>'NKC2'!G35</f>
        <v>A</v>
      </c>
      <c r="E25" s="198">
        <f>'NKC2'!H37*100</f>
        <v>0</v>
      </c>
      <c r="F25" s="198">
        <f>'NKC2'!J37*100</f>
        <v>0</v>
      </c>
      <c r="G25" s="198">
        <f>'NKC2'!K37*100</f>
        <v>0</v>
      </c>
      <c r="H25" s="198">
        <f>'NKC2'!L37*100</f>
        <v>0</v>
      </c>
      <c r="I25" s="198">
        <f>'NKC2'!M37*100</f>
        <v>0</v>
      </c>
      <c r="J25" s="198">
        <f>'NKC2'!N37*100</f>
        <v>0</v>
      </c>
      <c r="K25" s="198">
        <f>'NKC2'!O37*100</f>
        <v>0</v>
      </c>
      <c r="L25" s="198">
        <f>'NKC2'!P37*100</f>
        <v>0</v>
      </c>
      <c r="M25" s="198">
        <f>'NKC2'!Q37*100</f>
        <v>0</v>
      </c>
      <c r="N25" s="198">
        <f>'NKC2'!R37*100</f>
        <v>0</v>
      </c>
      <c r="O25" s="198">
        <f>'NKC2'!S37*100</f>
        <v>0</v>
      </c>
      <c r="P25" s="198">
        <f>'NKC2'!T37*100</f>
        <v>0</v>
      </c>
      <c r="Q25" s="198">
        <f>'NKC2'!U37*100</f>
        <v>0</v>
      </c>
      <c r="R25" s="198">
        <f>'NKC2'!V37*100</f>
        <v>0</v>
      </c>
      <c r="S25" s="198">
        <f>'NKC2'!W37*100</f>
        <v>0</v>
      </c>
      <c r="T25" s="198">
        <f>'NKC2'!X37*100</f>
        <v>0</v>
      </c>
      <c r="U25" s="198">
        <f>'NKC2'!Y37*100</f>
        <v>0</v>
      </c>
      <c r="V25" s="198">
        <f>'NKC2'!Z37*100</f>
        <v>0</v>
      </c>
      <c r="W25" s="198">
        <f>'NKC2'!AA37*100</f>
        <v>0</v>
      </c>
      <c r="X25" s="198">
        <f>'NKC2'!AB37*100</f>
        <v>0</v>
      </c>
      <c r="Y25" s="198">
        <f>'NKC2'!AC37*100</f>
        <v>0</v>
      </c>
      <c r="Z25" s="198">
        <f>'NKC2'!AD37*100</f>
        <v>0</v>
      </c>
      <c r="AA25" s="198">
        <f>'NKC2'!AE37*100</f>
        <v>0</v>
      </c>
      <c r="AB25" s="198">
        <f>'NKC2'!AF37*100</f>
        <v>0</v>
      </c>
      <c r="AC25" s="198">
        <f>'NKC2'!AG37*100</f>
        <v>0</v>
      </c>
      <c r="AD25" s="198">
        <f>'NKC2'!AH37*100</f>
        <v>0</v>
      </c>
      <c r="AE25" s="198">
        <f>'NKC2'!AI37*100</f>
        <v>0</v>
      </c>
      <c r="AF25" s="198">
        <f>'NKC2'!AJ37*100</f>
        <v>0</v>
      </c>
      <c r="AG25" s="198">
        <f>'NKC2'!AK37*100</f>
        <v>0</v>
      </c>
      <c r="AH25" s="198">
        <f>'NKC2'!AL37*100</f>
        <v>0</v>
      </c>
      <c r="AI25" s="198">
        <f>'NKC2'!AM37*100</f>
        <v>0</v>
      </c>
      <c r="AJ25" s="198">
        <f>'NKC2'!AN37*100</f>
        <v>0</v>
      </c>
      <c r="AK25" s="198">
        <f>'NKC2'!AO37*100</f>
        <v>0</v>
      </c>
      <c r="AL25" s="198">
        <f>'NKC2'!AP37*100</f>
        <v>0</v>
      </c>
      <c r="AM25" s="198">
        <f>'NKC2'!AQ37*100</f>
        <v>0</v>
      </c>
      <c r="AN25" s="198">
        <f>'NKC2'!AR37*100</f>
        <v>0</v>
      </c>
      <c r="AO25" s="198">
        <f>'NKC2'!AS37*100</f>
        <v>0</v>
      </c>
      <c r="AP25" s="198">
        <f>'NKC2'!AT37*100</f>
        <v>0</v>
      </c>
      <c r="AQ25" s="198">
        <f>'NKC2'!AU37*100</f>
        <v>0</v>
      </c>
      <c r="AR25" s="198">
        <f>'NKC2'!AV37*100</f>
        <v>0</v>
      </c>
      <c r="AS25" s="198">
        <f>'NKC2'!AW37*100</f>
        <v>0</v>
      </c>
      <c r="AT25" s="198">
        <f>'NKC2'!AX37*100</f>
        <v>0</v>
      </c>
      <c r="AU25" s="198">
        <f>'NKC2'!AY37*100</f>
        <v>0</v>
      </c>
      <c r="AV25" s="198">
        <f>'NKC2'!AZ37*100</f>
        <v>0</v>
      </c>
      <c r="AW25" s="198">
        <f>'NKC2'!BA37*100</f>
        <v>0</v>
      </c>
      <c r="AX25" s="198">
        <f>'NKC2'!BB37*100</f>
        <v>0</v>
      </c>
      <c r="AY25" s="198">
        <f>'NKC2'!BC37*100</f>
        <v>0</v>
      </c>
      <c r="AZ25" s="198">
        <f>'NKC2'!BD37*100</f>
        <v>0</v>
      </c>
      <c r="BA25" s="198">
        <f>'NKC2'!BE37*100</f>
        <v>0</v>
      </c>
      <c r="BB25" s="198">
        <f>'NKC2'!BF37*100</f>
        <v>0</v>
      </c>
      <c r="BC25" s="198">
        <f>'NKC2'!BG37*100</f>
        <v>0</v>
      </c>
      <c r="BD25" s="198">
        <f>'NKC2'!BH37*100</f>
        <v>0</v>
      </c>
      <c r="BE25" s="198">
        <f>'NKC2'!BI37*100</f>
        <v>0</v>
      </c>
      <c r="BF25" s="198">
        <f>'NKC2'!BJ37*100</f>
        <v>0</v>
      </c>
      <c r="BG25" s="198">
        <f>'NKC2'!BK37*100</f>
        <v>0</v>
      </c>
      <c r="BH25" s="198">
        <f>'NKC2'!BL37*100</f>
        <v>0</v>
      </c>
      <c r="BI25" s="198">
        <f>'NKC2'!BM37*100</f>
        <v>0</v>
      </c>
      <c r="BJ25" s="198">
        <f>'NKC2'!BN37*100</f>
        <v>0</v>
      </c>
      <c r="BK25" s="198">
        <f>'NKC2'!BO37*100</f>
        <v>0</v>
      </c>
      <c r="BL25" s="198">
        <f>'NKC2'!BP37*100</f>
        <v>0</v>
      </c>
      <c r="BM25" s="198">
        <f>'NKC2'!BQ37*100</f>
        <v>0</v>
      </c>
      <c r="BN25" s="198">
        <f>'NKC2'!BR37*100</f>
        <v>0</v>
      </c>
      <c r="BO25" s="198">
        <f>'NKC2'!BS37*100</f>
        <v>0</v>
      </c>
      <c r="BP25" s="198">
        <f>'NKC2'!BT37*100</f>
        <v>0</v>
      </c>
      <c r="BQ25" s="198">
        <f>'NKC2'!BU37*100</f>
        <v>0</v>
      </c>
      <c r="BR25" s="198">
        <f>'NKC2'!BV37*100</f>
        <v>0</v>
      </c>
      <c r="BS25" s="198">
        <f>'NKC2'!BW37*100</f>
        <v>0</v>
      </c>
      <c r="BT25" s="198">
        <f>'NKC2'!BX37*100</f>
        <v>0</v>
      </c>
      <c r="BU25" s="198">
        <f>'NKC2'!BY37*100</f>
        <v>0</v>
      </c>
      <c r="BV25" s="198">
        <f>'NKC2'!BZ37*100</f>
        <v>0</v>
      </c>
      <c r="BW25" s="198">
        <f>'NKC2'!CA37*100</f>
        <v>0</v>
      </c>
      <c r="BX25" s="198">
        <f>'NKC2'!CB37*100</f>
        <v>0</v>
      </c>
      <c r="BY25" s="198">
        <f>'NKC2'!CC37*100</f>
        <v>0</v>
      </c>
      <c r="BZ25" s="198">
        <f>'NKC2'!CD37*100</f>
        <v>0</v>
      </c>
      <c r="CA25" s="198">
        <f>'NKC2'!CE37*100</f>
        <v>0</v>
      </c>
      <c r="CB25" s="198">
        <f>'NKC2'!CF37*100</f>
        <v>0</v>
      </c>
      <c r="CC25" s="198">
        <f>'NKC2'!CG37*100</f>
        <v>0</v>
      </c>
      <c r="CD25" s="198">
        <f>'NKC2'!CH37*100</f>
        <v>0</v>
      </c>
      <c r="CE25" s="198">
        <f>'NKC2'!CI37*100</f>
        <v>0</v>
      </c>
      <c r="CF25" s="198">
        <f>'NKC2'!CJ37*100</f>
        <v>0</v>
      </c>
      <c r="CG25" s="198">
        <f>'NKC2'!CK37*100</f>
        <v>0</v>
      </c>
      <c r="CH25" s="198">
        <f>'NKC2'!CL37*100</f>
        <v>0</v>
      </c>
      <c r="CI25" s="198">
        <f>'NKC2'!CM37*100</f>
        <v>0</v>
      </c>
    </row>
    <row r="26" spans="1:87" x14ac:dyDescent="0.45">
      <c r="A26" s="403" t="str">
        <f>'NKC2'!B38</f>
        <v>1.2.10</v>
      </c>
      <c r="B26" s="403" t="str">
        <f>'NKC2'!D38</f>
        <v xml:space="preserve">         งานโครงสร้างถังดักไขมัน ( GL.19-21 / A )</v>
      </c>
      <c r="C26" s="404">
        <f>'NKC2'!F38</f>
        <v>59959.247600000002</v>
      </c>
      <c r="D26" s="407" t="str">
        <f>'NKC2'!G36</f>
        <v>P</v>
      </c>
      <c r="E26" s="405">
        <f>'NKC2'!H38*100</f>
        <v>100</v>
      </c>
      <c r="F26" s="405">
        <f>'NKC2'!J38*100</f>
        <v>0</v>
      </c>
      <c r="G26" s="405">
        <f>'NKC2'!K38*100</f>
        <v>0</v>
      </c>
      <c r="H26" s="405">
        <f>'NKC2'!L38*100</f>
        <v>0</v>
      </c>
      <c r="I26" s="405">
        <f>'NKC2'!M38*100</f>
        <v>0</v>
      </c>
      <c r="J26" s="405">
        <f>'NKC2'!N38*100</f>
        <v>0</v>
      </c>
      <c r="K26" s="405">
        <f>'NKC2'!O38*100</f>
        <v>0</v>
      </c>
      <c r="L26" s="405">
        <f>'NKC2'!P38*100</f>
        <v>0</v>
      </c>
      <c r="M26" s="405">
        <f>'NKC2'!Q38*100</f>
        <v>0</v>
      </c>
      <c r="N26" s="405">
        <f>'NKC2'!R38*100</f>
        <v>0</v>
      </c>
      <c r="O26" s="405">
        <f>'NKC2'!S38*100</f>
        <v>0</v>
      </c>
      <c r="P26" s="405">
        <f>'NKC2'!T38*100</f>
        <v>0</v>
      </c>
      <c r="Q26" s="405">
        <f>'NKC2'!U38*100</f>
        <v>0</v>
      </c>
      <c r="R26" s="405">
        <f>'NKC2'!V38*100</f>
        <v>0</v>
      </c>
      <c r="S26" s="405">
        <f>'NKC2'!W38*100</f>
        <v>0</v>
      </c>
      <c r="T26" s="405">
        <f>'NKC2'!X38*100</f>
        <v>0</v>
      </c>
      <c r="U26" s="405">
        <f>'NKC2'!Y38*100</f>
        <v>0</v>
      </c>
      <c r="V26" s="405">
        <f>'NKC2'!Z38*100</f>
        <v>0</v>
      </c>
      <c r="W26" s="405">
        <f>'NKC2'!AA38*100</f>
        <v>0</v>
      </c>
      <c r="X26" s="405">
        <f>'NKC2'!AB38*100</f>
        <v>0</v>
      </c>
      <c r="Y26" s="405">
        <f>'NKC2'!AC38*100</f>
        <v>25</v>
      </c>
      <c r="Z26" s="405">
        <f>'NKC2'!AD38*100</f>
        <v>40</v>
      </c>
      <c r="AA26" s="405">
        <f>'NKC2'!AE38*100</f>
        <v>35</v>
      </c>
      <c r="AB26" s="405">
        <f>'NKC2'!AF38*100</f>
        <v>0</v>
      </c>
      <c r="AC26" s="405">
        <f>'NKC2'!AG38*100</f>
        <v>0</v>
      </c>
      <c r="AD26" s="405">
        <f>'NKC2'!AH38*100</f>
        <v>0</v>
      </c>
      <c r="AE26" s="405">
        <f>'NKC2'!AI38*100</f>
        <v>0</v>
      </c>
      <c r="AF26" s="405">
        <f>'NKC2'!AJ38*100</f>
        <v>0</v>
      </c>
      <c r="AG26" s="405">
        <f>'NKC2'!AK38*100</f>
        <v>0</v>
      </c>
      <c r="AH26" s="405">
        <f>'NKC2'!AL38*100</f>
        <v>0</v>
      </c>
      <c r="AI26" s="405">
        <f>'NKC2'!AM38*100</f>
        <v>0</v>
      </c>
      <c r="AJ26" s="405">
        <f>'NKC2'!AN38*100</f>
        <v>0</v>
      </c>
      <c r="AK26" s="405">
        <f>'NKC2'!AO38*100</f>
        <v>0</v>
      </c>
      <c r="AL26" s="405">
        <f>'NKC2'!AP38*100</f>
        <v>0</v>
      </c>
      <c r="AM26" s="405">
        <f>'NKC2'!AQ38*100</f>
        <v>0</v>
      </c>
      <c r="AN26" s="405">
        <f>'NKC2'!AR38*100</f>
        <v>0</v>
      </c>
      <c r="AO26" s="405">
        <f>'NKC2'!AS38*100</f>
        <v>0</v>
      </c>
      <c r="AP26" s="405">
        <f>'NKC2'!AT38*100</f>
        <v>0</v>
      </c>
      <c r="AQ26" s="405">
        <f>'NKC2'!AU38*100</f>
        <v>0</v>
      </c>
      <c r="AR26" s="405">
        <f>'NKC2'!AV38*100</f>
        <v>0</v>
      </c>
      <c r="AS26" s="405">
        <f>'NKC2'!AW38*100</f>
        <v>0</v>
      </c>
      <c r="AT26" s="405">
        <f>'NKC2'!AX38*100</f>
        <v>0</v>
      </c>
      <c r="AU26" s="405">
        <f>'NKC2'!AY38*100</f>
        <v>0</v>
      </c>
      <c r="AV26" s="405">
        <f>'NKC2'!AZ38*100</f>
        <v>0</v>
      </c>
      <c r="AW26" s="405">
        <f>'NKC2'!BA38*100</f>
        <v>0</v>
      </c>
      <c r="AX26" s="405">
        <f>'NKC2'!BB38*100</f>
        <v>0</v>
      </c>
      <c r="AY26" s="405">
        <f>'NKC2'!BC38*100</f>
        <v>0</v>
      </c>
      <c r="AZ26" s="405">
        <f>'NKC2'!BD38*100</f>
        <v>0</v>
      </c>
      <c r="BA26" s="405">
        <f>'NKC2'!BE38*100</f>
        <v>0</v>
      </c>
      <c r="BB26" s="405">
        <f>'NKC2'!BF38*100</f>
        <v>0</v>
      </c>
      <c r="BC26" s="405">
        <f>'NKC2'!BG38*100</f>
        <v>0</v>
      </c>
      <c r="BD26" s="405">
        <f>'NKC2'!BH38*100</f>
        <v>0</v>
      </c>
      <c r="BE26" s="405">
        <f>'NKC2'!BI38*100</f>
        <v>0</v>
      </c>
      <c r="BF26" s="405">
        <f>'NKC2'!BJ38*100</f>
        <v>0</v>
      </c>
      <c r="BG26" s="405">
        <f>'NKC2'!BK38*100</f>
        <v>0</v>
      </c>
      <c r="BH26" s="405">
        <f>'NKC2'!BL38*100</f>
        <v>0</v>
      </c>
      <c r="BI26" s="405">
        <f>'NKC2'!BM38*100</f>
        <v>0</v>
      </c>
      <c r="BJ26" s="405">
        <f>'NKC2'!BN38*100</f>
        <v>0</v>
      </c>
      <c r="BK26" s="405">
        <f>'NKC2'!BO38*100</f>
        <v>0</v>
      </c>
      <c r="BL26" s="405">
        <f>'NKC2'!BP38*100</f>
        <v>0</v>
      </c>
      <c r="BM26" s="405">
        <f>'NKC2'!BQ38*100</f>
        <v>0</v>
      </c>
      <c r="BN26" s="405">
        <f>'NKC2'!BR38*100</f>
        <v>0</v>
      </c>
      <c r="BO26" s="405">
        <f>'NKC2'!BS38*100</f>
        <v>0</v>
      </c>
      <c r="BP26" s="405">
        <f>'NKC2'!BT38*100</f>
        <v>0</v>
      </c>
      <c r="BQ26" s="405">
        <f>'NKC2'!BU38*100</f>
        <v>0</v>
      </c>
      <c r="BR26" s="405">
        <f>'NKC2'!BV38*100</f>
        <v>0</v>
      </c>
      <c r="BS26" s="405">
        <f>'NKC2'!BW38*100</f>
        <v>0</v>
      </c>
      <c r="BT26" s="405">
        <f>'NKC2'!BX38*100</f>
        <v>0</v>
      </c>
      <c r="BU26" s="405">
        <f>'NKC2'!BY38*100</f>
        <v>0</v>
      </c>
      <c r="BV26" s="405">
        <f>'NKC2'!BZ38*100</f>
        <v>0</v>
      </c>
      <c r="BW26" s="405">
        <f>'NKC2'!CA38*100</f>
        <v>0</v>
      </c>
      <c r="BX26" s="405">
        <f>'NKC2'!CB38*100</f>
        <v>0</v>
      </c>
      <c r="BY26" s="405">
        <f>'NKC2'!CC38*100</f>
        <v>0</v>
      </c>
      <c r="BZ26" s="405">
        <f>'NKC2'!CD38*100</f>
        <v>0</v>
      </c>
      <c r="CA26" s="405">
        <f>'NKC2'!CE38*100</f>
        <v>0</v>
      </c>
      <c r="CB26" s="405">
        <f>'NKC2'!CF38*100</f>
        <v>0</v>
      </c>
      <c r="CC26" s="405">
        <f>'NKC2'!CG38*100</f>
        <v>0</v>
      </c>
      <c r="CD26" s="405">
        <f>'NKC2'!CH38*100</f>
        <v>0</v>
      </c>
      <c r="CE26" s="405">
        <f>'NKC2'!CI38*100</f>
        <v>0</v>
      </c>
      <c r="CF26" s="405">
        <f>'NKC2'!CJ38*100</f>
        <v>0</v>
      </c>
      <c r="CG26" s="405">
        <f>'NKC2'!CK38*100</f>
        <v>0</v>
      </c>
      <c r="CH26" s="405">
        <f>'NKC2'!CL38*100</f>
        <v>0</v>
      </c>
      <c r="CI26" s="405">
        <f>'NKC2'!CM38*100</f>
        <v>0</v>
      </c>
    </row>
    <row r="27" spans="1:87" x14ac:dyDescent="0.45">
      <c r="A27" t="str">
        <f>'NKC2'!B39</f>
        <v>1.2.10</v>
      </c>
      <c r="B27" t="str">
        <f>'NKC2'!D39</f>
        <v xml:space="preserve">         งานโครงสร้างถังดักไขมัน ( GL.19-21 / A )</v>
      </c>
      <c r="C27" s="193">
        <f>'NKC2'!F39</f>
        <v>59959.247600000002</v>
      </c>
      <c r="D27" s="140" t="str">
        <f>'NKC2'!G37</f>
        <v>A</v>
      </c>
      <c r="E27" s="198">
        <f>'NKC2'!H39*100</f>
        <v>0</v>
      </c>
      <c r="F27" s="198">
        <f>'NKC2'!J39*100</f>
        <v>0</v>
      </c>
      <c r="G27" s="198">
        <f>'NKC2'!K39*100</f>
        <v>0</v>
      </c>
      <c r="H27" s="198">
        <f>'NKC2'!L39*100</f>
        <v>0</v>
      </c>
      <c r="I27" s="198">
        <f>'NKC2'!M39*100</f>
        <v>0</v>
      </c>
      <c r="J27" s="198">
        <f>'NKC2'!N39*100</f>
        <v>0</v>
      </c>
      <c r="K27" s="198">
        <f>'NKC2'!O39*100</f>
        <v>0</v>
      </c>
      <c r="L27" s="198">
        <f>'NKC2'!P39*100</f>
        <v>0</v>
      </c>
      <c r="M27" s="198">
        <f>'NKC2'!Q39*100</f>
        <v>0</v>
      </c>
      <c r="N27" s="198">
        <f>'NKC2'!R39*100</f>
        <v>0</v>
      </c>
      <c r="O27" s="198">
        <f>'NKC2'!S39*100</f>
        <v>0</v>
      </c>
      <c r="P27" s="198">
        <f>'NKC2'!T39*100</f>
        <v>0</v>
      </c>
      <c r="Q27" s="198">
        <f>'NKC2'!U39*100</f>
        <v>0</v>
      </c>
      <c r="R27" s="198">
        <f>'NKC2'!V39*100</f>
        <v>0</v>
      </c>
      <c r="S27" s="198">
        <f>'NKC2'!W39*100</f>
        <v>0</v>
      </c>
      <c r="T27" s="198">
        <f>'NKC2'!X39*100</f>
        <v>0</v>
      </c>
      <c r="U27" s="198">
        <f>'NKC2'!Y39*100</f>
        <v>0</v>
      </c>
      <c r="V27" s="198">
        <f>'NKC2'!Z39*100</f>
        <v>0</v>
      </c>
      <c r="W27" s="198">
        <f>'NKC2'!AA39*100</f>
        <v>0</v>
      </c>
      <c r="X27" s="198">
        <f>'NKC2'!AB39*100</f>
        <v>0</v>
      </c>
      <c r="Y27" s="198">
        <f>'NKC2'!AC39*100</f>
        <v>0</v>
      </c>
      <c r="Z27" s="198">
        <f>'NKC2'!AD39*100</f>
        <v>0</v>
      </c>
      <c r="AA27" s="198">
        <f>'NKC2'!AE39*100</f>
        <v>0</v>
      </c>
      <c r="AB27" s="198">
        <f>'NKC2'!AF39*100</f>
        <v>0</v>
      </c>
      <c r="AC27" s="198">
        <f>'NKC2'!AG39*100</f>
        <v>0</v>
      </c>
      <c r="AD27" s="198">
        <f>'NKC2'!AH39*100</f>
        <v>0</v>
      </c>
      <c r="AE27" s="198">
        <f>'NKC2'!AI39*100</f>
        <v>0</v>
      </c>
      <c r="AF27" s="198">
        <f>'NKC2'!AJ39*100</f>
        <v>0</v>
      </c>
      <c r="AG27" s="198">
        <f>'NKC2'!AK39*100</f>
        <v>0</v>
      </c>
      <c r="AH27" s="198">
        <f>'NKC2'!AL39*100</f>
        <v>0</v>
      </c>
      <c r="AI27" s="198">
        <f>'NKC2'!AM39*100</f>
        <v>0</v>
      </c>
      <c r="AJ27" s="198">
        <f>'NKC2'!AN39*100</f>
        <v>0</v>
      </c>
      <c r="AK27" s="198">
        <f>'NKC2'!AO39*100</f>
        <v>0</v>
      </c>
      <c r="AL27" s="198">
        <f>'NKC2'!AP39*100</f>
        <v>0</v>
      </c>
      <c r="AM27" s="198">
        <f>'NKC2'!AQ39*100</f>
        <v>0</v>
      </c>
      <c r="AN27" s="198">
        <f>'NKC2'!AR39*100</f>
        <v>0</v>
      </c>
      <c r="AO27" s="198">
        <f>'NKC2'!AS39*100</f>
        <v>0</v>
      </c>
      <c r="AP27" s="198">
        <f>'NKC2'!AT39*100</f>
        <v>0</v>
      </c>
      <c r="AQ27" s="198">
        <f>'NKC2'!AU39*100</f>
        <v>0</v>
      </c>
      <c r="AR27" s="198">
        <f>'NKC2'!AV39*100</f>
        <v>0</v>
      </c>
      <c r="AS27" s="198">
        <f>'NKC2'!AW39*100</f>
        <v>0</v>
      </c>
      <c r="AT27" s="198">
        <f>'NKC2'!AX39*100</f>
        <v>0</v>
      </c>
      <c r="AU27" s="198">
        <f>'NKC2'!AY39*100</f>
        <v>0</v>
      </c>
      <c r="AV27" s="198">
        <f>'NKC2'!AZ39*100</f>
        <v>0</v>
      </c>
      <c r="AW27" s="198">
        <f>'NKC2'!BA39*100</f>
        <v>0</v>
      </c>
      <c r="AX27" s="198">
        <f>'NKC2'!BB39*100</f>
        <v>0</v>
      </c>
      <c r="AY27" s="198">
        <f>'NKC2'!BC39*100</f>
        <v>0</v>
      </c>
      <c r="AZ27" s="198">
        <f>'NKC2'!BD39*100</f>
        <v>0</v>
      </c>
      <c r="BA27" s="198">
        <f>'NKC2'!BE39*100</f>
        <v>0</v>
      </c>
      <c r="BB27" s="198">
        <f>'NKC2'!BF39*100</f>
        <v>0</v>
      </c>
      <c r="BC27" s="198">
        <f>'NKC2'!BG39*100</f>
        <v>0</v>
      </c>
      <c r="BD27" s="198">
        <f>'NKC2'!BH39*100</f>
        <v>0</v>
      </c>
      <c r="BE27" s="198">
        <f>'NKC2'!BI39*100</f>
        <v>0</v>
      </c>
      <c r="BF27" s="198">
        <f>'NKC2'!BJ39*100</f>
        <v>0</v>
      </c>
      <c r="BG27" s="198">
        <f>'NKC2'!BK39*100</f>
        <v>0</v>
      </c>
      <c r="BH27" s="198">
        <f>'NKC2'!BL39*100</f>
        <v>0</v>
      </c>
      <c r="BI27" s="198">
        <f>'NKC2'!BM39*100</f>
        <v>0</v>
      </c>
      <c r="BJ27" s="198">
        <f>'NKC2'!BN39*100</f>
        <v>0</v>
      </c>
      <c r="BK27" s="198">
        <f>'NKC2'!BO39*100</f>
        <v>0</v>
      </c>
      <c r="BL27" s="198">
        <f>'NKC2'!BP39*100</f>
        <v>0</v>
      </c>
      <c r="BM27" s="198">
        <f>'NKC2'!BQ39*100</f>
        <v>0</v>
      </c>
      <c r="BN27" s="198">
        <f>'NKC2'!BR39*100</f>
        <v>0</v>
      </c>
      <c r="BO27" s="198">
        <f>'NKC2'!BS39*100</f>
        <v>0</v>
      </c>
      <c r="BP27" s="198">
        <f>'NKC2'!BT39*100</f>
        <v>0</v>
      </c>
      <c r="BQ27" s="198">
        <f>'NKC2'!BU39*100</f>
        <v>0</v>
      </c>
      <c r="BR27" s="198">
        <f>'NKC2'!BV39*100</f>
        <v>0</v>
      </c>
      <c r="BS27" s="198">
        <f>'NKC2'!BW39*100</f>
        <v>0</v>
      </c>
      <c r="BT27" s="198">
        <f>'NKC2'!BX39*100</f>
        <v>0</v>
      </c>
      <c r="BU27" s="198">
        <f>'NKC2'!BY39*100</f>
        <v>0</v>
      </c>
      <c r="BV27" s="198">
        <f>'NKC2'!BZ39*100</f>
        <v>0</v>
      </c>
      <c r="BW27" s="198">
        <f>'NKC2'!CA39*100</f>
        <v>0</v>
      </c>
      <c r="BX27" s="198">
        <f>'NKC2'!CB39*100</f>
        <v>0</v>
      </c>
      <c r="BY27" s="198">
        <f>'NKC2'!CC39*100</f>
        <v>0</v>
      </c>
      <c r="BZ27" s="198">
        <f>'NKC2'!CD39*100</f>
        <v>0</v>
      </c>
      <c r="CA27" s="198">
        <f>'NKC2'!CE39*100</f>
        <v>0</v>
      </c>
      <c r="CB27" s="198">
        <f>'NKC2'!CF39*100</f>
        <v>0</v>
      </c>
      <c r="CC27" s="198">
        <f>'NKC2'!CG39*100</f>
        <v>0</v>
      </c>
      <c r="CD27" s="198">
        <f>'NKC2'!CH39*100</f>
        <v>0</v>
      </c>
      <c r="CE27" s="198">
        <f>'NKC2'!CI39*100</f>
        <v>0</v>
      </c>
      <c r="CF27" s="198">
        <f>'NKC2'!CJ39*100</f>
        <v>0</v>
      </c>
      <c r="CG27" s="198">
        <f>'NKC2'!CK39*100</f>
        <v>0</v>
      </c>
      <c r="CH27" s="198">
        <f>'NKC2'!CL39*100</f>
        <v>0</v>
      </c>
      <c r="CI27" s="198">
        <f>'NKC2'!CM39*100</f>
        <v>0</v>
      </c>
    </row>
    <row r="28" spans="1:87" x14ac:dyDescent="0.45">
      <c r="A28" s="403" t="str">
        <f>'NKC2'!B40</f>
        <v>1.2.11</v>
      </c>
      <c r="B28" s="403" t="str">
        <f>'NKC2'!D40</f>
        <v xml:space="preserve">         งานโครงสร้างฐานรากถังเก็บน้ำประปา ( GL.30-32 / A - B )</v>
      </c>
      <c r="C28" s="404">
        <f>'NKC2'!F40</f>
        <v>126322.7127</v>
      </c>
      <c r="D28" s="407" t="str">
        <f>'NKC2'!G38</f>
        <v>P</v>
      </c>
      <c r="E28" s="405">
        <f>'NKC2'!H40*100</f>
        <v>100</v>
      </c>
      <c r="F28" s="405">
        <f>'NKC2'!J40*100</f>
        <v>0</v>
      </c>
      <c r="G28" s="405">
        <f>'NKC2'!K40*100</f>
        <v>0</v>
      </c>
      <c r="H28" s="405">
        <f>'NKC2'!L40*100</f>
        <v>0</v>
      </c>
      <c r="I28" s="405">
        <f>'NKC2'!M40*100</f>
        <v>0</v>
      </c>
      <c r="J28" s="405">
        <f>'NKC2'!N40*100</f>
        <v>0</v>
      </c>
      <c r="K28" s="405">
        <f>'NKC2'!O40*100</f>
        <v>0</v>
      </c>
      <c r="L28" s="405">
        <f>'NKC2'!P40*100</f>
        <v>0</v>
      </c>
      <c r="M28" s="405">
        <f>'NKC2'!Q40*100</f>
        <v>0</v>
      </c>
      <c r="N28" s="405">
        <f>'NKC2'!R40*100</f>
        <v>0</v>
      </c>
      <c r="O28" s="405">
        <f>'NKC2'!S40*100</f>
        <v>0</v>
      </c>
      <c r="P28" s="405">
        <f>'NKC2'!T40*100</f>
        <v>0</v>
      </c>
      <c r="Q28" s="405">
        <f>'NKC2'!U40*100</f>
        <v>0</v>
      </c>
      <c r="R28" s="405">
        <f>'NKC2'!V40*100</f>
        <v>0</v>
      </c>
      <c r="S28" s="405">
        <f>'NKC2'!W40*100</f>
        <v>0</v>
      </c>
      <c r="T28" s="405">
        <f>'NKC2'!X40*100</f>
        <v>0</v>
      </c>
      <c r="U28" s="405">
        <f>'NKC2'!Y40*100</f>
        <v>0</v>
      </c>
      <c r="V28" s="405">
        <f>'NKC2'!Z40*100</f>
        <v>0</v>
      </c>
      <c r="W28" s="405">
        <f>'NKC2'!AA40*100</f>
        <v>0</v>
      </c>
      <c r="X28" s="405">
        <f>'NKC2'!AB40*100</f>
        <v>0</v>
      </c>
      <c r="Y28" s="405">
        <f>'NKC2'!AC40*100</f>
        <v>30</v>
      </c>
      <c r="Z28" s="405">
        <f>'NKC2'!AD40*100</f>
        <v>50</v>
      </c>
      <c r="AA28" s="405">
        <f>'NKC2'!AE40*100</f>
        <v>20</v>
      </c>
      <c r="AB28" s="405">
        <f>'NKC2'!AF40*100</f>
        <v>0</v>
      </c>
      <c r="AC28" s="405">
        <f>'NKC2'!AG40*100</f>
        <v>0</v>
      </c>
      <c r="AD28" s="405">
        <f>'NKC2'!AH40*100</f>
        <v>0</v>
      </c>
      <c r="AE28" s="405">
        <f>'NKC2'!AI40*100</f>
        <v>0</v>
      </c>
      <c r="AF28" s="405">
        <f>'NKC2'!AJ40*100</f>
        <v>0</v>
      </c>
      <c r="AG28" s="405">
        <f>'NKC2'!AK40*100</f>
        <v>0</v>
      </c>
      <c r="AH28" s="405">
        <f>'NKC2'!AL40*100</f>
        <v>0</v>
      </c>
      <c r="AI28" s="405">
        <f>'NKC2'!AM40*100</f>
        <v>0</v>
      </c>
      <c r="AJ28" s="405">
        <f>'NKC2'!AN40*100</f>
        <v>0</v>
      </c>
      <c r="AK28" s="405">
        <f>'NKC2'!AO40*100</f>
        <v>0</v>
      </c>
      <c r="AL28" s="405">
        <f>'NKC2'!AP40*100</f>
        <v>0</v>
      </c>
      <c r="AM28" s="405">
        <f>'NKC2'!AQ40*100</f>
        <v>0</v>
      </c>
      <c r="AN28" s="405">
        <f>'NKC2'!AR40*100</f>
        <v>0</v>
      </c>
      <c r="AO28" s="405">
        <f>'NKC2'!AS40*100</f>
        <v>0</v>
      </c>
      <c r="AP28" s="405">
        <f>'NKC2'!AT40*100</f>
        <v>0</v>
      </c>
      <c r="AQ28" s="405">
        <f>'NKC2'!AU40*100</f>
        <v>0</v>
      </c>
      <c r="AR28" s="405">
        <f>'NKC2'!AV40*100</f>
        <v>0</v>
      </c>
      <c r="AS28" s="405">
        <f>'NKC2'!AW40*100</f>
        <v>0</v>
      </c>
      <c r="AT28" s="405">
        <f>'NKC2'!AX40*100</f>
        <v>0</v>
      </c>
      <c r="AU28" s="405">
        <f>'NKC2'!AY40*100</f>
        <v>0</v>
      </c>
      <c r="AV28" s="405">
        <f>'NKC2'!AZ40*100</f>
        <v>0</v>
      </c>
      <c r="AW28" s="405">
        <f>'NKC2'!BA40*100</f>
        <v>0</v>
      </c>
      <c r="AX28" s="405">
        <f>'NKC2'!BB40*100</f>
        <v>0</v>
      </c>
      <c r="AY28" s="405">
        <f>'NKC2'!BC40*100</f>
        <v>0</v>
      </c>
      <c r="AZ28" s="405">
        <f>'NKC2'!BD40*100</f>
        <v>0</v>
      </c>
      <c r="BA28" s="405">
        <f>'NKC2'!BE40*100</f>
        <v>0</v>
      </c>
      <c r="BB28" s="405">
        <f>'NKC2'!BF40*100</f>
        <v>0</v>
      </c>
      <c r="BC28" s="405">
        <f>'NKC2'!BG40*100</f>
        <v>0</v>
      </c>
      <c r="BD28" s="405">
        <f>'NKC2'!BH40*100</f>
        <v>0</v>
      </c>
      <c r="BE28" s="405">
        <f>'NKC2'!BI40*100</f>
        <v>0</v>
      </c>
      <c r="BF28" s="405">
        <f>'NKC2'!BJ40*100</f>
        <v>0</v>
      </c>
      <c r="BG28" s="405">
        <f>'NKC2'!BK40*100</f>
        <v>0</v>
      </c>
      <c r="BH28" s="405">
        <f>'NKC2'!BL40*100</f>
        <v>0</v>
      </c>
      <c r="BI28" s="405">
        <f>'NKC2'!BM40*100</f>
        <v>0</v>
      </c>
      <c r="BJ28" s="405">
        <f>'NKC2'!BN40*100</f>
        <v>0</v>
      </c>
      <c r="BK28" s="405">
        <f>'NKC2'!BO40*100</f>
        <v>0</v>
      </c>
      <c r="BL28" s="405">
        <f>'NKC2'!BP40*100</f>
        <v>0</v>
      </c>
      <c r="BM28" s="405">
        <f>'NKC2'!BQ40*100</f>
        <v>0</v>
      </c>
      <c r="BN28" s="405">
        <f>'NKC2'!BR40*100</f>
        <v>0</v>
      </c>
      <c r="BO28" s="405">
        <f>'NKC2'!BS40*100</f>
        <v>0</v>
      </c>
      <c r="BP28" s="405">
        <f>'NKC2'!BT40*100</f>
        <v>0</v>
      </c>
      <c r="BQ28" s="405">
        <f>'NKC2'!BU40*100</f>
        <v>0</v>
      </c>
      <c r="BR28" s="405">
        <f>'NKC2'!BV40*100</f>
        <v>0</v>
      </c>
      <c r="BS28" s="405">
        <f>'NKC2'!BW40*100</f>
        <v>0</v>
      </c>
      <c r="BT28" s="405">
        <f>'NKC2'!BX40*100</f>
        <v>0</v>
      </c>
      <c r="BU28" s="405">
        <f>'NKC2'!BY40*100</f>
        <v>0</v>
      </c>
      <c r="BV28" s="405">
        <f>'NKC2'!BZ40*100</f>
        <v>0</v>
      </c>
      <c r="BW28" s="405">
        <f>'NKC2'!CA40*100</f>
        <v>0</v>
      </c>
      <c r="BX28" s="405">
        <f>'NKC2'!CB40*100</f>
        <v>0</v>
      </c>
      <c r="BY28" s="405">
        <f>'NKC2'!CC40*100</f>
        <v>0</v>
      </c>
      <c r="BZ28" s="405">
        <f>'NKC2'!CD40*100</f>
        <v>0</v>
      </c>
      <c r="CA28" s="405">
        <f>'NKC2'!CE40*100</f>
        <v>0</v>
      </c>
      <c r="CB28" s="405">
        <f>'NKC2'!CF40*100</f>
        <v>0</v>
      </c>
      <c r="CC28" s="405">
        <f>'NKC2'!CG40*100</f>
        <v>0</v>
      </c>
      <c r="CD28" s="405">
        <f>'NKC2'!CH40*100</f>
        <v>0</v>
      </c>
      <c r="CE28" s="405">
        <f>'NKC2'!CI40*100</f>
        <v>0</v>
      </c>
      <c r="CF28" s="405">
        <f>'NKC2'!CJ40*100</f>
        <v>0</v>
      </c>
      <c r="CG28" s="405">
        <f>'NKC2'!CK40*100</f>
        <v>0</v>
      </c>
      <c r="CH28" s="405">
        <f>'NKC2'!CL40*100</f>
        <v>0</v>
      </c>
      <c r="CI28" s="405">
        <f>'NKC2'!CM40*100</f>
        <v>0</v>
      </c>
    </row>
    <row r="29" spans="1:87" x14ac:dyDescent="0.45">
      <c r="A29" t="str">
        <f>'NKC2'!B41</f>
        <v>1.2.11</v>
      </c>
      <c r="B29" t="str">
        <f>'NKC2'!D41</f>
        <v xml:space="preserve">         งานโครงสร้างฐานรากถังเก็บน้ำประปา ( GL.30-32 / A - B )</v>
      </c>
      <c r="C29" s="193">
        <f>'NKC2'!F41</f>
        <v>126322.7127</v>
      </c>
      <c r="D29" s="140" t="str">
        <f>'NKC2'!G39</f>
        <v>A</v>
      </c>
      <c r="E29" s="198">
        <f>'NKC2'!H41*100</f>
        <v>0</v>
      </c>
      <c r="F29" s="198">
        <f>'NKC2'!J41*100</f>
        <v>0</v>
      </c>
      <c r="G29" s="198">
        <f>'NKC2'!K41*100</f>
        <v>0</v>
      </c>
      <c r="H29" s="198">
        <f>'NKC2'!L41*100</f>
        <v>0</v>
      </c>
      <c r="I29" s="198">
        <f>'NKC2'!M41*100</f>
        <v>0</v>
      </c>
      <c r="J29" s="198">
        <f>'NKC2'!N41*100</f>
        <v>0</v>
      </c>
      <c r="K29" s="198">
        <f>'NKC2'!O41*100</f>
        <v>0</v>
      </c>
      <c r="L29" s="198">
        <f>'NKC2'!P41*100</f>
        <v>0</v>
      </c>
      <c r="M29" s="198">
        <f>'NKC2'!Q41*100</f>
        <v>0</v>
      </c>
      <c r="N29" s="198">
        <f>'NKC2'!R41*100</f>
        <v>0</v>
      </c>
      <c r="O29" s="198">
        <f>'NKC2'!S41*100</f>
        <v>0</v>
      </c>
      <c r="P29" s="198">
        <f>'NKC2'!T41*100</f>
        <v>0</v>
      </c>
      <c r="Q29" s="198">
        <f>'NKC2'!U41*100</f>
        <v>0</v>
      </c>
      <c r="R29" s="198">
        <f>'NKC2'!V41*100</f>
        <v>0</v>
      </c>
      <c r="S29" s="198">
        <f>'NKC2'!W41*100</f>
        <v>0</v>
      </c>
      <c r="T29" s="198">
        <f>'NKC2'!X41*100</f>
        <v>0</v>
      </c>
      <c r="U29" s="198">
        <f>'NKC2'!Y41*100</f>
        <v>0</v>
      </c>
      <c r="V29" s="198">
        <f>'NKC2'!Z41*100</f>
        <v>0</v>
      </c>
      <c r="W29" s="198">
        <f>'NKC2'!AA41*100</f>
        <v>0</v>
      </c>
      <c r="X29" s="198">
        <f>'NKC2'!AB41*100</f>
        <v>0</v>
      </c>
      <c r="Y29" s="198">
        <f>'NKC2'!AC41*100</f>
        <v>0</v>
      </c>
      <c r="Z29" s="198">
        <f>'NKC2'!AD41*100</f>
        <v>0</v>
      </c>
      <c r="AA29" s="198">
        <f>'NKC2'!AE41*100</f>
        <v>0</v>
      </c>
      <c r="AB29" s="198">
        <f>'NKC2'!AF41*100</f>
        <v>0</v>
      </c>
      <c r="AC29" s="198">
        <f>'NKC2'!AG41*100</f>
        <v>0</v>
      </c>
      <c r="AD29" s="198">
        <f>'NKC2'!AH41*100</f>
        <v>0</v>
      </c>
      <c r="AE29" s="198">
        <f>'NKC2'!AI41*100</f>
        <v>0</v>
      </c>
      <c r="AF29" s="198">
        <f>'NKC2'!AJ41*100</f>
        <v>0</v>
      </c>
      <c r="AG29" s="198">
        <f>'NKC2'!AK41*100</f>
        <v>0</v>
      </c>
      <c r="AH29" s="198">
        <f>'NKC2'!AL41*100</f>
        <v>0</v>
      </c>
      <c r="AI29" s="198">
        <f>'NKC2'!AM41*100</f>
        <v>0</v>
      </c>
      <c r="AJ29" s="198">
        <f>'NKC2'!AN41*100</f>
        <v>0</v>
      </c>
      <c r="AK29" s="198">
        <f>'NKC2'!AO41*100</f>
        <v>0</v>
      </c>
      <c r="AL29" s="198">
        <f>'NKC2'!AP41*100</f>
        <v>0</v>
      </c>
      <c r="AM29" s="198">
        <f>'NKC2'!AQ41*100</f>
        <v>0</v>
      </c>
      <c r="AN29" s="198">
        <f>'NKC2'!AR41*100</f>
        <v>0</v>
      </c>
      <c r="AO29" s="198">
        <f>'NKC2'!AS41*100</f>
        <v>0</v>
      </c>
      <c r="AP29" s="198">
        <f>'NKC2'!AT41*100</f>
        <v>0</v>
      </c>
      <c r="AQ29" s="198">
        <f>'NKC2'!AU41*100</f>
        <v>0</v>
      </c>
      <c r="AR29" s="198">
        <f>'NKC2'!AV41*100</f>
        <v>0</v>
      </c>
      <c r="AS29" s="198">
        <f>'NKC2'!AW41*100</f>
        <v>0</v>
      </c>
      <c r="AT29" s="198">
        <f>'NKC2'!AX41*100</f>
        <v>0</v>
      </c>
      <c r="AU29" s="198">
        <f>'NKC2'!AY41*100</f>
        <v>0</v>
      </c>
      <c r="AV29" s="198">
        <f>'NKC2'!AZ41*100</f>
        <v>0</v>
      </c>
      <c r="AW29" s="198">
        <f>'NKC2'!BA41*100</f>
        <v>0</v>
      </c>
      <c r="AX29" s="198">
        <f>'NKC2'!BB41*100</f>
        <v>0</v>
      </c>
      <c r="AY29" s="198">
        <f>'NKC2'!BC41*100</f>
        <v>0</v>
      </c>
      <c r="AZ29" s="198">
        <f>'NKC2'!BD41*100</f>
        <v>0</v>
      </c>
      <c r="BA29" s="198">
        <f>'NKC2'!BE41*100</f>
        <v>0</v>
      </c>
      <c r="BB29" s="198">
        <f>'NKC2'!BF41*100</f>
        <v>0</v>
      </c>
      <c r="BC29" s="198">
        <f>'NKC2'!BG41*100</f>
        <v>0</v>
      </c>
      <c r="BD29" s="198">
        <f>'NKC2'!BH41*100</f>
        <v>0</v>
      </c>
      <c r="BE29" s="198">
        <f>'NKC2'!BI41*100</f>
        <v>0</v>
      </c>
      <c r="BF29" s="198">
        <f>'NKC2'!BJ41*100</f>
        <v>0</v>
      </c>
      <c r="BG29" s="198">
        <f>'NKC2'!BK41*100</f>
        <v>0</v>
      </c>
      <c r="BH29" s="198">
        <f>'NKC2'!BL41*100</f>
        <v>0</v>
      </c>
      <c r="BI29" s="198">
        <f>'NKC2'!BM41*100</f>
        <v>0</v>
      </c>
      <c r="BJ29" s="198">
        <f>'NKC2'!BN41*100</f>
        <v>0</v>
      </c>
      <c r="BK29" s="198">
        <f>'NKC2'!BO41*100</f>
        <v>0</v>
      </c>
      <c r="BL29" s="198">
        <f>'NKC2'!BP41*100</f>
        <v>0</v>
      </c>
      <c r="BM29" s="198">
        <f>'NKC2'!BQ41*100</f>
        <v>0</v>
      </c>
      <c r="BN29" s="198">
        <f>'NKC2'!BR41*100</f>
        <v>0</v>
      </c>
      <c r="BO29" s="198">
        <f>'NKC2'!BS41*100</f>
        <v>0</v>
      </c>
      <c r="BP29" s="198">
        <f>'NKC2'!BT41*100</f>
        <v>0</v>
      </c>
      <c r="BQ29" s="198">
        <f>'NKC2'!BU41*100</f>
        <v>0</v>
      </c>
      <c r="BR29" s="198">
        <f>'NKC2'!BV41*100</f>
        <v>0</v>
      </c>
      <c r="BS29" s="198">
        <f>'NKC2'!BW41*100</f>
        <v>0</v>
      </c>
      <c r="BT29" s="198">
        <f>'NKC2'!BX41*100</f>
        <v>0</v>
      </c>
      <c r="BU29" s="198">
        <f>'NKC2'!BY41*100</f>
        <v>0</v>
      </c>
      <c r="BV29" s="198">
        <f>'NKC2'!BZ41*100</f>
        <v>0</v>
      </c>
      <c r="BW29" s="198">
        <f>'NKC2'!CA41*100</f>
        <v>0</v>
      </c>
      <c r="BX29" s="198">
        <f>'NKC2'!CB41*100</f>
        <v>0</v>
      </c>
      <c r="BY29" s="198">
        <f>'NKC2'!CC41*100</f>
        <v>0</v>
      </c>
      <c r="BZ29" s="198">
        <f>'NKC2'!CD41*100</f>
        <v>0</v>
      </c>
      <c r="CA29" s="198">
        <f>'NKC2'!CE41*100</f>
        <v>0</v>
      </c>
      <c r="CB29" s="198">
        <f>'NKC2'!CF41*100</f>
        <v>0</v>
      </c>
      <c r="CC29" s="198">
        <f>'NKC2'!CG41*100</f>
        <v>0</v>
      </c>
      <c r="CD29" s="198">
        <f>'NKC2'!CH41*100</f>
        <v>0</v>
      </c>
      <c r="CE29" s="198">
        <f>'NKC2'!CI41*100</f>
        <v>0</v>
      </c>
      <c r="CF29" s="198">
        <f>'NKC2'!CJ41*100</f>
        <v>0</v>
      </c>
      <c r="CG29" s="198">
        <f>'NKC2'!CK41*100</f>
        <v>0</v>
      </c>
      <c r="CH29" s="198">
        <f>'NKC2'!CL41*100</f>
        <v>0</v>
      </c>
      <c r="CI29" s="198">
        <f>'NKC2'!CM41*100</f>
        <v>0</v>
      </c>
    </row>
    <row r="30" spans="1:87" x14ac:dyDescent="0.45">
      <c r="A30" s="403" t="str">
        <f>'NKC2'!B42</f>
        <v>1.2.12</v>
      </c>
      <c r="B30" s="403" t="str">
        <f>'NKC2'!D42</f>
        <v xml:space="preserve">         งานโครงสร้างบันได ST6 ชั้น1 to 1M ( GL.5-6 / C-B )</v>
      </c>
      <c r="C30" s="404">
        <f>'NKC2'!F42</f>
        <v>51374.755299999997</v>
      </c>
      <c r="D30" s="407" t="str">
        <f>'NKC2'!G40</f>
        <v>P</v>
      </c>
      <c r="E30" s="405">
        <f>'NKC2'!H42*100</f>
        <v>100</v>
      </c>
      <c r="F30" s="405">
        <f>'NKC2'!J42*100</f>
        <v>0</v>
      </c>
      <c r="G30" s="405">
        <f>'NKC2'!K42*100</f>
        <v>0</v>
      </c>
      <c r="H30" s="405">
        <f>'NKC2'!L42*100</f>
        <v>0</v>
      </c>
      <c r="I30" s="405">
        <f>'NKC2'!M42*100</f>
        <v>0</v>
      </c>
      <c r="J30" s="405">
        <f>'NKC2'!N42*100</f>
        <v>0</v>
      </c>
      <c r="K30" s="405">
        <f>'NKC2'!O42*100</f>
        <v>0</v>
      </c>
      <c r="L30" s="405">
        <f>'NKC2'!P42*100</f>
        <v>0</v>
      </c>
      <c r="M30" s="405">
        <f>'NKC2'!Q42*100</f>
        <v>0</v>
      </c>
      <c r="N30" s="405">
        <f>'NKC2'!R42*100</f>
        <v>0</v>
      </c>
      <c r="O30" s="405">
        <f>'NKC2'!S42*100</f>
        <v>0</v>
      </c>
      <c r="P30" s="405">
        <f>'NKC2'!T42*100</f>
        <v>0</v>
      </c>
      <c r="Q30" s="405">
        <f>'NKC2'!U42*100</f>
        <v>0</v>
      </c>
      <c r="R30" s="405">
        <f>'NKC2'!V42*100</f>
        <v>0</v>
      </c>
      <c r="S30" s="405">
        <f>'NKC2'!W42*100</f>
        <v>0</v>
      </c>
      <c r="T30" s="405">
        <f>'NKC2'!X42*100</f>
        <v>25</v>
      </c>
      <c r="U30" s="405">
        <f>'NKC2'!Y42*100</f>
        <v>50</v>
      </c>
      <c r="V30" s="405">
        <f>'NKC2'!Z42*100</f>
        <v>25</v>
      </c>
      <c r="W30" s="405">
        <f>'NKC2'!AA42*100</f>
        <v>0</v>
      </c>
      <c r="X30" s="405">
        <f>'NKC2'!AB42*100</f>
        <v>0</v>
      </c>
      <c r="Y30" s="405">
        <f>'NKC2'!AC42*100</f>
        <v>0</v>
      </c>
      <c r="Z30" s="405">
        <f>'NKC2'!AD42*100</f>
        <v>0</v>
      </c>
      <c r="AA30" s="405">
        <f>'NKC2'!AE42*100</f>
        <v>0</v>
      </c>
      <c r="AB30" s="405">
        <f>'NKC2'!AF42*100</f>
        <v>0</v>
      </c>
      <c r="AC30" s="405">
        <f>'NKC2'!AG42*100</f>
        <v>0</v>
      </c>
      <c r="AD30" s="405">
        <f>'NKC2'!AH42*100</f>
        <v>0</v>
      </c>
      <c r="AE30" s="405">
        <f>'NKC2'!AI42*100</f>
        <v>0</v>
      </c>
      <c r="AF30" s="405">
        <f>'NKC2'!AJ42*100</f>
        <v>0</v>
      </c>
      <c r="AG30" s="405">
        <f>'NKC2'!AK42*100</f>
        <v>0</v>
      </c>
      <c r="AH30" s="405">
        <f>'NKC2'!AL42*100</f>
        <v>0</v>
      </c>
      <c r="AI30" s="405">
        <f>'NKC2'!AM42*100</f>
        <v>0</v>
      </c>
      <c r="AJ30" s="405">
        <f>'NKC2'!AN42*100</f>
        <v>0</v>
      </c>
      <c r="AK30" s="405">
        <f>'NKC2'!AO42*100</f>
        <v>0</v>
      </c>
      <c r="AL30" s="405">
        <f>'NKC2'!AP42*100</f>
        <v>0</v>
      </c>
      <c r="AM30" s="405">
        <f>'NKC2'!AQ42*100</f>
        <v>0</v>
      </c>
      <c r="AN30" s="405">
        <f>'NKC2'!AR42*100</f>
        <v>0</v>
      </c>
      <c r="AO30" s="405">
        <f>'NKC2'!AS42*100</f>
        <v>0</v>
      </c>
      <c r="AP30" s="405">
        <f>'NKC2'!AT42*100</f>
        <v>0</v>
      </c>
      <c r="AQ30" s="405">
        <f>'NKC2'!AU42*100</f>
        <v>0</v>
      </c>
      <c r="AR30" s="405">
        <f>'NKC2'!AV42*100</f>
        <v>0</v>
      </c>
      <c r="AS30" s="405">
        <f>'NKC2'!AW42*100</f>
        <v>0</v>
      </c>
      <c r="AT30" s="405">
        <f>'NKC2'!AX42*100</f>
        <v>0</v>
      </c>
      <c r="AU30" s="405">
        <f>'NKC2'!AY42*100</f>
        <v>0</v>
      </c>
      <c r="AV30" s="405">
        <f>'NKC2'!AZ42*100</f>
        <v>0</v>
      </c>
      <c r="AW30" s="405">
        <f>'NKC2'!BA42*100</f>
        <v>0</v>
      </c>
      <c r="AX30" s="405">
        <f>'NKC2'!BB42*100</f>
        <v>0</v>
      </c>
      <c r="AY30" s="405">
        <f>'NKC2'!BC42*100</f>
        <v>0</v>
      </c>
      <c r="AZ30" s="405">
        <f>'NKC2'!BD42*100</f>
        <v>0</v>
      </c>
      <c r="BA30" s="405">
        <f>'NKC2'!BE42*100</f>
        <v>0</v>
      </c>
      <c r="BB30" s="405">
        <f>'NKC2'!BF42*100</f>
        <v>0</v>
      </c>
      <c r="BC30" s="405">
        <f>'NKC2'!BG42*100</f>
        <v>0</v>
      </c>
      <c r="BD30" s="405">
        <f>'NKC2'!BH42*100</f>
        <v>0</v>
      </c>
      <c r="BE30" s="405">
        <f>'NKC2'!BI42*100</f>
        <v>0</v>
      </c>
      <c r="BF30" s="405">
        <f>'NKC2'!BJ42*100</f>
        <v>0</v>
      </c>
      <c r="BG30" s="405">
        <f>'NKC2'!BK42*100</f>
        <v>0</v>
      </c>
      <c r="BH30" s="405">
        <f>'NKC2'!BL42*100</f>
        <v>0</v>
      </c>
      <c r="BI30" s="405">
        <f>'NKC2'!BM42*100</f>
        <v>0</v>
      </c>
      <c r="BJ30" s="405">
        <f>'NKC2'!BN42*100</f>
        <v>0</v>
      </c>
      <c r="BK30" s="405">
        <f>'NKC2'!BO42*100</f>
        <v>0</v>
      </c>
      <c r="BL30" s="405">
        <f>'NKC2'!BP42*100</f>
        <v>0</v>
      </c>
      <c r="BM30" s="405">
        <f>'NKC2'!BQ42*100</f>
        <v>0</v>
      </c>
      <c r="BN30" s="405">
        <f>'NKC2'!BR42*100</f>
        <v>0</v>
      </c>
      <c r="BO30" s="405">
        <f>'NKC2'!BS42*100</f>
        <v>0</v>
      </c>
      <c r="BP30" s="405">
        <f>'NKC2'!BT42*100</f>
        <v>0</v>
      </c>
      <c r="BQ30" s="405">
        <f>'NKC2'!BU42*100</f>
        <v>0</v>
      </c>
      <c r="BR30" s="405">
        <f>'NKC2'!BV42*100</f>
        <v>0</v>
      </c>
      <c r="BS30" s="405">
        <f>'NKC2'!BW42*100</f>
        <v>0</v>
      </c>
      <c r="BT30" s="405">
        <f>'NKC2'!BX42*100</f>
        <v>0</v>
      </c>
      <c r="BU30" s="405">
        <f>'NKC2'!BY42*100</f>
        <v>0</v>
      </c>
      <c r="BV30" s="405">
        <f>'NKC2'!BZ42*100</f>
        <v>0</v>
      </c>
      <c r="BW30" s="405">
        <f>'NKC2'!CA42*100</f>
        <v>0</v>
      </c>
      <c r="BX30" s="405">
        <f>'NKC2'!CB42*100</f>
        <v>0</v>
      </c>
      <c r="BY30" s="405">
        <f>'NKC2'!CC42*100</f>
        <v>0</v>
      </c>
      <c r="BZ30" s="405">
        <f>'NKC2'!CD42*100</f>
        <v>0</v>
      </c>
      <c r="CA30" s="405">
        <f>'NKC2'!CE42*100</f>
        <v>0</v>
      </c>
      <c r="CB30" s="405">
        <f>'NKC2'!CF42*100</f>
        <v>0</v>
      </c>
      <c r="CC30" s="405">
        <f>'NKC2'!CG42*100</f>
        <v>0</v>
      </c>
      <c r="CD30" s="405">
        <f>'NKC2'!CH42*100</f>
        <v>0</v>
      </c>
      <c r="CE30" s="405">
        <f>'NKC2'!CI42*100</f>
        <v>0</v>
      </c>
      <c r="CF30" s="405">
        <f>'NKC2'!CJ42*100</f>
        <v>0</v>
      </c>
      <c r="CG30" s="405">
        <f>'NKC2'!CK42*100</f>
        <v>0</v>
      </c>
      <c r="CH30" s="405">
        <f>'NKC2'!CL42*100</f>
        <v>0</v>
      </c>
      <c r="CI30" s="405">
        <f>'NKC2'!CM42*100</f>
        <v>0</v>
      </c>
    </row>
    <row r="31" spans="1:87" x14ac:dyDescent="0.45">
      <c r="A31" t="str">
        <f>'NKC2'!B43</f>
        <v>1.2.12</v>
      </c>
      <c r="B31" t="str">
        <f>'NKC2'!D43</f>
        <v xml:space="preserve">         งานโครงสร้างบันได ST6 ชั้น1 to 1M ( GL.5-6 / C-B )</v>
      </c>
      <c r="C31" s="193">
        <f>'NKC2'!F43</f>
        <v>51374.755299999997</v>
      </c>
      <c r="D31" s="140" t="str">
        <f>'NKC2'!G41</f>
        <v>A</v>
      </c>
      <c r="E31" s="198">
        <f>'NKC2'!H43*100</f>
        <v>0</v>
      </c>
      <c r="F31" s="198">
        <f>'NKC2'!J43*100</f>
        <v>0</v>
      </c>
      <c r="G31" s="198">
        <f>'NKC2'!K43*100</f>
        <v>0</v>
      </c>
      <c r="H31" s="198">
        <f>'NKC2'!L43*100</f>
        <v>0</v>
      </c>
      <c r="I31" s="198">
        <f>'NKC2'!M43*100</f>
        <v>0</v>
      </c>
      <c r="J31" s="198">
        <f>'NKC2'!N43*100</f>
        <v>0</v>
      </c>
      <c r="K31" s="198">
        <f>'NKC2'!O43*100</f>
        <v>0</v>
      </c>
      <c r="L31" s="198">
        <f>'NKC2'!P43*100</f>
        <v>0</v>
      </c>
      <c r="M31" s="198">
        <f>'NKC2'!Q43*100</f>
        <v>0</v>
      </c>
      <c r="N31" s="198">
        <f>'NKC2'!R43*100</f>
        <v>0</v>
      </c>
      <c r="O31" s="198">
        <f>'NKC2'!S43*100</f>
        <v>0</v>
      </c>
      <c r="P31" s="198">
        <f>'NKC2'!T43*100</f>
        <v>0</v>
      </c>
      <c r="Q31" s="198">
        <f>'NKC2'!U43*100</f>
        <v>0</v>
      </c>
      <c r="R31" s="198">
        <f>'NKC2'!V43*100</f>
        <v>0</v>
      </c>
      <c r="S31" s="198">
        <f>'NKC2'!W43*100</f>
        <v>0</v>
      </c>
      <c r="T31" s="198">
        <f>'NKC2'!X43*100</f>
        <v>0</v>
      </c>
      <c r="U31" s="198">
        <f>'NKC2'!Y43*100</f>
        <v>0</v>
      </c>
      <c r="V31" s="198">
        <f>'NKC2'!Z43*100</f>
        <v>0</v>
      </c>
      <c r="W31" s="198">
        <f>'NKC2'!AA43*100</f>
        <v>0</v>
      </c>
      <c r="X31" s="198">
        <f>'NKC2'!AB43*100</f>
        <v>0</v>
      </c>
      <c r="Y31" s="198">
        <f>'NKC2'!AC43*100</f>
        <v>0</v>
      </c>
      <c r="Z31" s="198">
        <f>'NKC2'!AD43*100</f>
        <v>0</v>
      </c>
      <c r="AA31" s="198">
        <f>'NKC2'!AE43*100</f>
        <v>0</v>
      </c>
      <c r="AB31" s="198">
        <f>'NKC2'!AF43*100</f>
        <v>0</v>
      </c>
      <c r="AC31" s="198">
        <f>'NKC2'!AG43*100</f>
        <v>0</v>
      </c>
      <c r="AD31" s="198">
        <f>'NKC2'!AH43*100</f>
        <v>0</v>
      </c>
      <c r="AE31" s="198">
        <f>'NKC2'!AI43*100</f>
        <v>0</v>
      </c>
      <c r="AF31" s="198">
        <f>'NKC2'!AJ43*100</f>
        <v>0</v>
      </c>
      <c r="AG31" s="198">
        <f>'NKC2'!AK43*100</f>
        <v>0</v>
      </c>
      <c r="AH31" s="198">
        <f>'NKC2'!AL43*100</f>
        <v>0</v>
      </c>
      <c r="AI31" s="198">
        <f>'NKC2'!AM43*100</f>
        <v>0</v>
      </c>
      <c r="AJ31" s="198">
        <f>'NKC2'!AN43*100</f>
        <v>0</v>
      </c>
      <c r="AK31" s="198">
        <f>'NKC2'!AO43*100</f>
        <v>0</v>
      </c>
      <c r="AL31" s="198">
        <f>'NKC2'!AP43*100</f>
        <v>0</v>
      </c>
      <c r="AM31" s="198">
        <f>'NKC2'!AQ43*100</f>
        <v>0</v>
      </c>
      <c r="AN31" s="198">
        <f>'NKC2'!AR43*100</f>
        <v>0</v>
      </c>
      <c r="AO31" s="198">
        <f>'NKC2'!AS43*100</f>
        <v>0</v>
      </c>
      <c r="AP31" s="198">
        <f>'NKC2'!AT43*100</f>
        <v>0</v>
      </c>
      <c r="AQ31" s="198">
        <f>'NKC2'!AU43*100</f>
        <v>0</v>
      </c>
      <c r="AR31" s="198">
        <f>'NKC2'!AV43*100</f>
        <v>0</v>
      </c>
      <c r="AS31" s="198">
        <f>'NKC2'!AW43*100</f>
        <v>0</v>
      </c>
      <c r="AT31" s="198">
        <f>'NKC2'!AX43*100</f>
        <v>0</v>
      </c>
      <c r="AU31" s="198">
        <f>'NKC2'!AY43*100</f>
        <v>0</v>
      </c>
      <c r="AV31" s="198">
        <f>'NKC2'!AZ43*100</f>
        <v>0</v>
      </c>
      <c r="AW31" s="198">
        <f>'NKC2'!BA43*100</f>
        <v>0</v>
      </c>
      <c r="AX31" s="198">
        <f>'NKC2'!BB43*100</f>
        <v>0</v>
      </c>
      <c r="AY31" s="198">
        <f>'NKC2'!BC43*100</f>
        <v>0</v>
      </c>
      <c r="AZ31" s="198">
        <f>'NKC2'!BD43*100</f>
        <v>0</v>
      </c>
      <c r="BA31" s="198">
        <f>'NKC2'!BE43*100</f>
        <v>0</v>
      </c>
      <c r="BB31" s="198">
        <f>'NKC2'!BF43*100</f>
        <v>0</v>
      </c>
      <c r="BC31" s="198">
        <f>'NKC2'!BG43*100</f>
        <v>0</v>
      </c>
      <c r="BD31" s="198">
        <f>'NKC2'!BH43*100</f>
        <v>0</v>
      </c>
      <c r="BE31" s="198">
        <f>'NKC2'!BI43*100</f>
        <v>0</v>
      </c>
      <c r="BF31" s="198">
        <f>'NKC2'!BJ43*100</f>
        <v>0</v>
      </c>
      <c r="BG31" s="198">
        <f>'NKC2'!BK43*100</f>
        <v>0</v>
      </c>
      <c r="BH31" s="198">
        <f>'NKC2'!BL43*100</f>
        <v>0</v>
      </c>
      <c r="BI31" s="198">
        <f>'NKC2'!BM43*100</f>
        <v>0</v>
      </c>
      <c r="BJ31" s="198">
        <f>'NKC2'!BN43*100</f>
        <v>0</v>
      </c>
      <c r="BK31" s="198">
        <f>'NKC2'!BO43*100</f>
        <v>0</v>
      </c>
      <c r="BL31" s="198">
        <f>'NKC2'!BP43*100</f>
        <v>0</v>
      </c>
      <c r="BM31" s="198">
        <f>'NKC2'!BQ43*100</f>
        <v>0</v>
      </c>
      <c r="BN31" s="198">
        <f>'NKC2'!BR43*100</f>
        <v>0</v>
      </c>
      <c r="BO31" s="198">
        <f>'NKC2'!BS43*100</f>
        <v>0</v>
      </c>
      <c r="BP31" s="198">
        <f>'NKC2'!BT43*100</f>
        <v>0</v>
      </c>
      <c r="BQ31" s="198">
        <f>'NKC2'!BU43*100</f>
        <v>0</v>
      </c>
      <c r="BR31" s="198">
        <f>'NKC2'!BV43*100</f>
        <v>0</v>
      </c>
      <c r="BS31" s="198">
        <f>'NKC2'!BW43*100</f>
        <v>0</v>
      </c>
      <c r="BT31" s="198">
        <f>'NKC2'!BX43*100</f>
        <v>0</v>
      </c>
      <c r="BU31" s="198">
        <f>'NKC2'!BY43*100</f>
        <v>0</v>
      </c>
      <c r="BV31" s="198">
        <f>'NKC2'!BZ43*100</f>
        <v>0</v>
      </c>
      <c r="BW31" s="198">
        <f>'NKC2'!CA43*100</f>
        <v>0</v>
      </c>
      <c r="BX31" s="198">
        <f>'NKC2'!CB43*100</f>
        <v>0</v>
      </c>
      <c r="BY31" s="198">
        <f>'NKC2'!CC43*100</f>
        <v>0</v>
      </c>
      <c r="BZ31" s="198">
        <f>'NKC2'!CD43*100</f>
        <v>0</v>
      </c>
      <c r="CA31" s="198">
        <f>'NKC2'!CE43*100</f>
        <v>0</v>
      </c>
      <c r="CB31" s="198">
        <f>'NKC2'!CF43*100</f>
        <v>0</v>
      </c>
      <c r="CC31" s="198">
        <f>'NKC2'!CG43*100</f>
        <v>0</v>
      </c>
      <c r="CD31" s="198">
        <f>'NKC2'!CH43*100</f>
        <v>0</v>
      </c>
      <c r="CE31" s="198">
        <f>'NKC2'!CI43*100</f>
        <v>0</v>
      </c>
      <c r="CF31" s="198">
        <f>'NKC2'!CJ43*100</f>
        <v>0</v>
      </c>
      <c r="CG31" s="198">
        <f>'NKC2'!CK43*100</f>
        <v>0</v>
      </c>
      <c r="CH31" s="198">
        <f>'NKC2'!CL43*100</f>
        <v>0</v>
      </c>
      <c r="CI31" s="198">
        <f>'NKC2'!CM43*100</f>
        <v>0</v>
      </c>
    </row>
    <row r="32" spans="1:87" x14ac:dyDescent="0.45">
      <c r="A32" s="403" t="str">
        <f>'NKC2'!B44</f>
        <v>1.2.13</v>
      </c>
      <c r="B32" s="403">
        <f>'NKC2'!D44</f>
        <v>0</v>
      </c>
      <c r="C32" s="404">
        <f>'NKC2'!F44</f>
        <v>0</v>
      </c>
      <c r="D32" s="407" t="str">
        <f>'NKC2'!G42</f>
        <v>P</v>
      </c>
      <c r="E32" s="405">
        <f>'NKC2'!H44*100</f>
        <v>0</v>
      </c>
      <c r="F32" s="405">
        <f>'NKC2'!J44*100</f>
        <v>0</v>
      </c>
      <c r="G32" s="405">
        <f>'NKC2'!K44*100</f>
        <v>0</v>
      </c>
      <c r="H32" s="405">
        <f>'NKC2'!L44*100</f>
        <v>0</v>
      </c>
      <c r="I32" s="405">
        <f>'NKC2'!M44*100</f>
        <v>0</v>
      </c>
      <c r="J32" s="405">
        <f>'NKC2'!N44*100</f>
        <v>0</v>
      </c>
      <c r="K32" s="405">
        <f>'NKC2'!O44*100</f>
        <v>0</v>
      </c>
      <c r="L32" s="405">
        <f>'NKC2'!P44*100</f>
        <v>0</v>
      </c>
      <c r="M32" s="405">
        <f>'NKC2'!Q44*100</f>
        <v>0</v>
      </c>
      <c r="N32" s="405">
        <f>'NKC2'!R44*100</f>
        <v>0</v>
      </c>
      <c r="O32" s="405">
        <f>'NKC2'!S44*100</f>
        <v>0</v>
      </c>
      <c r="P32" s="405">
        <f>'NKC2'!T44*100</f>
        <v>0</v>
      </c>
      <c r="Q32" s="405">
        <f>'NKC2'!U44*100</f>
        <v>0</v>
      </c>
      <c r="R32" s="405">
        <f>'NKC2'!V44*100</f>
        <v>0</v>
      </c>
      <c r="S32" s="405">
        <f>'NKC2'!W44*100</f>
        <v>0</v>
      </c>
      <c r="T32" s="405">
        <f>'NKC2'!X44*100</f>
        <v>0</v>
      </c>
      <c r="U32" s="405">
        <f>'NKC2'!Y44*100</f>
        <v>0</v>
      </c>
      <c r="V32" s="405">
        <f>'NKC2'!Z44*100</f>
        <v>0</v>
      </c>
      <c r="W32" s="405">
        <f>'NKC2'!AA44*100</f>
        <v>0</v>
      </c>
      <c r="X32" s="405">
        <f>'NKC2'!AB44*100</f>
        <v>0</v>
      </c>
      <c r="Y32" s="405">
        <f>'NKC2'!AC44*100</f>
        <v>0</v>
      </c>
      <c r="Z32" s="405">
        <f>'NKC2'!AD44*100</f>
        <v>0</v>
      </c>
      <c r="AA32" s="405">
        <f>'NKC2'!AE44*100</f>
        <v>0</v>
      </c>
      <c r="AB32" s="405">
        <f>'NKC2'!AF44*100</f>
        <v>0</v>
      </c>
      <c r="AC32" s="405">
        <f>'NKC2'!AG44*100</f>
        <v>0</v>
      </c>
      <c r="AD32" s="405">
        <f>'NKC2'!AH44*100</f>
        <v>0</v>
      </c>
      <c r="AE32" s="405">
        <f>'NKC2'!AI44*100</f>
        <v>0</v>
      </c>
      <c r="AF32" s="405">
        <f>'NKC2'!AJ44*100</f>
        <v>0</v>
      </c>
      <c r="AG32" s="405">
        <f>'NKC2'!AK44*100</f>
        <v>0</v>
      </c>
      <c r="AH32" s="405">
        <f>'NKC2'!AL44*100</f>
        <v>0</v>
      </c>
      <c r="AI32" s="405">
        <f>'NKC2'!AM44*100</f>
        <v>0</v>
      </c>
      <c r="AJ32" s="405">
        <f>'NKC2'!AN44*100</f>
        <v>0</v>
      </c>
      <c r="AK32" s="405">
        <f>'NKC2'!AO44*100</f>
        <v>0</v>
      </c>
      <c r="AL32" s="405">
        <f>'NKC2'!AP44*100</f>
        <v>0</v>
      </c>
      <c r="AM32" s="405">
        <f>'NKC2'!AQ44*100</f>
        <v>0</v>
      </c>
      <c r="AN32" s="405">
        <f>'NKC2'!AR44*100</f>
        <v>0</v>
      </c>
      <c r="AO32" s="405">
        <f>'NKC2'!AS44*100</f>
        <v>0</v>
      </c>
      <c r="AP32" s="405">
        <f>'NKC2'!AT44*100</f>
        <v>0</v>
      </c>
      <c r="AQ32" s="405">
        <f>'NKC2'!AU44*100</f>
        <v>0</v>
      </c>
      <c r="AR32" s="405">
        <f>'NKC2'!AV44*100</f>
        <v>0</v>
      </c>
      <c r="AS32" s="405">
        <f>'NKC2'!AW44*100</f>
        <v>0</v>
      </c>
      <c r="AT32" s="405">
        <f>'NKC2'!AX44*100</f>
        <v>0</v>
      </c>
      <c r="AU32" s="405">
        <f>'NKC2'!AY44*100</f>
        <v>0</v>
      </c>
      <c r="AV32" s="405">
        <f>'NKC2'!AZ44*100</f>
        <v>0</v>
      </c>
      <c r="AW32" s="405">
        <f>'NKC2'!BA44*100</f>
        <v>0</v>
      </c>
      <c r="AX32" s="405">
        <f>'NKC2'!BB44*100</f>
        <v>0</v>
      </c>
      <c r="AY32" s="405">
        <f>'NKC2'!BC44*100</f>
        <v>0</v>
      </c>
      <c r="AZ32" s="405">
        <f>'NKC2'!BD44*100</f>
        <v>0</v>
      </c>
      <c r="BA32" s="405">
        <f>'NKC2'!BE44*100</f>
        <v>0</v>
      </c>
      <c r="BB32" s="405">
        <f>'NKC2'!BF44*100</f>
        <v>0</v>
      </c>
      <c r="BC32" s="405">
        <f>'NKC2'!BG44*100</f>
        <v>0</v>
      </c>
      <c r="BD32" s="405">
        <f>'NKC2'!BH44*100</f>
        <v>0</v>
      </c>
      <c r="BE32" s="405">
        <f>'NKC2'!BI44*100</f>
        <v>0</v>
      </c>
      <c r="BF32" s="405">
        <f>'NKC2'!BJ44*100</f>
        <v>0</v>
      </c>
      <c r="BG32" s="405">
        <f>'NKC2'!BK44*100</f>
        <v>0</v>
      </c>
      <c r="BH32" s="405">
        <f>'NKC2'!BL44*100</f>
        <v>0</v>
      </c>
      <c r="BI32" s="405">
        <f>'NKC2'!BM44*100</f>
        <v>0</v>
      </c>
      <c r="BJ32" s="405">
        <f>'NKC2'!BN44*100</f>
        <v>0</v>
      </c>
      <c r="BK32" s="405">
        <f>'NKC2'!BO44*100</f>
        <v>0</v>
      </c>
      <c r="BL32" s="405">
        <f>'NKC2'!BP44*100</f>
        <v>0</v>
      </c>
      <c r="BM32" s="405">
        <f>'NKC2'!BQ44*100</f>
        <v>0</v>
      </c>
      <c r="BN32" s="405">
        <f>'NKC2'!BR44*100</f>
        <v>0</v>
      </c>
      <c r="BO32" s="405">
        <f>'NKC2'!BS44*100</f>
        <v>0</v>
      </c>
      <c r="BP32" s="405">
        <f>'NKC2'!BT44*100</f>
        <v>0</v>
      </c>
      <c r="BQ32" s="405">
        <f>'NKC2'!BU44*100</f>
        <v>0</v>
      </c>
      <c r="BR32" s="405">
        <f>'NKC2'!BV44*100</f>
        <v>0</v>
      </c>
      <c r="BS32" s="405">
        <f>'NKC2'!BW44*100</f>
        <v>0</v>
      </c>
      <c r="BT32" s="405">
        <f>'NKC2'!BX44*100</f>
        <v>0</v>
      </c>
      <c r="BU32" s="405">
        <f>'NKC2'!BY44*100</f>
        <v>0</v>
      </c>
      <c r="BV32" s="405">
        <f>'NKC2'!BZ44*100</f>
        <v>0</v>
      </c>
      <c r="BW32" s="405">
        <f>'NKC2'!CA44*100</f>
        <v>0</v>
      </c>
      <c r="BX32" s="405">
        <f>'NKC2'!CB44*100</f>
        <v>0</v>
      </c>
      <c r="BY32" s="405">
        <f>'NKC2'!CC44*100</f>
        <v>0</v>
      </c>
      <c r="BZ32" s="405">
        <f>'NKC2'!CD44*100</f>
        <v>0</v>
      </c>
      <c r="CA32" s="405">
        <f>'NKC2'!CE44*100</f>
        <v>0</v>
      </c>
      <c r="CB32" s="405">
        <f>'NKC2'!CF44*100</f>
        <v>0</v>
      </c>
      <c r="CC32" s="405">
        <f>'NKC2'!CG44*100</f>
        <v>0</v>
      </c>
      <c r="CD32" s="405">
        <f>'NKC2'!CH44*100</f>
        <v>0</v>
      </c>
      <c r="CE32" s="405">
        <f>'NKC2'!CI44*100</f>
        <v>0</v>
      </c>
      <c r="CF32" s="405">
        <f>'NKC2'!CJ44*100</f>
        <v>0</v>
      </c>
      <c r="CG32" s="405">
        <f>'NKC2'!CK44*100</f>
        <v>0</v>
      </c>
      <c r="CH32" s="405">
        <f>'NKC2'!CL44*100</f>
        <v>0</v>
      </c>
      <c r="CI32" s="405">
        <f>'NKC2'!CM44*100</f>
        <v>0</v>
      </c>
    </row>
    <row r="33" spans="1:87" x14ac:dyDescent="0.45">
      <c r="A33" t="str">
        <f>'NKC2'!B45</f>
        <v>1.2.13</v>
      </c>
      <c r="B33">
        <f>'NKC2'!D45</f>
        <v>0</v>
      </c>
      <c r="C33" s="193">
        <f>'NKC2'!F45</f>
        <v>0</v>
      </c>
      <c r="D33" s="140" t="str">
        <f>'NKC2'!G43</f>
        <v>A</v>
      </c>
      <c r="E33" s="198">
        <f>'NKC2'!H45*100</f>
        <v>0</v>
      </c>
      <c r="F33" s="198">
        <f>'NKC2'!J45*100</f>
        <v>0</v>
      </c>
      <c r="G33" s="198">
        <f>'NKC2'!K45*100</f>
        <v>0</v>
      </c>
      <c r="H33" s="198">
        <f>'NKC2'!L45*100</f>
        <v>0</v>
      </c>
      <c r="I33" s="198">
        <f>'NKC2'!M45*100</f>
        <v>0</v>
      </c>
      <c r="J33" s="198">
        <f>'NKC2'!N45*100</f>
        <v>0</v>
      </c>
      <c r="K33" s="198">
        <f>'NKC2'!O45*100</f>
        <v>0</v>
      </c>
      <c r="L33" s="198">
        <f>'NKC2'!P45*100</f>
        <v>0</v>
      </c>
      <c r="M33" s="198">
        <f>'NKC2'!Q45*100</f>
        <v>0</v>
      </c>
      <c r="N33" s="198">
        <f>'NKC2'!R45*100</f>
        <v>0</v>
      </c>
      <c r="O33" s="198">
        <f>'NKC2'!S45*100</f>
        <v>0</v>
      </c>
      <c r="P33" s="198">
        <f>'NKC2'!T45*100</f>
        <v>0</v>
      </c>
      <c r="Q33" s="198">
        <f>'NKC2'!U45*100</f>
        <v>0</v>
      </c>
      <c r="R33" s="198">
        <f>'NKC2'!V45*100</f>
        <v>0</v>
      </c>
      <c r="S33" s="198">
        <f>'NKC2'!W45*100</f>
        <v>0</v>
      </c>
      <c r="T33" s="198">
        <f>'NKC2'!X45*100</f>
        <v>0</v>
      </c>
      <c r="U33" s="198">
        <f>'NKC2'!Y45*100</f>
        <v>0</v>
      </c>
      <c r="V33" s="198">
        <f>'NKC2'!Z45*100</f>
        <v>0</v>
      </c>
      <c r="W33" s="198">
        <f>'NKC2'!AA45*100</f>
        <v>0</v>
      </c>
      <c r="X33" s="198">
        <f>'NKC2'!AB45*100</f>
        <v>0</v>
      </c>
      <c r="Y33" s="198">
        <f>'NKC2'!AC45*100</f>
        <v>0</v>
      </c>
      <c r="Z33" s="198">
        <f>'NKC2'!AD45*100</f>
        <v>0</v>
      </c>
      <c r="AA33" s="198">
        <f>'NKC2'!AE45*100</f>
        <v>0</v>
      </c>
      <c r="AB33" s="198">
        <f>'NKC2'!AF45*100</f>
        <v>0</v>
      </c>
      <c r="AC33" s="198">
        <f>'NKC2'!AG45*100</f>
        <v>0</v>
      </c>
      <c r="AD33" s="198">
        <f>'NKC2'!AH45*100</f>
        <v>0</v>
      </c>
      <c r="AE33" s="198">
        <f>'NKC2'!AI45*100</f>
        <v>0</v>
      </c>
      <c r="AF33" s="198">
        <f>'NKC2'!AJ45*100</f>
        <v>0</v>
      </c>
      <c r="AG33" s="198">
        <f>'NKC2'!AK45*100</f>
        <v>0</v>
      </c>
      <c r="AH33" s="198">
        <f>'NKC2'!AL45*100</f>
        <v>0</v>
      </c>
      <c r="AI33" s="198">
        <f>'NKC2'!AM45*100</f>
        <v>0</v>
      </c>
      <c r="AJ33" s="198">
        <f>'NKC2'!AN45*100</f>
        <v>0</v>
      </c>
      <c r="AK33" s="198">
        <f>'NKC2'!AO45*100</f>
        <v>0</v>
      </c>
      <c r="AL33" s="198">
        <f>'NKC2'!AP45*100</f>
        <v>0</v>
      </c>
      <c r="AM33" s="198">
        <f>'NKC2'!AQ45*100</f>
        <v>0</v>
      </c>
      <c r="AN33" s="198">
        <f>'NKC2'!AR45*100</f>
        <v>0</v>
      </c>
      <c r="AO33" s="198">
        <f>'NKC2'!AS45*100</f>
        <v>0</v>
      </c>
      <c r="AP33" s="198">
        <f>'NKC2'!AT45*100</f>
        <v>0</v>
      </c>
      <c r="AQ33" s="198">
        <f>'NKC2'!AU45*100</f>
        <v>0</v>
      </c>
      <c r="AR33" s="198">
        <f>'NKC2'!AV45*100</f>
        <v>0</v>
      </c>
      <c r="AS33" s="198">
        <f>'NKC2'!AW45*100</f>
        <v>0</v>
      </c>
      <c r="AT33" s="198">
        <f>'NKC2'!AX45*100</f>
        <v>0</v>
      </c>
      <c r="AU33" s="198">
        <f>'NKC2'!AY45*100</f>
        <v>0</v>
      </c>
      <c r="AV33" s="198">
        <f>'NKC2'!AZ45*100</f>
        <v>0</v>
      </c>
      <c r="AW33" s="198">
        <f>'NKC2'!BA45*100</f>
        <v>0</v>
      </c>
      <c r="AX33" s="198">
        <f>'NKC2'!BB45*100</f>
        <v>0</v>
      </c>
      <c r="AY33" s="198">
        <f>'NKC2'!BC45*100</f>
        <v>0</v>
      </c>
      <c r="AZ33" s="198">
        <f>'NKC2'!BD45*100</f>
        <v>0</v>
      </c>
      <c r="BA33" s="198">
        <f>'NKC2'!BE45*100</f>
        <v>0</v>
      </c>
      <c r="BB33" s="198">
        <f>'NKC2'!BF45*100</f>
        <v>0</v>
      </c>
      <c r="BC33" s="198">
        <f>'NKC2'!BG45*100</f>
        <v>0</v>
      </c>
      <c r="BD33" s="198">
        <f>'NKC2'!BH45*100</f>
        <v>0</v>
      </c>
      <c r="BE33" s="198">
        <f>'NKC2'!BI45*100</f>
        <v>0</v>
      </c>
      <c r="BF33" s="198">
        <f>'NKC2'!BJ45*100</f>
        <v>0</v>
      </c>
      <c r="BG33" s="198">
        <f>'NKC2'!BK45*100</f>
        <v>0</v>
      </c>
      <c r="BH33" s="198">
        <f>'NKC2'!BL45*100</f>
        <v>0</v>
      </c>
      <c r="BI33" s="198">
        <f>'NKC2'!BM45*100</f>
        <v>0</v>
      </c>
      <c r="BJ33" s="198">
        <f>'NKC2'!BN45*100</f>
        <v>0</v>
      </c>
      <c r="BK33" s="198">
        <f>'NKC2'!BO45*100</f>
        <v>0</v>
      </c>
      <c r="BL33" s="198">
        <f>'NKC2'!BP45*100</f>
        <v>0</v>
      </c>
      <c r="BM33" s="198">
        <f>'NKC2'!BQ45*100</f>
        <v>0</v>
      </c>
      <c r="BN33" s="198">
        <f>'NKC2'!BR45*100</f>
        <v>0</v>
      </c>
      <c r="BO33" s="198">
        <f>'NKC2'!BS45*100</f>
        <v>0</v>
      </c>
      <c r="BP33" s="198">
        <f>'NKC2'!BT45*100</f>
        <v>0</v>
      </c>
      <c r="BQ33" s="198">
        <f>'NKC2'!BU45*100</f>
        <v>0</v>
      </c>
      <c r="BR33" s="198">
        <f>'NKC2'!BV45*100</f>
        <v>0</v>
      </c>
      <c r="BS33" s="198">
        <f>'NKC2'!BW45*100</f>
        <v>0</v>
      </c>
      <c r="BT33" s="198">
        <f>'NKC2'!BX45*100</f>
        <v>0</v>
      </c>
      <c r="BU33" s="198">
        <f>'NKC2'!BY45*100</f>
        <v>0</v>
      </c>
      <c r="BV33" s="198">
        <f>'NKC2'!BZ45*100</f>
        <v>0</v>
      </c>
      <c r="BW33" s="198">
        <f>'NKC2'!CA45*100</f>
        <v>0</v>
      </c>
      <c r="BX33" s="198">
        <f>'NKC2'!CB45*100</f>
        <v>0</v>
      </c>
      <c r="BY33" s="198">
        <f>'NKC2'!CC45*100</f>
        <v>0</v>
      </c>
      <c r="BZ33" s="198">
        <f>'NKC2'!CD45*100</f>
        <v>0</v>
      </c>
      <c r="CA33" s="198">
        <f>'NKC2'!CE45*100</f>
        <v>0</v>
      </c>
      <c r="CB33" s="198">
        <f>'NKC2'!CF45*100</f>
        <v>0</v>
      </c>
      <c r="CC33" s="198">
        <f>'NKC2'!CG45*100</f>
        <v>0</v>
      </c>
      <c r="CD33" s="198">
        <f>'NKC2'!CH45*100</f>
        <v>0</v>
      </c>
      <c r="CE33" s="198">
        <f>'NKC2'!CI45*100</f>
        <v>0</v>
      </c>
      <c r="CF33" s="198">
        <f>'NKC2'!CJ45*100</f>
        <v>0</v>
      </c>
      <c r="CG33" s="198">
        <f>'NKC2'!CK45*100</f>
        <v>0</v>
      </c>
      <c r="CH33" s="198">
        <f>'NKC2'!CL45*100</f>
        <v>0</v>
      </c>
      <c r="CI33" s="198">
        <f>'NKC2'!CM45*100</f>
        <v>0</v>
      </c>
    </row>
    <row r="34" spans="1:87" x14ac:dyDescent="0.45">
      <c r="A34" s="403" t="str">
        <f>'NKC2'!B46</f>
        <v>1.2.14</v>
      </c>
      <c r="B34" s="403" t="str">
        <f>'NKC2'!D46</f>
        <v xml:space="preserve">         งานโครงสร้างทางเข้าอาคาร</v>
      </c>
      <c r="C34" s="404">
        <f>'NKC2'!F46</f>
        <v>158540.34849999999</v>
      </c>
      <c r="D34" s="407" t="str">
        <f>'NKC2'!G44</f>
        <v>P</v>
      </c>
      <c r="E34" s="405">
        <f>'NKC2'!H46*100</f>
        <v>100</v>
      </c>
      <c r="F34" s="405">
        <f>'NKC2'!J46*100</f>
        <v>0</v>
      </c>
      <c r="G34" s="405">
        <f>'NKC2'!K46*100</f>
        <v>0</v>
      </c>
      <c r="H34" s="405">
        <f>'NKC2'!L46*100</f>
        <v>0</v>
      </c>
      <c r="I34" s="405">
        <f>'NKC2'!M46*100</f>
        <v>0</v>
      </c>
      <c r="J34" s="405">
        <f>'NKC2'!N46*100</f>
        <v>0</v>
      </c>
      <c r="K34" s="405">
        <f>'NKC2'!O46*100</f>
        <v>0</v>
      </c>
      <c r="L34" s="405">
        <f>'NKC2'!P46*100</f>
        <v>0</v>
      </c>
      <c r="M34" s="405">
        <f>'NKC2'!Q46*100</f>
        <v>0</v>
      </c>
      <c r="N34" s="405">
        <f>'NKC2'!R46*100</f>
        <v>0</v>
      </c>
      <c r="O34" s="405">
        <f>'NKC2'!S46*100</f>
        <v>0</v>
      </c>
      <c r="P34" s="405">
        <f>'NKC2'!T46*100</f>
        <v>0</v>
      </c>
      <c r="Q34" s="405">
        <f>'NKC2'!U46*100</f>
        <v>0</v>
      </c>
      <c r="R34" s="405">
        <f>'NKC2'!V46*100</f>
        <v>0</v>
      </c>
      <c r="S34" s="405">
        <f>'NKC2'!W46*100</f>
        <v>0</v>
      </c>
      <c r="T34" s="405">
        <f>'NKC2'!X46*100</f>
        <v>0</v>
      </c>
      <c r="U34" s="405">
        <f>'NKC2'!Y46*100</f>
        <v>0</v>
      </c>
      <c r="V34" s="405">
        <f>'NKC2'!Z46*100</f>
        <v>0</v>
      </c>
      <c r="W34" s="405">
        <f>'NKC2'!AA46*100</f>
        <v>0</v>
      </c>
      <c r="X34" s="405">
        <f>'NKC2'!AB46*100</f>
        <v>10</v>
      </c>
      <c r="Y34" s="405">
        <f>'NKC2'!AC46*100</f>
        <v>10</v>
      </c>
      <c r="Z34" s="405">
        <f>'NKC2'!AD46*100</f>
        <v>20</v>
      </c>
      <c r="AA34" s="405">
        <f>'NKC2'!AE46*100</f>
        <v>40</v>
      </c>
      <c r="AB34" s="405">
        <f>'NKC2'!AF46*100</f>
        <v>20</v>
      </c>
      <c r="AC34" s="405">
        <f>'NKC2'!AG46*100</f>
        <v>0</v>
      </c>
      <c r="AD34" s="405">
        <f>'NKC2'!AH46*100</f>
        <v>0</v>
      </c>
      <c r="AE34" s="405">
        <f>'NKC2'!AI46*100</f>
        <v>0</v>
      </c>
      <c r="AF34" s="405">
        <f>'NKC2'!AJ46*100</f>
        <v>0</v>
      </c>
      <c r="AG34" s="405">
        <f>'NKC2'!AK46*100</f>
        <v>0</v>
      </c>
      <c r="AH34" s="405">
        <f>'NKC2'!AL46*100</f>
        <v>0</v>
      </c>
      <c r="AI34" s="405">
        <f>'NKC2'!AM46*100</f>
        <v>0</v>
      </c>
      <c r="AJ34" s="405">
        <f>'NKC2'!AN46*100</f>
        <v>0</v>
      </c>
      <c r="AK34" s="405">
        <f>'NKC2'!AO46*100</f>
        <v>0</v>
      </c>
      <c r="AL34" s="405">
        <f>'NKC2'!AP46*100</f>
        <v>0</v>
      </c>
      <c r="AM34" s="405">
        <f>'NKC2'!AQ46*100</f>
        <v>0</v>
      </c>
      <c r="AN34" s="405">
        <f>'NKC2'!AR46*100</f>
        <v>0</v>
      </c>
      <c r="AO34" s="405">
        <f>'NKC2'!AS46*100</f>
        <v>0</v>
      </c>
      <c r="AP34" s="405">
        <f>'NKC2'!AT46*100</f>
        <v>0</v>
      </c>
      <c r="AQ34" s="405">
        <f>'NKC2'!AU46*100</f>
        <v>0</v>
      </c>
      <c r="AR34" s="405">
        <f>'NKC2'!AV46*100</f>
        <v>0</v>
      </c>
      <c r="AS34" s="405">
        <f>'NKC2'!AW46*100</f>
        <v>0</v>
      </c>
      <c r="AT34" s="405">
        <f>'NKC2'!AX46*100</f>
        <v>0</v>
      </c>
      <c r="AU34" s="405">
        <f>'NKC2'!AY46*100</f>
        <v>0</v>
      </c>
      <c r="AV34" s="405">
        <f>'NKC2'!AZ46*100</f>
        <v>0</v>
      </c>
      <c r="AW34" s="405">
        <f>'NKC2'!BA46*100</f>
        <v>0</v>
      </c>
      <c r="AX34" s="405">
        <f>'NKC2'!BB46*100</f>
        <v>0</v>
      </c>
      <c r="AY34" s="405">
        <f>'NKC2'!BC46*100</f>
        <v>0</v>
      </c>
      <c r="AZ34" s="405">
        <f>'NKC2'!BD46*100</f>
        <v>0</v>
      </c>
      <c r="BA34" s="405">
        <f>'NKC2'!BE46*100</f>
        <v>0</v>
      </c>
      <c r="BB34" s="405">
        <f>'NKC2'!BF46*100</f>
        <v>0</v>
      </c>
      <c r="BC34" s="405">
        <f>'NKC2'!BG46*100</f>
        <v>0</v>
      </c>
      <c r="BD34" s="405">
        <f>'NKC2'!BH46*100</f>
        <v>0</v>
      </c>
      <c r="BE34" s="405">
        <f>'NKC2'!BI46*100</f>
        <v>0</v>
      </c>
      <c r="BF34" s="405">
        <f>'NKC2'!BJ46*100</f>
        <v>0</v>
      </c>
      <c r="BG34" s="405">
        <f>'NKC2'!BK46*100</f>
        <v>0</v>
      </c>
      <c r="BH34" s="405">
        <f>'NKC2'!BL46*100</f>
        <v>0</v>
      </c>
      <c r="BI34" s="405">
        <f>'NKC2'!BM46*100</f>
        <v>0</v>
      </c>
      <c r="BJ34" s="405">
        <f>'NKC2'!BN46*100</f>
        <v>0</v>
      </c>
      <c r="BK34" s="405">
        <f>'NKC2'!BO46*100</f>
        <v>0</v>
      </c>
      <c r="BL34" s="405">
        <f>'NKC2'!BP46*100</f>
        <v>0</v>
      </c>
      <c r="BM34" s="405">
        <f>'NKC2'!BQ46*100</f>
        <v>0</v>
      </c>
      <c r="BN34" s="405">
        <f>'NKC2'!BR46*100</f>
        <v>0</v>
      </c>
      <c r="BO34" s="405">
        <f>'NKC2'!BS46*100</f>
        <v>0</v>
      </c>
      <c r="BP34" s="405">
        <f>'NKC2'!BT46*100</f>
        <v>0</v>
      </c>
      <c r="BQ34" s="405">
        <f>'NKC2'!BU46*100</f>
        <v>0</v>
      </c>
      <c r="BR34" s="405">
        <f>'NKC2'!BV46*100</f>
        <v>0</v>
      </c>
      <c r="BS34" s="405">
        <f>'NKC2'!BW46*100</f>
        <v>0</v>
      </c>
      <c r="BT34" s="405">
        <f>'NKC2'!BX46*100</f>
        <v>0</v>
      </c>
      <c r="BU34" s="405">
        <f>'NKC2'!BY46*100</f>
        <v>0</v>
      </c>
      <c r="BV34" s="405">
        <f>'NKC2'!BZ46*100</f>
        <v>0</v>
      </c>
      <c r="BW34" s="405">
        <f>'NKC2'!CA46*100</f>
        <v>0</v>
      </c>
      <c r="BX34" s="405">
        <f>'NKC2'!CB46*100</f>
        <v>0</v>
      </c>
      <c r="BY34" s="405">
        <f>'NKC2'!CC46*100</f>
        <v>0</v>
      </c>
      <c r="BZ34" s="405">
        <f>'NKC2'!CD46*100</f>
        <v>0</v>
      </c>
      <c r="CA34" s="405">
        <f>'NKC2'!CE46*100</f>
        <v>0</v>
      </c>
      <c r="CB34" s="405">
        <f>'NKC2'!CF46*100</f>
        <v>0</v>
      </c>
      <c r="CC34" s="405">
        <f>'NKC2'!CG46*100</f>
        <v>0</v>
      </c>
      <c r="CD34" s="405">
        <f>'NKC2'!CH46*100</f>
        <v>0</v>
      </c>
      <c r="CE34" s="405">
        <f>'NKC2'!CI46*100</f>
        <v>0</v>
      </c>
      <c r="CF34" s="405">
        <f>'NKC2'!CJ46*100</f>
        <v>0</v>
      </c>
      <c r="CG34" s="405">
        <f>'NKC2'!CK46*100</f>
        <v>0</v>
      </c>
      <c r="CH34" s="405">
        <f>'NKC2'!CL46*100</f>
        <v>0</v>
      </c>
      <c r="CI34" s="405">
        <f>'NKC2'!CM46*100</f>
        <v>0</v>
      </c>
    </row>
    <row r="35" spans="1:87" x14ac:dyDescent="0.45">
      <c r="A35" t="str">
        <f>'NKC2'!B47</f>
        <v>1.2.14</v>
      </c>
      <c r="B35" t="str">
        <f>'NKC2'!D47</f>
        <v xml:space="preserve">         งานโครงสร้างทางเข้าอาคาร</v>
      </c>
      <c r="C35" s="193">
        <f>'NKC2'!F47</f>
        <v>158540.34849999999</v>
      </c>
      <c r="D35" s="140" t="str">
        <f>'NKC2'!G45</f>
        <v>A</v>
      </c>
      <c r="E35" s="198">
        <f>'NKC2'!H47*100</f>
        <v>0</v>
      </c>
      <c r="F35" s="198">
        <f>'NKC2'!J47*100</f>
        <v>0</v>
      </c>
      <c r="G35" s="198">
        <f>'NKC2'!K47*100</f>
        <v>0</v>
      </c>
      <c r="H35" s="198">
        <f>'NKC2'!L47*100</f>
        <v>0</v>
      </c>
      <c r="I35" s="198">
        <f>'NKC2'!M47*100</f>
        <v>0</v>
      </c>
      <c r="J35" s="198">
        <f>'NKC2'!N47*100</f>
        <v>0</v>
      </c>
      <c r="K35" s="198">
        <f>'NKC2'!O47*100</f>
        <v>0</v>
      </c>
      <c r="L35" s="198">
        <f>'NKC2'!P47*100</f>
        <v>0</v>
      </c>
      <c r="M35" s="198">
        <f>'NKC2'!Q47*100</f>
        <v>0</v>
      </c>
      <c r="N35" s="198">
        <f>'NKC2'!R47*100</f>
        <v>0</v>
      </c>
      <c r="O35" s="198">
        <f>'NKC2'!S47*100</f>
        <v>0</v>
      </c>
      <c r="P35" s="198">
        <f>'NKC2'!T47*100</f>
        <v>0</v>
      </c>
      <c r="Q35" s="198">
        <f>'NKC2'!U47*100</f>
        <v>0</v>
      </c>
      <c r="R35" s="198">
        <f>'NKC2'!V47*100</f>
        <v>0</v>
      </c>
      <c r="S35" s="198">
        <f>'NKC2'!W47*100</f>
        <v>0</v>
      </c>
      <c r="T35" s="198">
        <f>'NKC2'!X47*100</f>
        <v>0</v>
      </c>
      <c r="U35" s="198">
        <f>'NKC2'!Y47*100</f>
        <v>0</v>
      </c>
      <c r="V35" s="198">
        <f>'NKC2'!Z47*100</f>
        <v>0</v>
      </c>
      <c r="W35" s="198">
        <f>'NKC2'!AA47*100</f>
        <v>0</v>
      </c>
      <c r="X35" s="198">
        <f>'NKC2'!AB47*100</f>
        <v>0</v>
      </c>
      <c r="Y35" s="198">
        <f>'NKC2'!AC47*100</f>
        <v>0</v>
      </c>
      <c r="Z35" s="198">
        <f>'NKC2'!AD47*100</f>
        <v>0</v>
      </c>
      <c r="AA35" s="198">
        <f>'NKC2'!AE47*100</f>
        <v>0</v>
      </c>
      <c r="AB35" s="198">
        <f>'NKC2'!AF47*100</f>
        <v>0</v>
      </c>
      <c r="AC35" s="198">
        <f>'NKC2'!AG47*100</f>
        <v>0</v>
      </c>
      <c r="AD35" s="198">
        <f>'NKC2'!AH47*100</f>
        <v>0</v>
      </c>
      <c r="AE35" s="198">
        <f>'NKC2'!AI47*100</f>
        <v>0</v>
      </c>
      <c r="AF35" s="198">
        <f>'NKC2'!AJ47*100</f>
        <v>0</v>
      </c>
      <c r="AG35" s="198">
        <f>'NKC2'!AK47*100</f>
        <v>0</v>
      </c>
      <c r="AH35" s="198">
        <f>'NKC2'!AL47*100</f>
        <v>0</v>
      </c>
      <c r="AI35" s="198">
        <f>'NKC2'!AM47*100</f>
        <v>0</v>
      </c>
      <c r="AJ35" s="198">
        <f>'NKC2'!AN47*100</f>
        <v>0</v>
      </c>
      <c r="AK35" s="198">
        <f>'NKC2'!AO47*100</f>
        <v>0</v>
      </c>
      <c r="AL35" s="198">
        <f>'NKC2'!AP47*100</f>
        <v>0</v>
      </c>
      <c r="AM35" s="198">
        <f>'NKC2'!AQ47*100</f>
        <v>0</v>
      </c>
      <c r="AN35" s="198">
        <f>'NKC2'!AR47*100</f>
        <v>0</v>
      </c>
      <c r="AO35" s="198">
        <f>'NKC2'!AS47*100</f>
        <v>0</v>
      </c>
      <c r="AP35" s="198">
        <f>'NKC2'!AT47*100</f>
        <v>0</v>
      </c>
      <c r="AQ35" s="198">
        <f>'NKC2'!AU47*100</f>
        <v>0</v>
      </c>
      <c r="AR35" s="198">
        <f>'NKC2'!AV47*100</f>
        <v>0</v>
      </c>
      <c r="AS35" s="198">
        <f>'NKC2'!AW47*100</f>
        <v>0</v>
      </c>
      <c r="AT35" s="198">
        <f>'NKC2'!AX47*100</f>
        <v>0</v>
      </c>
      <c r="AU35" s="198">
        <f>'NKC2'!AY47*100</f>
        <v>0</v>
      </c>
      <c r="AV35" s="198">
        <f>'NKC2'!AZ47*100</f>
        <v>0</v>
      </c>
      <c r="AW35" s="198">
        <f>'NKC2'!BA47*100</f>
        <v>0</v>
      </c>
      <c r="AX35" s="198">
        <f>'NKC2'!BB47*100</f>
        <v>0</v>
      </c>
      <c r="AY35" s="198">
        <f>'NKC2'!BC47*100</f>
        <v>0</v>
      </c>
      <c r="AZ35" s="198">
        <f>'NKC2'!BD47*100</f>
        <v>0</v>
      </c>
      <c r="BA35" s="198">
        <f>'NKC2'!BE47*100</f>
        <v>0</v>
      </c>
      <c r="BB35" s="198">
        <f>'NKC2'!BF47*100</f>
        <v>0</v>
      </c>
      <c r="BC35" s="198">
        <f>'NKC2'!BG47*100</f>
        <v>0</v>
      </c>
      <c r="BD35" s="198">
        <f>'NKC2'!BH47*100</f>
        <v>0</v>
      </c>
      <c r="BE35" s="198">
        <f>'NKC2'!BI47*100</f>
        <v>0</v>
      </c>
      <c r="BF35" s="198">
        <f>'NKC2'!BJ47*100</f>
        <v>0</v>
      </c>
      <c r="BG35" s="198">
        <f>'NKC2'!BK47*100</f>
        <v>0</v>
      </c>
      <c r="BH35" s="198">
        <f>'NKC2'!BL47*100</f>
        <v>0</v>
      </c>
      <c r="BI35" s="198">
        <f>'NKC2'!BM47*100</f>
        <v>0</v>
      </c>
      <c r="BJ35" s="198">
        <f>'NKC2'!BN47*100</f>
        <v>0</v>
      </c>
      <c r="BK35" s="198">
        <f>'NKC2'!BO47*100</f>
        <v>0</v>
      </c>
      <c r="BL35" s="198">
        <f>'NKC2'!BP47*100</f>
        <v>0</v>
      </c>
      <c r="BM35" s="198">
        <f>'NKC2'!BQ47*100</f>
        <v>0</v>
      </c>
      <c r="BN35" s="198">
        <f>'NKC2'!BR47*100</f>
        <v>0</v>
      </c>
      <c r="BO35" s="198">
        <f>'NKC2'!BS47*100</f>
        <v>0</v>
      </c>
      <c r="BP35" s="198">
        <f>'NKC2'!BT47*100</f>
        <v>0</v>
      </c>
      <c r="BQ35" s="198">
        <f>'NKC2'!BU47*100</f>
        <v>0</v>
      </c>
      <c r="BR35" s="198">
        <f>'NKC2'!BV47*100</f>
        <v>0</v>
      </c>
      <c r="BS35" s="198">
        <f>'NKC2'!BW47*100</f>
        <v>0</v>
      </c>
      <c r="BT35" s="198">
        <f>'NKC2'!BX47*100</f>
        <v>0</v>
      </c>
      <c r="BU35" s="198">
        <f>'NKC2'!BY47*100</f>
        <v>0</v>
      </c>
      <c r="BV35" s="198">
        <f>'NKC2'!BZ47*100</f>
        <v>0</v>
      </c>
      <c r="BW35" s="198">
        <f>'NKC2'!CA47*100</f>
        <v>0</v>
      </c>
      <c r="BX35" s="198">
        <f>'NKC2'!CB47*100</f>
        <v>0</v>
      </c>
      <c r="BY35" s="198">
        <f>'NKC2'!CC47*100</f>
        <v>0</v>
      </c>
      <c r="BZ35" s="198">
        <f>'NKC2'!CD47*100</f>
        <v>0</v>
      </c>
      <c r="CA35" s="198">
        <f>'NKC2'!CE47*100</f>
        <v>0</v>
      </c>
      <c r="CB35" s="198">
        <f>'NKC2'!CF47*100</f>
        <v>0</v>
      </c>
      <c r="CC35" s="198">
        <f>'NKC2'!CG47*100</f>
        <v>0</v>
      </c>
      <c r="CD35" s="198">
        <f>'NKC2'!CH47*100</f>
        <v>0</v>
      </c>
      <c r="CE35" s="198">
        <f>'NKC2'!CI47*100</f>
        <v>0</v>
      </c>
      <c r="CF35" s="198">
        <f>'NKC2'!CJ47*100</f>
        <v>0</v>
      </c>
      <c r="CG35" s="198">
        <f>'NKC2'!CK47*100</f>
        <v>0</v>
      </c>
      <c r="CH35" s="198">
        <f>'NKC2'!CL47*100</f>
        <v>0</v>
      </c>
      <c r="CI35" s="198">
        <f>'NKC2'!CM47*100</f>
        <v>0</v>
      </c>
    </row>
    <row r="36" spans="1:87" x14ac:dyDescent="0.45">
      <c r="A36" s="403">
        <f>'NKC2'!B48</f>
        <v>1.3</v>
      </c>
      <c r="B36" s="403" t="str">
        <f>'NKC2'!D48</f>
        <v xml:space="preserve">      งาน Riser</v>
      </c>
      <c r="C36" s="404">
        <f>'NKC2'!F48</f>
        <v>349589.6634711941</v>
      </c>
      <c r="D36" s="407" t="str">
        <f>'NKC2'!G46</f>
        <v>P</v>
      </c>
      <c r="E36" s="405">
        <f>'NKC2'!H48*100</f>
        <v>0</v>
      </c>
      <c r="F36" s="405">
        <f>'NKC2'!J48*100</f>
        <v>0</v>
      </c>
      <c r="G36" s="405">
        <f>'NKC2'!K48*100</f>
        <v>0</v>
      </c>
      <c r="H36" s="405">
        <f>'NKC2'!L48*100</f>
        <v>0</v>
      </c>
      <c r="I36" s="405">
        <f>'NKC2'!M48*100</f>
        <v>0</v>
      </c>
      <c r="J36" s="405">
        <f>'NKC2'!N48*100</f>
        <v>0</v>
      </c>
      <c r="K36" s="405">
        <f>'NKC2'!O48*100</f>
        <v>0</v>
      </c>
      <c r="L36" s="405">
        <f>'NKC2'!P48*100</f>
        <v>0</v>
      </c>
      <c r="M36" s="405">
        <f>'NKC2'!Q48*100</f>
        <v>0</v>
      </c>
      <c r="N36" s="405">
        <f>'NKC2'!R48*100</f>
        <v>0</v>
      </c>
      <c r="O36" s="405">
        <f>'NKC2'!S48*100</f>
        <v>0</v>
      </c>
      <c r="P36" s="405">
        <f>'NKC2'!T48*100</f>
        <v>0</v>
      </c>
      <c r="Q36" s="405">
        <f>'NKC2'!U48*100</f>
        <v>0</v>
      </c>
      <c r="R36" s="405">
        <f>'NKC2'!V48*100</f>
        <v>0</v>
      </c>
      <c r="S36" s="405">
        <f>'NKC2'!W48*100</f>
        <v>0</v>
      </c>
      <c r="T36" s="405">
        <f>'NKC2'!X48*100</f>
        <v>0</v>
      </c>
      <c r="U36" s="405">
        <f>'NKC2'!Y48*100</f>
        <v>0</v>
      </c>
      <c r="V36" s="405">
        <f>'NKC2'!Z48*100</f>
        <v>0</v>
      </c>
      <c r="W36" s="405">
        <f>'NKC2'!AA48*100</f>
        <v>0</v>
      </c>
      <c r="X36" s="405">
        <f>'NKC2'!AB48*100</f>
        <v>0</v>
      </c>
      <c r="Y36" s="405">
        <f>'NKC2'!AC48*100</f>
        <v>0</v>
      </c>
      <c r="Z36" s="405">
        <f>'NKC2'!AD48*100</f>
        <v>0</v>
      </c>
      <c r="AA36" s="405">
        <f>'NKC2'!AE48*100</f>
        <v>0</v>
      </c>
      <c r="AB36" s="405">
        <f>'NKC2'!AF48*100</f>
        <v>0</v>
      </c>
      <c r="AC36" s="405">
        <f>'NKC2'!AG48*100</f>
        <v>0</v>
      </c>
      <c r="AD36" s="405">
        <f>'NKC2'!AH48*100</f>
        <v>0</v>
      </c>
      <c r="AE36" s="405">
        <f>'NKC2'!AI48*100</f>
        <v>0</v>
      </c>
      <c r="AF36" s="405">
        <f>'NKC2'!AJ48*100</f>
        <v>0</v>
      </c>
      <c r="AG36" s="405">
        <f>'NKC2'!AK48*100</f>
        <v>0</v>
      </c>
      <c r="AH36" s="405">
        <f>'NKC2'!AL48*100</f>
        <v>0</v>
      </c>
      <c r="AI36" s="405">
        <f>'NKC2'!AM48*100</f>
        <v>0</v>
      </c>
      <c r="AJ36" s="405">
        <f>'NKC2'!AN48*100</f>
        <v>0</v>
      </c>
      <c r="AK36" s="405">
        <f>'NKC2'!AO48*100</f>
        <v>0</v>
      </c>
      <c r="AL36" s="405">
        <f>'NKC2'!AP48*100</f>
        <v>0</v>
      </c>
      <c r="AM36" s="405">
        <f>'NKC2'!AQ48*100</f>
        <v>0</v>
      </c>
      <c r="AN36" s="405">
        <f>'NKC2'!AR48*100</f>
        <v>0</v>
      </c>
      <c r="AO36" s="405">
        <f>'NKC2'!AS48*100</f>
        <v>0</v>
      </c>
      <c r="AP36" s="405">
        <f>'NKC2'!AT48*100</f>
        <v>0</v>
      </c>
      <c r="AQ36" s="405">
        <f>'NKC2'!AU48*100</f>
        <v>0</v>
      </c>
      <c r="AR36" s="405">
        <f>'NKC2'!AV48*100</f>
        <v>0</v>
      </c>
      <c r="AS36" s="405">
        <f>'NKC2'!AW48*100</f>
        <v>0</v>
      </c>
      <c r="AT36" s="405">
        <f>'NKC2'!AX48*100</f>
        <v>0</v>
      </c>
      <c r="AU36" s="405">
        <f>'NKC2'!AY48*100</f>
        <v>0</v>
      </c>
      <c r="AV36" s="405">
        <f>'NKC2'!AZ48*100</f>
        <v>0</v>
      </c>
      <c r="AW36" s="405">
        <f>'NKC2'!BA48*100</f>
        <v>0</v>
      </c>
      <c r="AX36" s="405">
        <f>'NKC2'!BB48*100</f>
        <v>0</v>
      </c>
      <c r="AY36" s="405">
        <f>'NKC2'!BC48*100</f>
        <v>0</v>
      </c>
      <c r="AZ36" s="405">
        <f>'NKC2'!BD48*100</f>
        <v>0</v>
      </c>
      <c r="BA36" s="405">
        <f>'NKC2'!BE48*100</f>
        <v>0</v>
      </c>
      <c r="BB36" s="405">
        <f>'NKC2'!BF48*100</f>
        <v>0</v>
      </c>
      <c r="BC36" s="405">
        <f>'NKC2'!BG48*100</f>
        <v>0</v>
      </c>
      <c r="BD36" s="405">
        <f>'NKC2'!BH48*100</f>
        <v>0</v>
      </c>
      <c r="BE36" s="405">
        <f>'NKC2'!BI48*100</f>
        <v>0</v>
      </c>
      <c r="BF36" s="405">
        <f>'NKC2'!BJ48*100</f>
        <v>0</v>
      </c>
      <c r="BG36" s="405">
        <f>'NKC2'!BK48*100</f>
        <v>0</v>
      </c>
      <c r="BH36" s="405">
        <f>'NKC2'!BL48*100</f>
        <v>0</v>
      </c>
      <c r="BI36" s="405">
        <f>'NKC2'!BM48*100</f>
        <v>0</v>
      </c>
      <c r="BJ36" s="405">
        <f>'NKC2'!BN48*100</f>
        <v>0</v>
      </c>
      <c r="BK36" s="405">
        <f>'NKC2'!BO48*100</f>
        <v>0</v>
      </c>
      <c r="BL36" s="405">
        <f>'NKC2'!BP48*100</f>
        <v>0</v>
      </c>
      <c r="BM36" s="405">
        <f>'NKC2'!BQ48*100</f>
        <v>0</v>
      </c>
      <c r="BN36" s="405">
        <f>'NKC2'!BR48*100</f>
        <v>0</v>
      </c>
      <c r="BO36" s="405">
        <f>'NKC2'!BS48*100</f>
        <v>0</v>
      </c>
      <c r="BP36" s="405">
        <f>'NKC2'!BT48*100</f>
        <v>0</v>
      </c>
      <c r="BQ36" s="405">
        <f>'NKC2'!BU48*100</f>
        <v>0</v>
      </c>
      <c r="BR36" s="405">
        <f>'NKC2'!BV48*100</f>
        <v>0</v>
      </c>
      <c r="BS36" s="405">
        <f>'NKC2'!BW48*100</f>
        <v>0</v>
      </c>
      <c r="BT36" s="405">
        <f>'NKC2'!BX48*100</f>
        <v>0</v>
      </c>
      <c r="BU36" s="405">
        <f>'NKC2'!BY48*100</f>
        <v>0</v>
      </c>
      <c r="BV36" s="405">
        <f>'NKC2'!BZ48*100</f>
        <v>0</v>
      </c>
      <c r="BW36" s="405">
        <f>'NKC2'!CA48*100</f>
        <v>0</v>
      </c>
      <c r="BX36" s="405">
        <f>'NKC2'!CB48*100</f>
        <v>0</v>
      </c>
      <c r="BY36" s="405">
        <f>'NKC2'!CC48*100</f>
        <v>0</v>
      </c>
      <c r="BZ36" s="405">
        <f>'NKC2'!CD48*100</f>
        <v>0</v>
      </c>
      <c r="CA36" s="405">
        <f>'NKC2'!CE48*100</f>
        <v>0</v>
      </c>
      <c r="CB36" s="405">
        <f>'NKC2'!CF48*100</f>
        <v>0</v>
      </c>
      <c r="CC36" s="405">
        <f>'NKC2'!CG48*100</f>
        <v>0</v>
      </c>
      <c r="CD36" s="405">
        <f>'NKC2'!CH48*100</f>
        <v>0</v>
      </c>
      <c r="CE36" s="405">
        <f>'NKC2'!CI48*100</f>
        <v>0</v>
      </c>
      <c r="CF36" s="405">
        <f>'NKC2'!CJ48*100</f>
        <v>0</v>
      </c>
      <c r="CG36" s="405">
        <f>'NKC2'!CK48*100</f>
        <v>0</v>
      </c>
      <c r="CH36" s="405">
        <f>'NKC2'!CL48*100</f>
        <v>0</v>
      </c>
      <c r="CI36" s="405">
        <f>'NKC2'!CM48*100</f>
        <v>0</v>
      </c>
    </row>
    <row r="37" spans="1:87" x14ac:dyDescent="0.45">
      <c r="A37">
        <f>'NKC2'!B49</f>
        <v>1.3</v>
      </c>
      <c r="B37" t="str">
        <f>'NKC2'!D49</f>
        <v xml:space="preserve">      งาน Riser</v>
      </c>
      <c r="C37" s="193">
        <f>'NKC2'!F49</f>
        <v>349589.6634711941</v>
      </c>
      <c r="D37" s="140" t="str">
        <f>'NKC2'!G47</f>
        <v>A</v>
      </c>
      <c r="E37" s="198">
        <f>'NKC2'!H49*100</f>
        <v>0</v>
      </c>
      <c r="F37" s="198">
        <f>'NKC2'!J49*100</f>
        <v>0</v>
      </c>
      <c r="G37" s="198">
        <f>'NKC2'!K49*100</f>
        <v>0</v>
      </c>
      <c r="H37" s="198">
        <f>'NKC2'!L49*100</f>
        <v>0</v>
      </c>
      <c r="I37" s="198">
        <f>'NKC2'!M49*100</f>
        <v>0</v>
      </c>
      <c r="J37" s="198">
        <f>'NKC2'!N49*100</f>
        <v>0</v>
      </c>
      <c r="K37" s="198">
        <f>'NKC2'!O49*100</f>
        <v>0</v>
      </c>
      <c r="L37" s="198">
        <f>'NKC2'!P49*100</f>
        <v>0</v>
      </c>
      <c r="M37" s="198">
        <f>'NKC2'!Q49*100</f>
        <v>0</v>
      </c>
      <c r="N37" s="198">
        <f>'NKC2'!R49*100</f>
        <v>0</v>
      </c>
      <c r="O37" s="198">
        <f>'NKC2'!S49*100</f>
        <v>0</v>
      </c>
      <c r="P37" s="198">
        <f>'NKC2'!T49*100</f>
        <v>0</v>
      </c>
      <c r="Q37" s="198">
        <f>'NKC2'!U49*100</f>
        <v>0</v>
      </c>
      <c r="R37" s="198">
        <f>'NKC2'!V49*100</f>
        <v>0</v>
      </c>
      <c r="S37" s="198">
        <f>'NKC2'!W49*100</f>
        <v>0</v>
      </c>
      <c r="T37" s="198">
        <f>'NKC2'!X49*100</f>
        <v>0</v>
      </c>
      <c r="U37" s="198">
        <f>'NKC2'!Y49*100</f>
        <v>0</v>
      </c>
      <c r="V37" s="198">
        <f>'NKC2'!Z49*100</f>
        <v>0</v>
      </c>
      <c r="W37" s="198">
        <f>'NKC2'!AA49*100</f>
        <v>0</v>
      </c>
      <c r="X37" s="198">
        <f>'NKC2'!AB49*100</f>
        <v>0</v>
      </c>
      <c r="Y37" s="198">
        <f>'NKC2'!AC49*100</f>
        <v>0</v>
      </c>
      <c r="Z37" s="198">
        <f>'NKC2'!AD49*100</f>
        <v>0</v>
      </c>
      <c r="AA37" s="198">
        <f>'NKC2'!AE49*100</f>
        <v>0</v>
      </c>
      <c r="AB37" s="198">
        <f>'NKC2'!AF49*100</f>
        <v>0</v>
      </c>
      <c r="AC37" s="198">
        <f>'NKC2'!AG49*100</f>
        <v>0</v>
      </c>
      <c r="AD37" s="198">
        <f>'NKC2'!AH49*100</f>
        <v>0</v>
      </c>
      <c r="AE37" s="198">
        <f>'NKC2'!AI49*100</f>
        <v>0</v>
      </c>
      <c r="AF37" s="198">
        <f>'NKC2'!AJ49*100</f>
        <v>0</v>
      </c>
      <c r="AG37" s="198">
        <f>'NKC2'!AK49*100</f>
        <v>0</v>
      </c>
      <c r="AH37" s="198">
        <f>'NKC2'!AL49*100</f>
        <v>0</v>
      </c>
      <c r="AI37" s="198">
        <f>'NKC2'!AM49*100</f>
        <v>0</v>
      </c>
      <c r="AJ37" s="198">
        <f>'NKC2'!AN49*100</f>
        <v>0</v>
      </c>
      <c r="AK37" s="198">
        <f>'NKC2'!AO49*100</f>
        <v>0</v>
      </c>
      <c r="AL37" s="198">
        <f>'NKC2'!AP49*100</f>
        <v>0</v>
      </c>
      <c r="AM37" s="198">
        <f>'NKC2'!AQ49*100</f>
        <v>0</v>
      </c>
      <c r="AN37" s="198">
        <f>'NKC2'!AR49*100</f>
        <v>0</v>
      </c>
      <c r="AO37" s="198">
        <f>'NKC2'!AS49*100</f>
        <v>0</v>
      </c>
      <c r="AP37" s="198">
        <f>'NKC2'!AT49*100</f>
        <v>0</v>
      </c>
      <c r="AQ37" s="198">
        <f>'NKC2'!AU49*100</f>
        <v>0</v>
      </c>
      <c r="AR37" s="198">
        <f>'NKC2'!AV49*100</f>
        <v>0</v>
      </c>
      <c r="AS37" s="198">
        <f>'NKC2'!AW49*100</f>
        <v>0</v>
      </c>
      <c r="AT37" s="198">
        <f>'NKC2'!AX49*100</f>
        <v>0</v>
      </c>
      <c r="AU37" s="198">
        <f>'NKC2'!AY49*100</f>
        <v>0</v>
      </c>
      <c r="AV37" s="198">
        <f>'NKC2'!AZ49*100</f>
        <v>0</v>
      </c>
      <c r="AW37" s="198">
        <f>'NKC2'!BA49*100</f>
        <v>0</v>
      </c>
      <c r="AX37" s="198">
        <f>'NKC2'!BB49*100</f>
        <v>0</v>
      </c>
      <c r="AY37" s="198">
        <f>'NKC2'!BC49*100</f>
        <v>0</v>
      </c>
      <c r="AZ37" s="198">
        <f>'NKC2'!BD49*100</f>
        <v>0</v>
      </c>
      <c r="BA37" s="198">
        <f>'NKC2'!BE49*100</f>
        <v>0</v>
      </c>
      <c r="BB37" s="198">
        <f>'NKC2'!BF49*100</f>
        <v>0</v>
      </c>
      <c r="BC37" s="198">
        <f>'NKC2'!BG49*100</f>
        <v>0</v>
      </c>
      <c r="BD37" s="198">
        <f>'NKC2'!BH49*100</f>
        <v>0</v>
      </c>
      <c r="BE37" s="198">
        <f>'NKC2'!BI49*100</f>
        <v>0</v>
      </c>
      <c r="BF37" s="198">
        <f>'NKC2'!BJ49*100</f>
        <v>0</v>
      </c>
      <c r="BG37" s="198">
        <f>'NKC2'!BK49*100</f>
        <v>0</v>
      </c>
      <c r="BH37" s="198">
        <f>'NKC2'!BL49*100</f>
        <v>0</v>
      </c>
      <c r="BI37" s="198">
        <f>'NKC2'!BM49*100</f>
        <v>0</v>
      </c>
      <c r="BJ37" s="198">
        <f>'NKC2'!BN49*100</f>
        <v>0</v>
      </c>
      <c r="BK37" s="198">
        <f>'NKC2'!BO49*100</f>
        <v>0</v>
      </c>
      <c r="BL37" s="198">
        <f>'NKC2'!BP49*100</f>
        <v>0</v>
      </c>
      <c r="BM37" s="198">
        <f>'NKC2'!BQ49*100</f>
        <v>0</v>
      </c>
      <c r="BN37" s="198">
        <f>'NKC2'!BR49*100</f>
        <v>0</v>
      </c>
      <c r="BO37" s="198">
        <f>'NKC2'!BS49*100</f>
        <v>0</v>
      </c>
      <c r="BP37" s="198">
        <f>'NKC2'!BT49*100</f>
        <v>0</v>
      </c>
      <c r="BQ37" s="198">
        <f>'NKC2'!BU49*100</f>
        <v>0</v>
      </c>
      <c r="BR37" s="198">
        <f>'NKC2'!BV49*100</f>
        <v>0</v>
      </c>
      <c r="BS37" s="198">
        <f>'NKC2'!BW49*100</f>
        <v>0</v>
      </c>
      <c r="BT37" s="198">
        <f>'NKC2'!BX49*100</f>
        <v>0</v>
      </c>
      <c r="BU37" s="198">
        <f>'NKC2'!BY49*100</f>
        <v>0</v>
      </c>
      <c r="BV37" s="198">
        <f>'NKC2'!BZ49*100</f>
        <v>0</v>
      </c>
      <c r="BW37" s="198">
        <f>'NKC2'!CA49*100</f>
        <v>0</v>
      </c>
      <c r="BX37" s="198">
        <f>'NKC2'!CB49*100</f>
        <v>0</v>
      </c>
      <c r="BY37" s="198">
        <f>'NKC2'!CC49*100</f>
        <v>0</v>
      </c>
      <c r="BZ37" s="198">
        <f>'NKC2'!CD49*100</f>
        <v>0</v>
      </c>
      <c r="CA37" s="198">
        <f>'NKC2'!CE49*100</f>
        <v>0</v>
      </c>
      <c r="CB37" s="198">
        <f>'NKC2'!CF49*100</f>
        <v>0</v>
      </c>
      <c r="CC37" s="198">
        <f>'NKC2'!CG49*100</f>
        <v>0</v>
      </c>
      <c r="CD37" s="198">
        <f>'NKC2'!CH49*100</f>
        <v>0</v>
      </c>
      <c r="CE37" s="198">
        <f>'NKC2'!CI49*100</f>
        <v>0</v>
      </c>
      <c r="CF37" s="198">
        <f>'NKC2'!CJ49*100</f>
        <v>0</v>
      </c>
      <c r="CG37" s="198">
        <f>'NKC2'!CK49*100</f>
        <v>0</v>
      </c>
      <c r="CH37" s="198">
        <f>'NKC2'!CL49*100</f>
        <v>0</v>
      </c>
      <c r="CI37" s="198">
        <f>'NKC2'!CM49*100</f>
        <v>0</v>
      </c>
    </row>
    <row r="38" spans="1:87" x14ac:dyDescent="0.45">
      <c r="A38" s="403" t="str">
        <f>'NKC2'!B50</f>
        <v>1.3.1</v>
      </c>
      <c r="B38" s="403" t="str">
        <f>'NKC2'!D50</f>
        <v xml:space="preserve">        งานก่อช่อง ชาฟ</v>
      </c>
      <c r="C38" s="404">
        <f>'NKC2'!F50</f>
        <v>20066.118394370402</v>
      </c>
      <c r="D38" s="407" t="str">
        <f>'NKC2'!G48</f>
        <v>P</v>
      </c>
      <c r="E38" s="405">
        <f>'NKC2'!H50*100</f>
        <v>100</v>
      </c>
      <c r="F38" s="405">
        <f>'NKC2'!J50*100</f>
        <v>0</v>
      </c>
      <c r="G38" s="405">
        <f>'NKC2'!K50*100</f>
        <v>0</v>
      </c>
      <c r="H38" s="405">
        <f>'NKC2'!L50*100</f>
        <v>0</v>
      </c>
      <c r="I38" s="405">
        <f>'NKC2'!M50*100</f>
        <v>0</v>
      </c>
      <c r="J38" s="405">
        <f>'NKC2'!N50*100</f>
        <v>0</v>
      </c>
      <c r="K38" s="405">
        <f>'NKC2'!O50*100</f>
        <v>0</v>
      </c>
      <c r="L38" s="405">
        <f>'NKC2'!P50*100</f>
        <v>0</v>
      </c>
      <c r="M38" s="405">
        <f>'NKC2'!Q50*100</f>
        <v>0</v>
      </c>
      <c r="N38" s="405">
        <f>'NKC2'!R50*100</f>
        <v>0</v>
      </c>
      <c r="O38" s="405">
        <f>'NKC2'!S50*100</f>
        <v>0</v>
      </c>
      <c r="P38" s="405">
        <f>'NKC2'!T50*100</f>
        <v>0</v>
      </c>
      <c r="Q38" s="405">
        <f>'NKC2'!U50*100</f>
        <v>0</v>
      </c>
      <c r="R38" s="405">
        <f>'NKC2'!V50*100</f>
        <v>25</v>
      </c>
      <c r="S38" s="405">
        <f>'NKC2'!W50*100</f>
        <v>25</v>
      </c>
      <c r="T38" s="405">
        <f>'NKC2'!X50*100</f>
        <v>25</v>
      </c>
      <c r="U38" s="405">
        <f>'NKC2'!Y50*100</f>
        <v>25</v>
      </c>
      <c r="V38" s="405">
        <f>'NKC2'!Z50*100</f>
        <v>0</v>
      </c>
      <c r="W38" s="405">
        <f>'NKC2'!AA50*100</f>
        <v>0</v>
      </c>
      <c r="X38" s="405">
        <f>'NKC2'!AB50*100</f>
        <v>0</v>
      </c>
      <c r="Y38" s="405">
        <f>'NKC2'!AC50*100</f>
        <v>0</v>
      </c>
      <c r="Z38" s="405">
        <f>'NKC2'!AD50*100</f>
        <v>0</v>
      </c>
      <c r="AA38" s="405">
        <f>'NKC2'!AE50*100</f>
        <v>0</v>
      </c>
      <c r="AB38" s="405">
        <f>'NKC2'!AF50*100</f>
        <v>0</v>
      </c>
      <c r="AC38" s="405">
        <f>'NKC2'!AG50*100</f>
        <v>0</v>
      </c>
      <c r="AD38" s="405">
        <f>'NKC2'!AH50*100</f>
        <v>0</v>
      </c>
      <c r="AE38" s="405">
        <f>'NKC2'!AI50*100</f>
        <v>0</v>
      </c>
      <c r="AF38" s="405">
        <f>'NKC2'!AJ50*100</f>
        <v>0</v>
      </c>
      <c r="AG38" s="405">
        <f>'NKC2'!AK50*100</f>
        <v>0</v>
      </c>
      <c r="AH38" s="405">
        <f>'NKC2'!AL50*100</f>
        <v>0</v>
      </c>
      <c r="AI38" s="405">
        <f>'NKC2'!AM50*100</f>
        <v>0</v>
      </c>
      <c r="AJ38" s="405">
        <f>'NKC2'!AN50*100</f>
        <v>0</v>
      </c>
      <c r="AK38" s="405">
        <f>'NKC2'!AO50*100</f>
        <v>0</v>
      </c>
      <c r="AL38" s="405">
        <f>'NKC2'!AP50*100</f>
        <v>0</v>
      </c>
      <c r="AM38" s="405">
        <f>'NKC2'!AQ50*100</f>
        <v>0</v>
      </c>
      <c r="AN38" s="405">
        <f>'NKC2'!AR50*100</f>
        <v>0</v>
      </c>
      <c r="AO38" s="405">
        <f>'NKC2'!AS50*100</f>
        <v>0</v>
      </c>
      <c r="AP38" s="405">
        <f>'NKC2'!AT50*100</f>
        <v>0</v>
      </c>
      <c r="AQ38" s="405">
        <f>'NKC2'!AU50*100</f>
        <v>0</v>
      </c>
      <c r="AR38" s="405">
        <f>'NKC2'!AV50*100</f>
        <v>0</v>
      </c>
      <c r="AS38" s="405">
        <f>'NKC2'!AW50*100</f>
        <v>0</v>
      </c>
      <c r="AT38" s="405">
        <f>'NKC2'!AX50*100</f>
        <v>0</v>
      </c>
      <c r="AU38" s="405">
        <f>'NKC2'!AY50*100</f>
        <v>0</v>
      </c>
      <c r="AV38" s="405">
        <f>'NKC2'!AZ50*100</f>
        <v>0</v>
      </c>
      <c r="AW38" s="405">
        <f>'NKC2'!BA50*100</f>
        <v>0</v>
      </c>
      <c r="AX38" s="405">
        <f>'NKC2'!BB50*100</f>
        <v>0</v>
      </c>
      <c r="AY38" s="405">
        <f>'NKC2'!BC50*100</f>
        <v>0</v>
      </c>
      <c r="AZ38" s="405">
        <f>'NKC2'!BD50*100</f>
        <v>0</v>
      </c>
      <c r="BA38" s="405">
        <f>'NKC2'!BE50*100</f>
        <v>0</v>
      </c>
      <c r="BB38" s="405">
        <f>'NKC2'!BF50*100</f>
        <v>0</v>
      </c>
      <c r="BC38" s="405">
        <f>'NKC2'!BG50*100</f>
        <v>0</v>
      </c>
      <c r="BD38" s="405">
        <f>'NKC2'!BH50*100</f>
        <v>0</v>
      </c>
      <c r="BE38" s="405">
        <f>'NKC2'!BI50*100</f>
        <v>0</v>
      </c>
      <c r="BF38" s="405">
        <f>'NKC2'!BJ50*100</f>
        <v>0</v>
      </c>
      <c r="BG38" s="405">
        <f>'NKC2'!BK50*100</f>
        <v>0</v>
      </c>
      <c r="BH38" s="405">
        <f>'NKC2'!BL50*100</f>
        <v>0</v>
      </c>
      <c r="BI38" s="405">
        <f>'NKC2'!BM50*100</f>
        <v>0</v>
      </c>
      <c r="BJ38" s="405">
        <f>'NKC2'!BN50*100</f>
        <v>0</v>
      </c>
      <c r="BK38" s="405">
        <f>'NKC2'!BO50*100</f>
        <v>0</v>
      </c>
      <c r="BL38" s="405">
        <f>'NKC2'!BP50*100</f>
        <v>0</v>
      </c>
      <c r="BM38" s="405">
        <f>'NKC2'!BQ50*100</f>
        <v>0</v>
      </c>
      <c r="BN38" s="405">
        <f>'NKC2'!BR50*100</f>
        <v>0</v>
      </c>
      <c r="BO38" s="405">
        <f>'NKC2'!BS50*100</f>
        <v>0</v>
      </c>
      <c r="BP38" s="405">
        <f>'NKC2'!BT50*100</f>
        <v>0</v>
      </c>
      <c r="BQ38" s="405">
        <f>'NKC2'!BU50*100</f>
        <v>0</v>
      </c>
      <c r="BR38" s="405">
        <f>'NKC2'!BV50*100</f>
        <v>0</v>
      </c>
      <c r="BS38" s="405">
        <f>'NKC2'!BW50*100</f>
        <v>0</v>
      </c>
      <c r="BT38" s="405">
        <f>'NKC2'!BX50*100</f>
        <v>0</v>
      </c>
      <c r="BU38" s="405">
        <f>'NKC2'!BY50*100</f>
        <v>0</v>
      </c>
      <c r="BV38" s="405">
        <f>'NKC2'!BZ50*100</f>
        <v>0</v>
      </c>
      <c r="BW38" s="405">
        <f>'NKC2'!CA50*100</f>
        <v>0</v>
      </c>
      <c r="BX38" s="405">
        <f>'NKC2'!CB50*100</f>
        <v>0</v>
      </c>
      <c r="BY38" s="405">
        <f>'NKC2'!CC50*100</f>
        <v>0</v>
      </c>
      <c r="BZ38" s="405">
        <f>'NKC2'!CD50*100</f>
        <v>0</v>
      </c>
      <c r="CA38" s="405">
        <f>'NKC2'!CE50*100</f>
        <v>0</v>
      </c>
      <c r="CB38" s="405">
        <f>'NKC2'!CF50*100</f>
        <v>0</v>
      </c>
      <c r="CC38" s="405">
        <f>'NKC2'!CG50*100</f>
        <v>0</v>
      </c>
      <c r="CD38" s="405">
        <f>'NKC2'!CH50*100</f>
        <v>0</v>
      </c>
      <c r="CE38" s="405">
        <f>'NKC2'!CI50*100</f>
        <v>0</v>
      </c>
      <c r="CF38" s="405">
        <f>'NKC2'!CJ50*100</f>
        <v>0</v>
      </c>
      <c r="CG38" s="405">
        <f>'NKC2'!CK50*100</f>
        <v>0</v>
      </c>
      <c r="CH38" s="405">
        <f>'NKC2'!CL50*100</f>
        <v>0</v>
      </c>
      <c r="CI38" s="405">
        <f>'NKC2'!CM50*100</f>
        <v>0</v>
      </c>
    </row>
    <row r="39" spans="1:87" x14ac:dyDescent="0.45">
      <c r="A39" t="str">
        <f>'NKC2'!B51</f>
        <v>1.3.1</v>
      </c>
      <c r="B39" t="str">
        <f>'NKC2'!D51</f>
        <v xml:space="preserve">        งานก่อช่อง ชาฟ</v>
      </c>
      <c r="C39" s="193">
        <f>'NKC2'!F51</f>
        <v>20066.118394370402</v>
      </c>
      <c r="D39" s="140" t="str">
        <f>'NKC2'!G49</f>
        <v>A</v>
      </c>
      <c r="E39" s="198">
        <f>'NKC2'!H51*100</f>
        <v>0</v>
      </c>
      <c r="F39" s="198">
        <f>'NKC2'!J51*100</f>
        <v>0</v>
      </c>
      <c r="G39" s="198">
        <f>'NKC2'!K51*100</f>
        <v>0</v>
      </c>
      <c r="H39" s="198">
        <f>'NKC2'!L51*100</f>
        <v>0</v>
      </c>
      <c r="I39" s="198">
        <f>'NKC2'!M51*100</f>
        <v>0</v>
      </c>
      <c r="J39" s="198">
        <f>'NKC2'!N51*100</f>
        <v>0</v>
      </c>
      <c r="K39" s="198">
        <f>'NKC2'!O51*100</f>
        <v>0</v>
      </c>
      <c r="L39" s="198">
        <f>'NKC2'!P51*100</f>
        <v>0</v>
      </c>
      <c r="M39" s="198">
        <f>'NKC2'!Q51*100</f>
        <v>0</v>
      </c>
      <c r="N39" s="198">
        <f>'NKC2'!R51*100</f>
        <v>0</v>
      </c>
      <c r="O39" s="198">
        <f>'NKC2'!S51*100</f>
        <v>0</v>
      </c>
      <c r="P39" s="198">
        <f>'NKC2'!T51*100</f>
        <v>0</v>
      </c>
      <c r="Q39" s="198">
        <f>'NKC2'!U51*100</f>
        <v>0</v>
      </c>
      <c r="R39" s="198">
        <f>'NKC2'!V51*100</f>
        <v>0</v>
      </c>
      <c r="S39" s="198">
        <f>'NKC2'!W51*100</f>
        <v>0</v>
      </c>
      <c r="T39" s="198">
        <f>'NKC2'!X51*100</f>
        <v>0</v>
      </c>
      <c r="U39" s="198">
        <f>'NKC2'!Y51*100</f>
        <v>0</v>
      </c>
      <c r="V39" s="198">
        <f>'NKC2'!Z51*100</f>
        <v>0</v>
      </c>
      <c r="W39" s="198">
        <f>'NKC2'!AA51*100</f>
        <v>0</v>
      </c>
      <c r="X39" s="198">
        <f>'NKC2'!AB51*100</f>
        <v>0</v>
      </c>
      <c r="Y39" s="198">
        <f>'NKC2'!AC51*100</f>
        <v>0</v>
      </c>
      <c r="Z39" s="198">
        <f>'NKC2'!AD51*100</f>
        <v>0</v>
      </c>
      <c r="AA39" s="198">
        <f>'NKC2'!AE51*100</f>
        <v>0</v>
      </c>
      <c r="AB39" s="198">
        <f>'NKC2'!AF51*100</f>
        <v>0</v>
      </c>
      <c r="AC39" s="198">
        <f>'NKC2'!AG51*100</f>
        <v>0</v>
      </c>
      <c r="AD39" s="198">
        <f>'NKC2'!AH51*100</f>
        <v>0</v>
      </c>
      <c r="AE39" s="198">
        <f>'NKC2'!AI51*100</f>
        <v>0</v>
      </c>
      <c r="AF39" s="198">
        <f>'NKC2'!AJ51*100</f>
        <v>0</v>
      </c>
      <c r="AG39" s="198">
        <f>'NKC2'!AK51*100</f>
        <v>0</v>
      </c>
      <c r="AH39" s="198">
        <f>'NKC2'!AL51*100</f>
        <v>0</v>
      </c>
      <c r="AI39" s="198">
        <f>'NKC2'!AM51*100</f>
        <v>0</v>
      </c>
      <c r="AJ39" s="198">
        <f>'NKC2'!AN51*100</f>
        <v>0</v>
      </c>
      <c r="AK39" s="198">
        <f>'NKC2'!AO51*100</f>
        <v>0</v>
      </c>
      <c r="AL39" s="198">
        <f>'NKC2'!AP51*100</f>
        <v>0</v>
      </c>
      <c r="AM39" s="198">
        <f>'NKC2'!AQ51*100</f>
        <v>0</v>
      </c>
      <c r="AN39" s="198">
        <f>'NKC2'!AR51*100</f>
        <v>0</v>
      </c>
      <c r="AO39" s="198">
        <f>'NKC2'!AS51*100</f>
        <v>0</v>
      </c>
      <c r="AP39" s="198">
        <f>'NKC2'!AT51*100</f>
        <v>0</v>
      </c>
      <c r="AQ39" s="198">
        <f>'NKC2'!AU51*100</f>
        <v>0</v>
      </c>
      <c r="AR39" s="198">
        <f>'NKC2'!AV51*100</f>
        <v>0</v>
      </c>
      <c r="AS39" s="198">
        <f>'NKC2'!AW51*100</f>
        <v>0</v>
      </c>
      <c r="AT39" s="198">
        <f>'NKC2'!AX51*100</f>
        <v>0</v>
      </c>
      <c r="AU39" s="198">
        <f>'NKC2'!AY51*100</f>
        <v>0</v>
      </c>
      <c r="AV39" s="198">
        <f>'NKC2'!AZ51*100</f>
        <v>0</v>
      </c>
      <c r="AW39" s="198">
        <f>'NKC2'!BA51*100</f>
        <v>0</v>
      </c>
      <c r="AX39" s="198">
        <f>'NKC2'!BB51*100</f>
        <v>0</v>
      </c>
      <c r="AY39" s="198">
        <f>'NKC2'!BC51*100</f>
        <v>0</v>
      </c>
      <c r="AZ39" s="198">
        <f>'NKC2'!BD51*100</f>
        <v>0</v>
      </c>
      <c r="BA39" s="198">
        <f>'NKC2'!BE51*100</f>
        <v>0</v>
      </c>
      <c r="BB39" s="198">
        <f>'NKC2'!BF51*100</f>
        <v>0</v>
      </c>
      <c r="BC39" s="198">
        <f>'NKC2'!BG51*100</f>
        <v>0</v>
      </c>
      <c r="BD39" s="198">
        <f>'NKC2'!BH51*100</f>
        <v>0</v>
      </c>
      <c r="BE39" s="198">
        <f>'NKC2'!BI51*100</f>
        <v>0</v>
      </c>
      <c r="BF39" s="198">
        <f>'NKC2'!BJ51*100</f>
        <v>0</v>
      </c>
      <c r="BG39" s="198">
        <f>'NKC2'!BK51*100</f>
        <v>0</v>
      </c>
      <c r="BH39" s="198">
        <f>'NKC2'!BL51*100</f>
        <v>0</v>
      </c>
      <c r="BI39" s="198">
        <f>'NKC2'!BM51*100</f>
        <v>0</v>
      </c>
      <c r="BJ39" s="198">
        <f>'NKC2'!BN51*100</f>
        <v>0</v>
      </c>
      <c r="BK39" s="198">
        <f>'NKC2'!BO51*100</f>
        <v>0</v>
      </c>
      <c r="BL39" s="198">
        <f>'NKC2'!BP51*100</f>
        <v>0</v>
      </c>
      <c r="BM39" s="198">
        <f>'NKC2'!BQ51*100</f>
        <v>0</v>
      </c>
      <c r="BN39" s="198">
        <f>'NKC2'!BR51*100</f>
        <v>0</v>
      </c>
      <c r="BO39" s="198">
        <f>'NKC2'!BS51*100</f>
        <v>0</v>
      </c>
      <c r="BP39" s="198">
        <f>'NKC2'!BT51*100</f>
        <v>0</v>
      </c>
      <c r="BQ39" s="198">
        <f>'NKC2'!BU51*100</f>
        <v>0</v>
      </c>
      <c r="BR39" s="198">
        <f>'NKC2'!BV51*100</f>
        <v>0</v>
      </c>
      <c r="BS39" s="198">
        <f>'NKC2'!BW51*100</f>
        <v>0</v>
      </c>
      <c r="BT39" s="198">
        <f>'NKC2'!BX51*100</f>
        <v>0</v>
      </c>
      <c r="BU39" s="198">
        <f>'NKC2'!BY51*100</f>
        <v>0</v>
      </c>
      <c r="BV39" s="198">
        <f>'NKC2'!BZ51*100</f>
        <v>0</v>
      </c>
      <c r="BW39" s="198">
        <f>'NKC2'!CA51*100</f>
        <v>0</v>
      </c>
      <c r="BX39" s="198">
        <f>'NKC2'!CB51*100</f>
        <v>0</v>
      </c>
      <c r="BY39" s="198">
        <f>'NKC2'!CC51*100</f>
        <v>0</v>
      </c>
      <c r="BZ39" s="198">
        <f>'NKC2'!CD51*100</f>
        <v>0</v>
      </c>
      <c r="CA39" s="198">
        <f>'NKC2'!CE51*100</f>
        <v>0</v>
      </c>
      <c r="CB39" s="198">
        <f>'NKC2'!CF51*100</f>
        <v>0</v>
      </c>
      <c r="CC39" s="198">
        <f>'NKC2'!CG51*100</f>
        <v>0</v>
      </c>
      <c r="CD39" s="198">
        <f>'NKC2'!CH51*100</f>
        <v>0</v>
      </c>
      <c r="CE39" s="198">
        <f>'NKC2'!CI51*100</f>
        <v>0</v>
      </c>
      <c r="CF39" s="198">
        <f>'NKC2'!CJ51*100</f>
        <v>0</v>
      </c>
      <c r="CG39" s="198">
        <f>'NKC2'!CK51*100</f>
        <v>0</v>
      </c>
      <c r="CH39" s="198">
        <f>'NKC2'!CL51*100</f>
        <v>0</v>
      </c>
      <c r="CI39" s="198">
        <f>'NKC2'!CM51*100</f>
        <v>0</v>
      </c>
    </row>
    <row r="40" spans="1:87" x14ac:dyDescent="0.45">
      <c r="A40" s="403" t="str">
        <f>'NKC2'!B54</f>
        <v>1.3.3</v>
      </c>
      <c r="B40" s="403" t="str">
        <f>'NKC2'!D54</f>
        <v xml:space="preserve">         Sanitary and Fire Protection Riser</v>
      </c>
      <c r="C40" s="404">
        <f>'NKC2'!F54</f>
        <v>252597.187123646</v>
      </c>
      <c r="D40" s="407" t="str">
        <f>'NKC2'!G50</f>
        <v>P</v>
      </c>
      <c r="E40" s="405">
        <f>'NKC2'!H54*100</f>
        <v>99.999999999999986</v>
      </c>
      <c r="F40" s="405">
        <f>'NKC2'!J54*100</f>
        <v>0</v>
      </c>
      <c r="G40" s="405">
        <f>'NKC2'!K54*100</f>
        <v>0</v>
      </c>
      <c r="H40" s="405">
        <f>'NKC2'!L54*100</f>
        <v>0</v>
      </c>
      <c r="I40" s="405">
        <f>'NKC2'!M54*100</f>
        <v>0</v>
      </c>
      <c r="J40" s="405">
        <f>'NKC2'!N54*100</f>
        <v>0</v>
      </c>
      <c r="K40" s="405">
        <f>'NKC2'!O54*100</f>
        <v>0</v>
      </c>
      <c r="L40" s="405">
        <f>'NKC2'!P54*100</f>
        <v>0</v>
      </c>
      <c r="M40" s="405">
        <f>'NKC2'!Q54*100</f>
        <v>0</v>
      </c>
      <c r="N40" s="405">
        <f>'NKC2'!R54*100</f>
        <v>0</v>
      </c>
      <c r="O40" s="405">
        <f>'NKC2'!S54*100</f>
        <v>0</v>
      </c>
      <c r="P40" s="405">
        <f>'NKC2'!T54*100</f>
        <v>0</v>
      </c>
      <c r="Q40" s="405">
        <f>'NKC2'!U54*100</f>
        <v>0</v>
      </c>
      <c r="R40" s="405">
        <f>'NKC2'!V54*100</f>
        <v>0</v>
      </c>
      <c r="S40" s="405">
        <f>'NKC2'!W54*100</f>
        <v>0</v>
      </c>
      <c r="T40" s="405">
        <f>'NKC2'!X54*100</f>
        <v>0</v>
      </c>
      <c r="U40" s="405">
        <f>'NKC2'!Y54*100</f>
        <v>5</v>
      </c>
      <c r="V40" s="405">
        <f>'NKC2'!Z54*100</f>
        <v>10</v>
      </c>
      <c r="W40" s="405">
        <f>'NKC2'!AA54*100</f>
        <v>10</v>
      </c>
      <c r="X40" s="405">
        <f>'NKC2'!AB54*100</f>
        <v>10</v>
      </c>
      <c r="Y40" s="405">
        <f>'NKC2'!AC54*100</f>
        <v>10</v>
      </c>
      <c r="Z40" s="405">
        <f>'NKC2'!AD54*100</f>
        <v>10</v>
      </c>
      <c r="AA40" s="405">
        <f>'NKC2'!AE54*100</f>
        <v>10</v>
      </c>
      <c r="AB40" s="405">
        <f>'NKC2'!AF54*100</f>
        <v>10</v>
      </c>
      <c r="AC40" s="405">
        <f>'NKC2'!AG54*100</f>
        <v>10</v>
      </c>
      <c r="AD40" s="405">
        <f>'NKC2'!AH54*100</f>
        <v>10</v>
      </c>
      <c r="AE40" s="405">
        <f>'NKC2'!AI54*100</f>
        <v>5</v>
      </c>
      <c r="AF40" s="405">
        <f>'NKC2'!AJ54*100</f>
        <v>0</v>
      </c>
      <c r="AG40" s="405">
        <f>'NKC2'!AK54*100</f>
        <v>0</v>
      </c>
      <c r="AH40" s="405">
        <f>'NKC2'!AL54*100</f>
        <v>0</v>
      </c>
      <c r="AI40" s="405">
        <f>'NKC2'!AM54*100</f>
        <v>0</v>
      </c>
      <c r="AJ40" s="405">
        <f>'NKC2'!AN54*100</f>
        <v>0</v>
      </c>
      <c r="AK40" s="405">
        <f>'NKC2'!AO54*100</f>
        <v>0</v>
      </c>
      <c r="AL40" s="405">
        <f>'NKC2'!AP54*100</f>
        <v>0</v>
      </c>
      <c r="AM40" s="405">
        <f>'NKC2'!AQ54*100</f>
        <v>0</v>
      </c>
      <c r="AN40" s="405">
        <f>'NKC2'!AR54*100</f>
        <v>0</v>
      </c>
      <c r="AO40" s="405">
        <f>'NKC2'!AS54*100</f>
        <v>0</v>
      </c>
      <c r="AP40" s="405">
        <f>'NKC2'!AT54*100</f>
        <v>0</v>
      </c>
      <c r="AQ40" s="405">
        <f>'NKC2'!AU54*100</f>
        <v>0</v>
      </c>
      <c r="AR40" s="405">
        <f>'NKC2'!AV54*100</f>
        <v>0</v>
      </c>
      <c r="AS40" s="405">
        <f>'NKC2'!AW54*100</f>
        <v>0</v>
      </c>
      <c r="AT40" s="405">
        <f>'NKC2'!AX54*100</f>
        <v>0</v>
      </c>
      <c r="AU40" s="405">
        <f>'NKC2'!AY54*100</f>
        <v>0</v>
      </c>
      <c r="AV40" s="405">
        <f>'NKC2'!AZ54*100</f>
        <v>0</v>
      </c>
      <c r="AW40" s="405">
        <f>'NKC2'!BA54*100</f>
        <v>0</v>
      </c>
      <c r="AX40" s="405">
        <f>'NKC2'!BB54*100</f>
        <v>0</v>
      </c>
      <c r="AY40" s="405">
        <f>'NKC2'!BC54*100</f>
        <v>0</v>
      </c>
      <c r="AZ40" s="405">
        <f>'NKC2'!BD54*100</f>
        <v>0</v>
      </c>
      <c r="BA40" s="405">
        <f>'NKC2'!BE54*100</f>
        <v>0</v>
      </c>
      <c r="BB40" s="405">
        <f>'NKC2'!BF54*100</f>
        <v>0</v>
      </c>
      <c r="BC40" s="405">
        <f>'NKC2'!BG54*100</f>
        <v>0</v>
      </c>
      <c r="BD40" s="405">
        <f>'NKC2'!BH54*100</f>
        <v>0</v>
      </c>
      <c r="BE40" s="405">
        <f>'NKC2'!BI54*100</f>
        <v>0</v>
      </c>
      <c r="BF40" s="405">
        <f>'NKC2'!BJ54*100</f>
        <v>0</v>
      </c>
      <c r="BG40" s="405">
        <f>'NKC2'!BK54*100</f>
        <v>0</v>
      </c>
      <c r="BH40" s="405">
        <f>'NKC2'!BL54*100</f>
        <v>0</v>
      </c>
      <c r="BI40" s="405">
        <f>'NKC2'!BM54*100</f>
        <v>0</v>
      </c>
      <c r="BJ40" s="405">
        <f>'NKC2'!BN54*100</f>
        <v>0</v>
      </c>
      <c r="BK40" s="405">
        <f>'NKC2'!BO54*100</f>
        <v>0</v>
      </c>
      <c r="BL40" s="405">
        <f>'NKC2'!BP54*100</f>
        <v>0</v>
      </c>
      <c r="BM40" s="405">
        <f>'NKC2'!BQ54*100</f>
        <v>0</v>
      </c>
      <c r="BN40" s="405">
        <f>'NKC2'!BR54*100</f>
        <v>0</v>
      </c>
      <c r="BO40" s="405">
        <f>'NKC2'!BS54*100</f>
        <v>0</v>
      </c>
      <c r="BP40" s="405">
        <f>'NKC2'!BT54*100</f>
        <v>0</v>
      </c>
      <c r="BQ40" s="405">
        <f>'NKC2'!BU54*100</f>
        <v>0</v>
      </c>
      <c r="BR40" s="405">
        <f>'NKC2'!BV54*100</f>
        <v>0</v>
      </c>
      <c r="BS40" s="405">
        <f>'NKC2'!BW54*100</f>
        <v>0</v>
      </c>
      <c r="BT40" s="405">
        <f>'NKC2'!BX54*100</f>
        <v>0</v>
      </c>
      <c r="BU40" s="405">
        <f>'NKC2'!BY54*100</f>
        <v>0</v>
      </c>
      <c r="BV40" s="405">
        <f>'NKC2'!BZ54*100</f>
        <v>0</v>
      </c>
      <c r="BW40" s="405">
        <f>'NKC2'!CA54*100</f>
        <v>0</v>
      </c>
      <c r="BX40" s="405">
        <f>'NKC2'!CB54*100</f>
        <v>0</v>
      </c>
      <c r="BY40" s="405">
        <f>'NKC2'!CC54*100</f>
        <v>0</v>
      </c>
      <c r="BZ40" s="405">
        <f>'NKC2'!CD54*100</f>
        <v>0</v>
      </c>
      <c r="CA40" s="405">
        <f>'NKC2'!CE54*100</f>
        <v>0</v>
      </c>
      <c r="CB40" s="405">
        <f>'NKC2'!CF54*100</f>
        <v>0</v>
      </c>
      <c r="CC40" s="405">
        <f>'NKC2'!CG54*100</f>
        <v>0</v>
      </c>
      <c r="CD40" s="405">
        <f>'NKC2'!CH54*100</f>
        <v>0</v>
      </c>
      <c r="CE40" s="405">
        <f>'NKC2'!CI54*100</f>
        <v>0</v>
      </c>
      <c r="CF40" s="405">
        <f>'NKC2'!CJ54*100</f>
        <v>0</v>
      </c>
      <c r="CG40" s="405">
        <f>'NKC2'!CK54*100</f>
        <v>0</v>
      </c>
      <c r="CH40" s="405">
        <f>'NKC2'!CL54*100</f>
        <v>0</v>
      </c>
      <c r="CI40" s="405">
        <f>'NKC2'!CM54*100</f>
        <v>0</v>
      </c>
    </row>
    <row r="41" spans="1:87" x14ac:dyDescent="0.45">
      <c r="A41" t="str">
        <f>'NKC2'!B55</f>
        <v>1.3.3</v>
      </c>
      <c r="B41" t="str">
        <f>'NKC2'!D55</f>
        <v xml:space="preserve">         Sanitary and Fire Protection Riser</v>
      </c>
      <c r="C41" s="193">
        <f>'NKC2'!F55</f>
        <v>252597.187123646</v>
      </c>
      <c r="D41" s="140" t="str">
        <f>'NKC2'!G51</f>
        <v>A</v>
      </c>
      <c r="E41" s="198">
        <f>'NKC2'!H55*100</f>
        <v>0</v>
      </c>
      <c r="F41" s="198">
        <f>'NKC2'!J55*100</f>
        <v>0</v>
      </c>
      <c r="G41" s="198">
        <f>'NKC2'!K55*100</f>
        <v>0</v>
      </c>
      <c r="H41" s="198">
        <f>'NKC2'!L55*100</f>
        <v>0</v>
      </c>
      <c r="I41" s="198">
        <f>'NKC2'!M55*100</f>
        <v>0</v>
      </c>
      <c r="J41" s="198">
        <f>'NKC2'!N55*100</f>
        <v>0</v>
      </c>
      <c r="K41" s="198">
        <f>'NKC2'!O55*100</f>
        <v>0</v>
      </c>
      <c r="L41" s="198">
        <f>'NKC2'!P55*100</f>
        <v>0</v>
      </c>
      <c r="M41" s="198">
        <f>'NKC2'!Q55*100</f>
        <v>0</v>
      </c>
      <c r="N41" s="198">
        <f>'NKC2'!R55*100</f>
        <v>0</v>
      </c>
      <c r="O41" s="198">
        <f>'NKC2'!S55*100</f>
        <v>0</v>
      </c>
      <c r="P41" s="198">
        <f>'NKC2'!T55*100</f>
        <v>0</v>
      </c>
      <c r="Q41" s="198">
        <f>'NKC2'!U55*100</f>
        <v>0</v>
      </c>
      <c r="R41" s="198">
        <f>'NKC2'!V55*100</f>
        <v>0</v>
      </c>
      <c r="S41" s="198">
        <f>'NKC2'!W55*100</f>
        <v>0</v>
      </c>
      <c r="T41" s="198">
        <f>'NKC2'!X55*100</f>
        <v>0</v>
      </c>
      <c r="U41" s="198">
        <f>'NKC2'!Y55*100</f>
        <v>0</v>
      </c>
      <c r="V41" s="198">
        <f>'NKC2'!Z55*100</f>
        <v>0</v>
      </c>
      <c r="W41" s="198">
        <f>'NKC2'!AA55*100</f>
        <v>0</v>
      </c>
      <c r="X41" s="198">
        <f>'NKC2'!AB55*100</f>
        <v>0</v>
      </c>
      <c r="Y41" s="198">
        <f>'NKC2'!AC55*100</f>
        <v>0</v>
      </c>
      <c r="Z41" s="198">
        <f>'NKC2'!AD55*100</f>
        <v>0</v>
      </c>
      <c r="AA41" s="198">
        <f>'NKC2'!AE55*100</f>
        <v>0</v>
      </c>
      <c r="AB41" s="198">
        <f>'NKC2'!AF55*100</f>
        <v>0</v>
      </c>
      <c r="AC41" s="198">
        <f>'NKC2'!AG55*100</f>
        <v>0</v>
      </c>
      <c r="AD41" s="198">
        <f>'NKC2'!AH55*100</f>
        <v>0</v>
      </c>
      <c r="AE41" s="198">
        <f>'NKC2'!AI55*100</f>
        <v>0</v>
      </c>
      <c r="AF41" s="198">
        <f>'NKC2'!AJ55*100</f>
        <v>0</v>
      </c>
      <c r="AG41" s="198">
        <f>'NKC2'!AK55*100</f>
        <v>0</v>
      </c>
      <c r="AH41" s="198">
        <f>'NKC2'!AL55*100</f>
        <v>0</v>
      </c>
      <c r="AI41" s="198">
        <f>'NKC2'!AM55*100</f>
        <v>0</v>
      </c>
      <c r="AJ41" s="198">
        <f>'NKC2'!AN55*100</f>
        <v>0</v>
      </c>
      <c r="AK41" s="198">
        <f>'NKC2'!AO55*100</f>
        <v>0</v>
      </c>
      <c r="AL41" s="198">
        <f>'NKC2'!AP55*100</f>
        <v>0</v>
      </c>
      <c r="AM41" s="198">
        <f>'NKC2'!AQ55*100</f>
        <v>0</v>
      </c>
      <c r="AN41" s="198">
        <f>'NKC2'!AR55*100</f>
        <v>0</v>
      </c>
      <c r="AO41" s="198">
        <f>'NKC2'!AS55*100</f>
        <v>0</v>
      </c>
      <c r="AP41" s="198">
        <f>'NKC2'!AT55*100</f>
        <v>0</v>
      </c>
      <c r="AQ41" s="198">
        <f>'NKC2'!AU55*100</f>
        <v>0</v>
      </c>
      <c r="AR41" s="198">
        <f>'NKC2'!AV55*100</f>
        <v>0</v>
      </c>
      <c r="AS41" s="198">
        <f>'NKC2'!AW55*100</f>
        <v>0</v>
      </c>
      <c r="AT41" s="198">
        <f>'NKC2'!AX55*100</f>
        <v>0</v>
      </c>
      <c r="AU41" s="198">
        <f>'NKC2'!AY55*100</f>
        <v>0</v>
      </c>
      <c r="AV41" s="198">
        <f>'NKC2'!AZ55*100</f>
        <v>0</v>
      </c>
      <c r="AW41" s="198">
        <f>'NKC2'!BA55*100</f>
        <v>0</v>
      </c>
      <c r="AX41" s="198">
        <f>'NKC2'!BB55*100</f>
        <v>0</v>
      </c>
      <c r="AY41" s="198">
        <f>'NKC2'!BC55*100</f>
        <v>0</v>
      </c>
      <c r="AZ41" s="198">
        <f>'NKC2'!BD55*100</f>
        <v>0</v>
      </c>
      <c r="BA41" s="198">
        <f>'NKC2'!BE55*100</f>
        <v>0</v>
      </c>
      <c r="BB41" s="198">
        <f>'NKC2'!BF55*100</f>
        <v>0</v>
      </c>
      <c r="BC41" s="198">
        <f>'NKC2'!BG55*100</f>
        <v>0</v>
      </c>
      <c r="BD41" s="198">
        <f>'NKC2'!BH55*100</f>
        <v>0</v>
      </c>
      <c r="BE41" s="198">
        <f>'NKC2'!BI55*100</f>
        <v>0</v>
      </c>
      <c r="BF41" s="198">
        <f>'NKC2'!BJ55*100</f>
        <v>0</v>
      </c>
      <c r="BG41" s="198">
        <f>'NKC2'!BK55*100</f>
        <v>0</v>
      </c>
      <c r="BH41" s="198">
        <f>'NKC2'!BL55*100</f>
        <v>0</v>
      </c>
      <c r="BI41" s="198">
        <f>'NKC2'!BM55*100</f>
        <v>0</v>
      </c>
      <c r="BJ41" s="198">
        <f>'NKC2'!BN55*100</f>
        <v>0</v>
      </c>
      <c r="BK41" s="198">
        <f>'NKC2'!BO55*100</f>
        <v>0</v>
      </c>
      <c r="BL41" s="198">
        <f>'NKC2'!BP55*100</f>
        <v>0</v>
      </c>
      <c r="BM41" s="198">
        <f>'NKC2'!BQ55*100</f>
        <v>0</v>
      </c>
      <c r="BN41" s="198">
        <f>'NKC2'!BR55*100</f>
        <v>0</v>
      </c>
      <c r="BO41" s="198">
        <f>'NKC2'!BS55*100</f>
        <v>0</v>
      </c>
      <c r="BP41" s="198">
        <f>'NKC2'!BT55*100</f>
        <v>0</v>
      </c>
      <c r="BQ41" s="198">
        <f>'NKC2'!BU55*100</f>
        <v>0</v>
      </c>
      <c r="BR41" s="198">
        <f>'NKC2'!BV55*100</f>
        <v>0</v>
      </c>
      <c r="BS41" s="198">
        <f>'NKC2'!BW55*100</f>
        <v>0</v>
      </c>
      <c r="BT41" s="198">
        <f>'NKC2'!BX55*100</f>
        <v>0</v>
      </c>
      <c r="BU41" s="198">
        <f>'NKC2'!BY55*100</f>
        <v>0</v>
      </c>
      <c r="BV41" s="198">
        <f>'NKC2'!BZ55*100</f>
        <v>0</v>
      </c>
      <c r="BW41" s="198">
        <f>'NKC2'!CA55*100</f>
        <v>0</v>
      </c>
      <c r="BX41" s="198">
        <f>'NKC2'!CB55*100</f>
        <v>0</v>
      </c>
      <c r="BY41" s="198">
        <f>'NKC2'!CC55*100</f>
        <v>0</v>
      </c>
      <c r="BZ41" s="198">
        <f>'NKC2'!CD55*100</f>
        <v>0</v>
      </c>
      <c r="CA41" s="198">
        <f>'NKC2'!CE55*100</f>
        <v>0</v>
      </c>
      <c r="CB41" s="198">
        <f>'NKC2'!CF55*100</f>
        <v>0</v>
      </c>
      <c r="CC41" s="198">
        <f>'NKC2'!CG55*100</f>
        <v>0</v>
      </c>
      <c r="CD41" s="198">
        <f>'NKC2'!CH55*100</f>
        <v>0</v>
      </c>
      <c r="CE41" s="198">
        <f>'NKC2'!CI55*100</f>
        <v>0</v>
      </c>
      <c r="CF41" s="198">
        <f>'NKC2'!CJ55*100</f>
        <v>0</v>
      </c>
      <c r="CG41" s="198">
        <f>'NKC2'!CK55*100</f>
        <v>0</v>
      </c>
      <c r="CH41" s="198">
        <f>'NKC2'!CL55*100</f>
        <v>0</v>
      </c>
      <c r="CI41" s="198">
        <f>'NKC2'!CM55*100</f>
        <v>0</v>
      </c>
    </row>
    <row r="42" spans="1:87" x14ac:dyDescent="0.45">
      <c r="A42" s="403" t="str">
        <f>'NKC2'!B56</f>
        <v>1.3.4</v>
      </c>
      <c r="B42" s="403" t="str">
        <f>'NKC2'!D56</f>
        <v xml:space="preserve">         Air Conditioning Riser</v>
      </c>
      <c r="C42" s="404">
        <f>'NKC2'!F56</f>
        <v>56860.239558807298</v>
      </c>
      <c r="D42" s="407" t="str">
        <f>'NKC2'!G54</f>
        <v>P</v>
      </c>
      <c r="E42" s="405">
        <f>'NKC2'!H56*100</f>
        <v>100</v>
      </c>
      <c r="F42" s="405">
        <f>'NKC2'!J56*100</f>
        <v>0</v>
      </c>
      <c r="G42" s="405">
        <f>'NKC2'!K56*100</f>
        <v>0</v>
      </c>
      <c r="H42" s="405">
        <f>'NKC2'!L56*100</f>
        <v>0</v>
      </c>
      <c r="I42" s="405">
        <f>'NKC2'!M56*100</f>
        <v>0</v>
      </c>
      <c r="J42" s="405">
        <f>'NKC2'!N56*100</f>
        <v>0</v>
      </c>
      <c r="K42" s="405">
        <f>'NKC2'!O56*100</f>
        <v>0</v>
      </c>
      <c r="L42" s="405">
        <f>'NKC2'!P56*100</f>
        <v>0</v>
      </c>
      <c r="M42" s="405">
        <f>'NKC2'!Q56*100</f>
        <v>0</v>
      </c>
      <c r="N42" s="405">
        <f>'NKC2'!R56*100</f>
        <v>0</v>
      </c>
      <c r="O42" s="405">
        <f>'NKC2'!S56*100</f>
        <v>0</v>
      </c>
      <c r="P42" s="405">
        <f>'NKC2'!T56*100</f>
        <v>0</v>
      </c>
      <c r="Q42" s="405">
        <f>'NKC2'!U56*100</f>
        <v>0</v>
      </c>
      <c r="R42" s="405">
        <f>'NKC2'!V56*100</f>
        <v>0</v>
      </c>
      <c r="S42" s="405">
        <f>'NKC2'!W56*100</f>
        <v>0</v>
      </c>
      <c r="T42" s="405">
        <f>'NKC2'!X56*100</f>
        <v>0</v>
      </c>
      <c r="U42" s="405">
        <f>'NKC2'!Y56*100</f>
        <v>0</v>
      </c>
      <c r="V42" s="405">
        <f>'NKC2'!Z56*100</f>
        <v>0</v>
      </c>
      <c r="W42" s="405">
        <f>'NKC2'!AA56*100</f>
        <v>0</v>
      </c>
      <c r="X42" s="405">
        <f>'NKC2'!AB56*100</f>
        <v>0</v>
      </c>
      <c r="Y42" s="405">
        <f>'NKC2'!AC56*100</f>
        <v>5</v>
      </c>
      <c r="Z42" s="405">
        <f>'NKC2'!AD56*100</f>
        <v>10</v>
      </c>
      <c r="AA42" s="405">
        <f>'NKC2'!AE56*100</f>
        <v>10</v>
      </c>
      <c r="AB42" s="405">
        <f>'NKC2'!AF56*100</f>
        <v>15</v>
      </c>
      <c r="AC42" s="405">
        <f>'NKC2'!AG56*100</f>
        <v>15</v>
      </c>
      <c r="AD42" s="405">
        <f>'NKC2'!AH56*100</f>
        <v>10</v>
      </c>
      <c r="AE42" s="405">
        <f>'NKC2'!AI56*100</f>
        <v>10</v>
      </c>
      <c r="AF42" s="405">
        <f>'NKC2'!AJ56*100</f>
        <v>10</v>
      </c>
      <c r="AG42" s="405">
        <f>'NKC2'!AK56*100</f>
        <v>10</v>
      </c>
      <c r="AH42" s="405">
        <f>'NKC2'!AL56*100</f>
        <v>5</v>
      </c>
      <c r="AI42" s="405">
        <f>'NKC2'!AM56*100</f>
        <v>0</v>
      </c>
      <c r="AJ42" s="405">
        <f>'NKC2'!AN56*100</f>
        <v>0</v>
      </c>
      <c r="AK42" s="405">
        <f>'NKC2'!AO56*100</f>
        <v>0</v>
      </c>
      <c r="AL42" s="405">
        <f>'NKC2'!AP56*100</f>
        <v>0</v>
      </c>
      <c r="AM42" s="405">
        <f>'NKC2'!AQ56*100</f>
        <v>0</v>
      </c>
      <c r="AN42" s="405">
        <f>'NKC2'!AR56*100</f>
        <v>0</v>
      </c>
      <c r="AO42" s="405">
        <f>'NKC2'!AS56*100</f>
        <v>0</v>
      </c>
      <c r="AP42" s="405">
        <f>'NKC2'!AT56*100</f>
        <v>0</v>
      </c>
      <c r="AQ42" s="405">
        <f>'NKC2'!AU56*100</f>
        <v>0</v>
      </c>
      <c r="AR42" s="405">
        <f>'NKC2'!AV56*100</f>
        <v>0</v>
      </c>
      <c r="AS42" s="405">
        <f>'NKC2'!AW56*100</f>
        <v>0</v>
      </c>
      <c r="AT42" s="405">
        <f>'NKC2'!AX56*100</f>
        <v>0</v>
      </c>
      <c r="AU42" s="405">
        <f>'NKC2'!AY56*100</f>
        <v>0</v>
      </c>
      <c r="AV42" s="405">
        <f>'NKC2'!AZ56*100</f>
        <v>0</v>
      </c>
      <c r="AW42" s="405">
        <f>'NKC2'!BA56*100</f>
        <v>0</v>
      </c>
      <c r="AX42" s="405">
        <f>'NKC2'!BB56*100</f>
        <v>0</v>
      </c>
      <c r="AY42" s="405">
        <f>'NKC2'!BC56*100</f>
        <v>0</v>
      </c>
      <c r="AZ42" s="405">
        <f>'NKC2'!BD56*100</f>
        <v>0</v>
      </c>
      <c r="BA42" s="405">
        <f>'NKC2'!BE56*100</f>
        <v>0</v>
      </c>
      <c r="BB42" s="405">
        <f>'NKC2'!BF56*100</f>
        <v>0</v>
      </c>
      <c r="BC42" s="405">
        <f>'NKC2'!BG56*100</f>
        <v>0</v>
      </c>
      <c r="BD42" s="405">
        <f>'NKC2'!BH56*100</f>
        <v>0</v>
      </c>
      <c r="BE42" s="405">
        <f>'NKC2'!BI56*100</f>
        <v>0</v>
      </c>
      <c r="BF42" s="405">
        <f>'NKC2'!BJ56*100</f>
        <v>0</v>
      </c>
      <c r="BG42" s="405">
        <f>'NKC2'!BK56*100</f>
        <v>0</v>
      </c>
      <c r="BH42" s="405">
        <f>'NKC2'!BL56*100</f>
        <v>0</v>
      </c>
      <c r="BI42" s="405">
        <f>'NKC2'!BM56*100</f>
        <v>0</v>
      </c>
      <c r="BJ42" s="405">
        <f>'NKC2'!BN56*100</f>
        <v>0</v>
      </c>
      <c r="BK42" s="405">
        <f>'NKC2'!BO56*100</f>
        <v>0</v>
      </c>
      <c r="BL42" s="405">
        <f>'NKC2'!BP56*100</f>
        <v>0</v>
      </c>
      <c r="BM42" s="405">
        <f>'NKC2'!BQ56*100</f>
        <v>0</v>
      </c>
      <c r="BN42" s="405">
        <f>'NKC2'!BR56*100</f>
        <v>0</v>
      </c>
      <c r="BO42" s="405">
        <f>'NKC2'!BS56*100</f>
        <v>0</v>
      </c>
      <c r="BP42" s="405">
        <f>'NKC2'!BT56*100</f>
        <v>0</v>
      </c>
      <c r="BQ42" s="405">
        <f>'NKC2'!BU56*100</f>
        <v>0</v>
      </c>
      <c r="BR42" s="405">
        <f>'NKC2'!BV56*100</f>
        <v>0</v>
      </c>
      <c r="BS42" s="405">
        <f>'NKC2'!BW56*100</f>
        <v>0</v>
      </c>
      <c r="BT42" s="405">
        <f>'NKC2'!BX56*100</f>
        <v>0</v>
      </c>
      <c r="BU42" s="405">
        <f>'NKC2'!BY56*100</f>
        <v>0</v>
      </c>
      <c r="BV42" s="405">
        <f>'NKC2'!BZ56*100</f>
        <v>0</v>
      </c>
      <c r="BW42" s="405">
        <f>'NKC2'!CA56*100</f>
        <v>0</v>
      </c>
      <c r="BX42" s="405">
        <f>'NKC2'!CB56*100</f>
        <v>0</v>
      </c>
      <c r="BY42" s="405">
        <f>'NKC2'!CC56*100</f>
        <v>0</v>
      </c>
      <c r="BZ42" s="405">
        <f>'NKC2'!CD56*100</f>
        <v>0</v>
      </c>
      <c r="CA42" s="405">
        <f>'NKC2'!CE56*100</f>
        <v>0</v>
      </c>
      <c r="CB42" s="405">
        <f>'NKC2'!CF56*100</f>
        <v>0</v>
      </c>
      <c r="CC42" s="405">
        <f>'NKC2'!CG56*100</f>
        <v>0</v>
      </c>
      <c r="CD42" s="405">
        <f>'NKC2'!CH56*100</f>
        <v>0</v>
      </c>
      <c r="CE42" s="405">
        <f>'NKC2'!CI56*100</f>
        <v>0</v>
      </c>
      <c r="CF42" s="405">
        <f>'NKC2'!CJ56*100</f>
        <v>0</v>
      </c>
      <c r="CG42" s="405">
        <f>'NKC2'!CK56*100</f>
        <v>0</v>
      </c>
      <c r="CH42" s="405">
        <f>'NKC2'!CL56*100</f>
        <v>0</v>
      </c>
      <c r="CI42" s="405">
        <f>'NKC2'!CM56*100</f>
        <v>0</v>
      </c>
    </row>
    <row r="43" spans="1:87" x14ac:dyDescent="0.45">
      <c r="A43" t="str">
        <f>'NKC2'!B57</f>
        <v>1.3.4</v>
      </c>
      <c r="B43" t="str">
        <f>'NKC2'!D57</f>
        <v xml:space="preserve">         Air Conditioning Riser</v>
      </c>
      <c r="C43" s="193">
        <f>'NKC2'!F57</f>
        <v>56860.239558807298</v>
      </c>
      <c r="D43" s="140" t="str">
        <f>'NKC2'!G55</f>
        <v>A</v>
      </c>
      <c r="E43" s="198">
        <f>'NKC2'!H57*100</f>
        <v>0</v>
      </c>
      <c r="F43" s="198">
        <f>'NKC2'!J57*100</f>
        <v>0</v>
      </c>
      <c r="G43" s="198">
        <f>'NKC2'!K57*100</f>
        <v>0</v>
      </c>
      <c r="H43" s="198">
        <f>'NKC2'!L57*100</f>
        <v>0</v>
      </c>
      <c r="I43" s="198">
        <f>'NKC2'!M57*100</f>
        <v>0</v>
      </c>
      <c r="J43" s="198">
        <f>'NKC2'!N57*100</f>
        <v>0</v>
      </c>
      <c r="K43" s="198">
        <f>'NKC2'!O57*100</f>
        <v>0</v>
      </c>
      <c r="L43" s="198">
        <f>'NKC2'!P57*100</f>
        <v>0</v>
      </c>
      <c r="M43" s="198">
        <f>'NKC2'!Q57*100</f>
        <v>0</v>
      </c>
      <c r="N43" s="198">
        <f>'NKC2'!R57*100</f>
        <v>0</v>
      </c>
      <c r="O43" s="198">
        <f>'NKC2'!S57*100</f>
        <v>0</v>
      </c>
      <c r="P43" s="198">
        <f>'NKC2'!T57*100</f>
        <v>0</v>
      </c>
      <c r="Q43" s="198">
        <f>'NKC2'!U57*100</f>
        <v>0</v>
      </c>
      <c r="R43" s="198">
        <f>'NKC2'!V57*100</f>
        <v>0</v>
      </c>
      <c r="S43" s="198">
        <f>'NKC2'!W57*100</f>
        <v>0</v>
      </c>
      <c r="T43" s="198">
        <f>'NKC2'!X57*100</f>
        <v>0</v>
      </c>
      <c r="U43" s="198">
        <f>'NKC2'!Y57*100</f>
        <v>0</v>
      </c>
      <c r="V43" s="198">
        <f>'NKC2'!Z57*100</f>
        <v>0</v>
      </c>
      <c r="W43" s="198">
        <f>'NKC2'!AA57*100</f>
        <v>0</v>
      </c>
      <c r="X43" s="198">
        <f>'NKC2'!AB57*100</f>
        <v>0</v>
      </c>
      <c r="Y43" s="198">
        <f>'NKC2'!AC57*100</f>
        <v>0</v>
      </c>
      <c r="Z43" s="198">
        <f>'NKC2'!AD57*100</f>
        <v>0</v>
      </c>
      <c r="AA43" s="198">
        <f>'NKC2'!AE57*100</f>
        <v>0</v>
      </c>
      <c r="AB43" s="198">
        <f>'NKC2'!AF57*100</f>
        <v>0</v>
      </c>
      <c r="AC43" s="198">
        <f>'NKC2'!AG57*100</f>
        <v>0</v>
      </c>
      <c r="AD43" s="198">
        <f>'NKC2'!AH57*100</f>
        <v>0</v>
      </c>
      <c r="AE43" s="198">
        <f>'NKC2'!AI57*100</f>
        <v>0</v>
      </c>
      <c r="AF43" s="198">
        <f>'NKC2'!AJ57*100</f>
        <v>0</v>
      </c>
      <c r="AG43" s="198">
        <f>'NKC2'!AK57*100</f>
        <v>0</v>
      </c>
      <c r="AH43" s="198">
        <f>'NKC2'!AL57*100</f>
        <v>0</v>
      </c>
      <c r="AI43" s="198">
        <f>'NKC2'!AM57*100</f>
        <v>0</v>
      </c>
      <c r="AJ43" s="198">
        <f>'NKC2'!AN57*100</f>
        <v>0</v>
      </c>
      <c r="AK43" s="198">
        <f>'NKC2'!AO57*100</f>
        <v>0</v>
      </c>
      <c r="AL43" s="198">
        <f>'NKC2'!AP57*100</f>
        <v>0</v>
      </c>
      <c r="AM43" s="198">
        <f>'NKC2'!AQ57*100</f>
        <v>0</v>
      </c>
      <c r="AN43" s="198">
        <f>'NKC2'!AR57*100</f>
        <v>0</v>
      </c>
      <c r="AO43" s="198">
        <f>'NKC2'!AS57*100</f>
        <v>0</v>
      </c>
      <c r="AP43" s="198">
        <f>'NKC2'!AT57*100</f>
        <v>0</v>
      </c>
      <c r="AQ43" s="198">
        <f>'NKC2'!AU57*100</f>
        <v>0</v>
      </c>
      <c r="AR43" s="198">
        <f>'NKC2'!AV57*100</f>
        <v>0</v>
      </c>
      <c r="AS43" s="198">
        <f>'NKC2'!AW57*100</f>
        <v>0</v>
      </c>
      <c r="AT43" s="198">
        <f>'NKC2'!AX57*100</f>
        <v>0</v>
      </c>
      <c r="AU43" s="198">
        <f>'NKC2'!AY57*100</f>
        <v>0</v>
      </c>
      <c r="AV43" s="198">
        <f>'NKC2'!AZ57*100</f>
        <v>0</v>
      </c>
      <c r="AW43" s="198">
        <f>'NKC2'!BA57*100</f>
        <v>0</v>
      </c>
      <c r="AX43" s="198">
        <f>'NKC2'!BB57*100</f>
        <v>0</v>
      </c>
      <c r="AY43" s="198">
        <f>'NKC2'!BC57*100</f>
        <v>0</v>
      </c>
      <c r="AZ43" s="198">
        <f>'NKC2'!BD57*100</f>
        <v>0</v>
      </c>
      <c r="BA43" s="198">
        <f>'NKC2'!BE57*100</f>
        <v>0</v>
      </c>
      <c r="BB43" s="198">
        <f>'NKC2'!BF57*100</f>
        <v>0</v>
      </c>
      <c r="BC43" s="198">
        <f>'NKC2'!BG57*100</f>
        <v>0</v>
      </c>
      <c r="BD43" s="198">
        <f>'NKC2'!BH57*100</f>
        <v>0</v>
      </c>
      <c r="BE43" s="198">
        <f>'NKC2'!BI57*100</f>
        <v>0</v>
      </c>
      <c r="BF43" s="198">
        <f>'NKC2'!BJ57*100</f>
        <v>0</v>
      </c>
      <c r="BG43" s="198">
        <f>'NKC2'!BK57*100</f>
        <v>0</v>
      </c>
      <c r="BH43" s="198">
        <f>'NKC2'!BL57*100</f>
        <v>0</v>
      </c>
      <c r="BI43" s="198">
        <f>'NKC2'!BM57*100</f>
        <v>0</v>
      </c>
      <c r="BJ43" s="198">
        <f>'NKC2'!BN57*100</f>
        <v>0</v>
      </c>
      <c r="BK43" s="198">
        <f>'NKC2'!BO57*100</f>
        <v>0</v>
      </c>
      <c r="BL43" s="198">
        <f>'NKC2'!BP57*100</f>
        <v>0</v>
      </c>
      <c r="BM43" s="198">
        <f>'NKC2'!BQ57*100</f>
        <v>0</v>
      </c>
      <c r="BN43" s="198">
        <f>'NKC2'!BR57*100</f>
        <v>0</v>
      </c>
      <c r="BO43" s="198">
        <f>'NKC2'!BS57*100</f>
        <v>0</v>
      </c>
      <c r="BP43" s="198">
        <f>'NKC2'!BT57*100</f>
        <v>0</v>
      </c>
      <c r="BQ43" s="198">
        <f>'NKC2'!BU57*100</f>
        <v>0</v>
      </c>
      <c r="BR43" s="198">
        <f>'NKC2'!BV57*100</f>
        <v>0</v>
      </c>
      <c r="BS43" s="198">
        <f>'NKC2'!BW57*100</f>
        <v>0</v>
      </c>
      <c r="BT43" s="198">
        <f>'NKC2'!BX57*100</f>
        <v>0</v>
      </c>
      <c r="BU43" s="198">
        <f>'NKC2'!BY57*100</f>
        <v>0</v>
      </c>
      <c r="BV43" s="198">
        <f>'NKC2'!BZ57*100</f>
        <v>0</v>
      </c>
      <c r="BW43" s="198">
        <f>'NKC2'!CA57*100</f>
        <v>0</v>
      </c>
      <c r="BX43" s="198">
        <f>'NKC2'!CB57*100</f>
        <v>0</v>
      </c>
      <c r="BY43" s="198">
        <f>'NKC2'!CC57*100</f>
        <v>0</v>
      </c>
      <c r="BZ43" s="198">
        <f>'NKC2'!CD57*100</f>
        <v>0</v>
      </c>
      <c r="CA43" s="198">
        <f>'NKC2'!CE57*100</f>
        <v>0</v>
      </c>
      <c r="CB43" s="198">
        <f>'NKC2'!CF57*100</f>
        <v>0</v>
      </c>
      <c r="CC43" s="198">
        <f>'NKC2'!CG57*100</f>
        <v>0</v>
      </c>
      <c r="CD43" s="198">
        <f>'NKC2'!CH57*100</f>
        <v>0</v>
      </c>
      <c r="CE43" s="198">
        <f>'NKC2'!CI57*100</f>
        <v>0</v>
      </c>
      <c r="CF43" s="198">
        <f>'NKC2'!CJ57*100</f>
        <v>0</v>
      </c>
      <c r="CG43" s="198">
        <f>'NKC2'!CK57*100</f>
        <v>0</v>
      </c>
      <c r="CH43" s="198">
        <f>'NKC2'!CL57*100</f>
        <v>0</v>
      </c>
      <c r="CI43" s="198">
        <f>'NKC2'!CM57*100</f>
        <v>0</v>
      </c>
    </row>
    <row r="44" spans="1:87" x14ac:dyDescent="0.45">
      <c r="A44" s="403">
        <f>'NKC2'!B58</f>
        <v>1.4</v>
      </c>
      <c r="B44" s="403" t="str">
        <f>'NKC2'!D58</f>
        <v xml:space="preserve">      งานสถาปัตยกรรมและงานระบบประกอบอาคาร</v>
      </c>
      <c r="C44" s="404">
        <f>'NKC2'!F58</f>
        <v>82272490.458837852</v>
      </c>
      <c r="D44" s="407" t="str">
        <f>'NKC2'!G56</f>
        <v>P</v>
      </c>
      <c r="E44" s="405">
        <f>'NKC2'!H58*100</f>
        <v>0</v>
      </c>
      <c r="F44" s="405">
        <f>'NKC2'!J58*100</f>
        <v>0</v>
      </c>
      <c r="G44" s="405">
        <f>'NKC2'!K58*100</f>
        <v>0</v>
      </c>
      <c r="H44" s="405">
        <f>'NKC2'!L58*100</f>
        <v>0</v>
      </c>
      <c r="I44" s="405">
        <f>'NKC2'!M58*100</f>
        <v>0</v>
      </c>
      <c r="J44" s="405">
        <f>'NKC2'!N58*100</f>
        <v>0</v>
      </c>
      <c r="K44" s="405">
        <f>'NKC2'!O58*100</f>
        <v>0</v>
      </c>
      <c r="L44" s="405">
        <f>'NKC2'!P58*100</f>
        <v>0</v>
      </c>
      <c r="M44" s="405">
        <f>'NKC2'!Q58*100</f>
        <v>0</v>
      </c>
      <c r="N44" s="405">
        <f>'NKC2'!R58*100</f>
        <v>0</v>
      </c>
      <c r="O44" s="405">
        <f>'NKC2'!S58*100</f>
        <v>0</v>
      </c>
      <c r="P44" s="405">
        <f>'NKC2'!T58*100</f>
        <v>0</v>
      </c>
      <c r="Q44" s="405">
        <f>'NKC2'!U58*100</f>
        <v>0</v>
      </c>
      <c r="R44" s="405">
        <f>'NKC2'!V58*100</f>
        <v>0</v>
      </c>
      <c r="S44" s="405">
        <f>'NKC2'!W58*100</f>
        <v>0</v>
      </c>
      <c r="T44" s="405">
        <f>'NKC2'!X58*100</f>
        <v>0</v>
      </c>
      <c r="U44" s="405">
        <f>'NKC2'!Y58*100</f>
        <v>0</v>
      </c>
      <c r="V44" s="405">
        <f>'NKC2'!Z58*100</f>
        <v>0</v>
      </c>
      <c r="W44" s="405">
        <f>'NKC2'!AA58*100</f>
        <v>0</v>
      </c>
      <c r="X44" s="405">
        <f>'NKC2'!AB58*100</f>
        <v>0</v>
      </c>
      <c r="Y44" s="405">
        <f>'NKC2'!AC58*100</f>
        <v>0</v>
      </c>
      <c r="Z44" s="405">
        <f>'NKC2'!AD58*100</f>
        <v>0</v>
      </c>
      <c r="AA44" s="405">
        <f>'NKC2'!AE58*100</f>
        <v>0</v>
      </c>
      <c r="AB44" s="405">
        <f>'NKC2'!AF58*100</f>
        <v>0</v>
      </c>
      <c r="AC44" s="405">
        <f>'NKC2'!AG58*100</f>
        <v>0</v>
      </c>
      <c r="AD44" s="405">
        <f>'NKC2'!AH58*100</f>
        <v>0</v>
      </c>
      <c r="AE44" s="405">
        <f>'NKC2'!AI58*100</f>
        <v>0</v>
      </c>
      <c r="AF44" s="405">
        <f>'NKC2'!AJ58*100</f>
        <v>0</v>
      </c>
      <c r="AG44" s="405">
        <f>'NKC2'!AK58*100</f>
        <v>0</v>
      </c>
      <c r="AH44" s="405">
        <f>'NKC2'!AL58*100</f>
        <v>0</v>
      </c>
      <c r="AI44" s="405">
        <f>'NKC2'!AM58*100</f>
        <v>0</v>
      </c>
      <c r="AJ44" s="405">
        <f>'NKC2'!AN58*100</f>
        <v>0</v>
      </c>
      <c r="AK44" s="405">
        <f>'NKC2'!AO58*100</f>
        <v>0</v>
      </c>
      <c r="AL44" s="405">
        <f>'NKC2'!AP58*100</f>
        <v>0</v>
      </c>
      <c r="AM44" s="405">
        <f>'NKC2'!AQ58*100</f>
        <v>0</v>
      </c>
      <c r="AN44" s="405">
        <f>'NKC2'!AR58*100</f>
        <v>0</v>
      </c>
      <c r="AO44" s="405">
        <f>'NKC2'!AS58*100</f>
        <v>0</v>
      </c>
      <c r="AP44" s="405">
        <f>'NKC2'!AT58*100</f>
        <v>0</v>
      </c>
      <c r="AQ44" s="405">
        <f>'NKC2'!AU58*100</f>
        <v>0</v>
      </c>
      <c r="AR44" s="405">
        <f>'NKC2'!AV58*100</f>
        <v>0</v>
      </c>
      <c r="AS44" s="405">
        <f>'NKC2'!AW58*100</f>
        <v>0</v>
      </c>
      <c r="AT44" s="405">
        <f>'NKC2'!AX58*100</f>
        <v>0</v>
      </c>
      <c r="AU44" s="405">
        <f>'NKC2'!AY58*100</f>
        <v>0</v>
      </c>
      <c r="AV44" s="405">
        <f>'NKC2'!AZ58*100</f>
        <v>0</v>
      </c>
      <c r="AW44" s="405">
        <f>'NKC2'!BA58*100</f>
        <v>0</v>
      </c>
      <c r="AX44" s="405">
        <f>'NKC2'!BB58*100</f>
        <v>0</v>
      </c>
      <c r="AY44" s="405">
        <f>'NKC2'!BC58*100</f>
        <v>0</v>
      </c>
      <c r="AZ44" s="405">
        <f>'NKC2'!BD58*100</f>
        <v>0</v>
      </c>
      <c r="BA44" s="405">
        <f>'NKC2'!BE58*100</f>
        <v>0</v>
      </c>
      <c r="BB44" s="405">
        <f>'NKC2'!BF58*100</f>
        <v>0</v>
      </c>
      <c r="BC44" s="405">
        <f>'NKC2'!BG58*100</f>
        <v>0</v>
      </c>
      <c r="BD44" s="405">
        <f>'NKC2'!BH58*100</f>
        <v>0</v>
      </c>
      <c r="BE44" s="405">
        <f>'NKC2'!BI58*100</f>
        <v>0</v>
      </c>
      <c r="BF44" s="405">
        <f>'NKC2'!BJ58*100</f>
        <v>0</v>
      </c>
      <c r="BG44" s="405">
        <f>'NKC2'!BK58*100</f>
        <v>0</v>
      </c>
      <c r="BH44" s="405">
        <f>'NKC2'!BL58*100</f>
        <v>0</v>
      </c>
      <c r="BI44" s="405">
        <f>'NKC2'!BM58*100</f>
        <v>0</v>
      </c>
      <c r="BJ44" s="405">
        <f>'NKC2'!BN58*100</f>
        <v>0</v>
      </c>
      <c r="BK44" s="405">
        <f>'NKC2'!BO58*100</f>
        <v>0</v>
      </c>
      <c r="BL44" s="405">
        <f>'NKC2'!BP58*100</f>
        <v>0</v>
      </c>
      <c r="BM44" s="405">
        <f>'NKC2'!BQ58*100</f>
        <v>0</v>
      </c>
      <c r="BN44" s="405">
        <f>'NKC2'!BR58*100</f>
        <v>0</v>
      </c>
      <c r="BO44" s="405">
        <f>'NKC2'!BS58*100</f>
        <v>0</v>
      </c>
      <c r="BP44" s="405">
        <f>'NKC2'!BT58*100</f>
        <v>0</v>
      </c>
      <c r="BQ44" s="405">
        <f>'NKC2'!BU58*100</f>
        <v>0</v>
      </c>
      <c r="BR44" s="405">
        <f>'NKC2'!BV58*100</f>
        <v>0</v>
      </c>
      <c r="BS44" s="405">
        <f>'NKC2'!BW58*100</f>
        <v>0</v>
      </c>
      <c r="BT44" s="405">
        <f>'NKC2'!BX58*100</f>
        <v>0</v>
      </c>
      <c r="BU44" s="405">
        <f>'NKC2'!BY58*100</f>
        <v>0</v>
      </c>
      <c r="BV44" s="405">
        <f>'NKC2'!BZ58*100</f>
        <v>0</v>
      </c>
      <c r="BW44" s="405">
        <f>'NKC2'!CA58*100</f>
        <v>0</v>
      </c>
      <c r="BX44" s="405">
        <f>'NKC2'!CB58*100</f>
        <v>0</v>
      </c>
      <c r="BY44" s="405">
        <f>'NKC2'!CC58*100</f>
        <v>0</v>
      </c>
      <c r="BZ44" s="405">
        <f>'NKC2'!CD58*100</f>
        <v>0</v>
      </c>
      <c r="CA44" s="405">
        <f>'NKC2'!CE58*100</f>
        <v>0</v>
      </c>
      <c r="CB44" s="405">
        <f>'NKC2'!CF58*100</f>
        <v>0</v>
      </c>
      <c r="CC44" s="405">
        <f>'NKC2'!CG58*100</f>
        <v>0</v>
      </c>
      <c r="CD44" s="405">
        <f>'NKC2'!CH58*100</f>
        <v>0</v>
      </c>
      <c r="CE44" s="405">
        <f>'NKC2'!CI58*100</f>
        <v>0</v>
      </c>
      <c r="CF44" s="405">
        <f>'NKC2'!CJ58*100</f>
        <v>0</v>
      </c>
      <c r="CG44" s="405">
        <f>'NKC2'!CK58*100</f>
        <v>0</v>
      </c>
      <c r="CH44" s="405">
        <f>'NKC2'!CL58*100</f>
        <v>0</v>
      </c>
      <c r="CI44" s="405">
        <f>'NKC2'!CM58*100</f>
        <v>0</v>
      </c>
    </row>
    <row r="45" spans="1:87" x14ac:dyDescent="0.45">
      <c r="A45">
        <f>'NKC2'!B59</f>
        <v>1.4</v>
      </c>
      <c r="B45" t="str">
        <f>'NKC2'!D59</f>
        <v xml:space="preserve">      งานสถาปัตยกรรมและงานระบบประกอบอาคาร</v>
      </c>
      <c r="C45" s="193">
        <f>'NKC2'!F59</f>
        <v>82272490.458837852</v>
      </c>
      <c r="D45" s="140" t="str">
        <f>'NKC2'!G57</f>
        <v>A</v>
      </c>
      <c r="E45" s="198">
        <f>'NKC2'!H59*100</f>
        <v>0</v>
      </c>
      <c r="F45" s="198">
        <f>'NKC2'!J59*100</f>
        <v>0</v>
      </c>
      <c r="G45" s="198">
        <f>'NKC2'!K59*100</f>
        <v>0</v>
      </c>
      <c r="H45" s="198">
        <f>'NKC2'!L59*100</f>
        <v>0</v>
      </c>
      <c r="I45" s="198">
        <f>'NKC2'!M59*100</f>
        <v>0</v>
      </c>
      <c r="J45" s="198">
        <f>'NKC2'!N59*100</f>
        <v>0</v>
      </c>
      <c r="K45" s="198">
        <f>'NKC2'!O59*100</f>
        <v>0</v>
      </c>
      <c r="L45" s="198">
        <f>'NKC2'!P59*100</f>
        <v>0</v>
      </c>
      <c r="M45" s="198">
        <f>'NKC2'!Q59*100</f>
        <v>0</v>
      </c>
      <c r="N45" s="198">
        <f>'NKC2'!R59*100</f>
        <v>0</v>
      </c>
      <c r="O45" s="198">
        <f>'NKC2'!S59*100</f>
        <v>0</v>
      </c>
      <c r="P45" s="198">
        <f>'NKC2'!T59*100</f>
        <v>0</v>
      </c>
      <c r="Q45" s="198">
        <f>'NKC2'!U59*100</f>
        <v>0</v>
      </c>
      <c r="R45" s="198">
        <f>'NKC2'!V59*100</f>
        <v>0</v>
      </c>
      <c r="S45" s="198">
        <f>'NKC2'!W59*100</f>
        <v>0</v>
      </c>
      <c r="T45" s="198">
        <f>'NKC2'!X59*100</f>
        <v>0</v>
      </c>
      <c r="U45" s="198">
        <f>'NKC2'!Y59*100</f>
        <v>0</v>
      </c>
      <c r="V45" s="198">
        <f>'NKC2'!Z59*100</f>
        <v>0</v>
      </c>
      <c r="W45" s="198">
        <f>'NKC2'!AA59*100</f>
        <v>0</v>
      </c>
      <c r="X45" s="198">
        <f>'NKC2'!AB59*100</f>
        <v>0</v>
      </c>
      <c r="Y45" s="198">
        <f>'NKC2'!AC59*100</f>
        <v>0</v>
      </c>
      <c r="Z45" s="198">
        <f>'NKC2'!AD59*100</f>
        <v>0</v>
      </c>
      <c r="AA45" s="198">
        <f>'NKC2'!AE59*100</f>
        <v>0</v>
      </c>
      <c r="AB45" s="198">
        <f>'NKC2'!AF59*100</f>
        <v>0</v>
      </c>
      <c r="AC45" s="198">
        <f>'NKC2'!AG59*100</f>
        <v>0</v>
      </c>
      <c r="AD45" s="198">
        <f>'NKC2'!AH59*100</f>
        <v>0</v>
      </c>
      <c r="AE45" s="198">
        <f>'NKC2'!AI59*100</f>
        <v>0</v>
      </c>
      <c r="AF45" s="198">
        <f>'NKC2'!AJ59*100</f>
        <v>0</v>
      </c>
      <c r="AG45" s="198">
        <f>'NKC2'!AK59*100</f>
        <v>0</v>
      </c>
      <c r="AH45" s="198">
        <f>'NKC2'!AL59*100</f>
        <v>0</v>
      </c>
      <c r="AI45" s="198">
        <f>'NKC2'!AM59*100</f>
        <v>0</v>
      </c>
      <c r="AJ45" s="198">
        <f>'NKC2'!AN59*100</f>
        <v>0</v>
      </c>
      <c r="AK45" s="198">
        <f>'NKC2'!AO59*100</f>
        <v>0</v>
      </c>
      <c r="AL45" s="198">
        <f>'NKC2'!AP59*100</f>
        <v>0</v>
      </c>
      <c r="AM45" s="198">
        <f>'NKC2'!AQ59*100</f>
        <v>0</v>
      </c>
      <c r="AN45" s="198">
        <f>'NKC2'!AR59*100</f>
        <v>0</v>
      </c>
      <c r="AO45" s="198">
        <f>'NKC2'!AS59*100</f>
        <v>0</v>
      </c>
      <c r="AP45" s="198">
        <f>'NKC2'!AT59*100</f>
        <v>0</v>
      </c>
      <c r="AQ45" s="198">
        <f>'NKC2'!AU59*100</f>
        <v>0</v>
      </c>
      <c r="AR45" s="198">
        <f>'NKC2'!AV59*100</f>
        <v>0</v>
      </c>
      <c r="AS45" s="198">
        <f>'NKC2'!AW59*100</f>
        <v>0</v>
      </c>
      <c r="AT45" s="198">
        <f>'NKC2'!AX59*100</f>
        <v>0</v>
      </c>
      <c r="AU45" s="198">
        <f>'NKC2'!AY59*100</f>
        <v>0</v>
      </c>
      <c r="AV45" s="198">
        <f>'NKC2'!AZ59*100</f>
        <v>0</v>
      </c>
      <c r="AW45" s="198">
        <f>'NKC2'!BA59*100</f>
        <v>0</v>
      </c>
      <c r="AX45" s="198">
        <f>'NKC2'!BB59*100</f>
        <v>0</v>
      </c>
      <c r="AY45" s="198">
        <f>'NKC2'!BC59*100</f>
        <v>0</v>
      </c>
      <c r="AZ45" s="198">
        <f>'NKC2'!BD59*100</f>
        <v>0</v>
      </c>
      <c r="BA45" s="198">
        <f>'NKC2'!BE59*100</f>
        <v>0</v>
      </c>
      <c r="BB45" s="198">
        <f>'NKC2'!BF59*100</f>
        <v>0</v>
      </c>
      <c r="BC45" s="198">
        <f>'NKC2'!BG59*100</f>
        <v>0</v>
      </c>
      <c r="BD45" s="198">
        <f>'NKC2'!BH59*100</f>
        <v>0</v>
      </c>
      <c r="BE45" s="198">
        <f>'NKC2'!BI59*100</f>
        <v>0</v>
      </c>
      <c r="BF45" s="198">
        <f>'NKC2'!BJ59*100</f>
        <v>0</v>
      </c>
      <c r="BG45" s="198">
        <f>'NKC2'!BK59*100</f>
        <v>0</v>
      </c>
      <c r="BH45" s="198">
        <f>'NKC2'!BL59*100</f>
        <v>0</v>
      </c>
      <c r="BI45" s="198">
        <f>'NKC2'!BM59*100</f>
        <v>0</v>
      </c>
      <c r="BJ45" s="198">
        <f>'NKC2'!BN59*100</f>
        <v>0</v>
      </c>
      <c r="BK45" s="198">
        <f>'NKC2'!BO59*100</f>
        <v>0</v>
      </c>
      <c r="BL45" s="198">
        <f>'NKC2'!BP59*100</f>
        <v>0</v>
      </c>
      <c r="BM45" s="198">
        <f>'NKC2'!BQ59*100</f>
        <v>0</v>
      </c>
      <c r="BN45" s="198">
        <f>'NKC2'!BR59*100</f>
        <v>0</v>
      </c>
      <c r="BO45" s="198">
        <f>'NKC2'!BS59*100</f>
        <v>0</v>
      </c>
      <c r="BP45" s="198">
        <f>'NKC2'!BT59*100</f>
        <v>0</v>
      </c>
      <c r="BQ45" s="198">
        <f>'NKC2'!BU59*100</f>
        <v>0</v>
      </c>
      <c r="BR45" s="198">
        <f>'NKC2'!BV59*100</f>
        <v>0</v>
      </c>
      <c r="BS45" s="198">
        <f>'NKC2'!BW59*100</f>
        <v>0</v>
      </c>
      <c r="BT45" s="198">
        <f>'NKC2'!BX59*100</f>
        <v>0</v>
      </c>
      <c r="BU45" s="198">
        <f>'NKC2'!BY59*100</f>
        <v>0</v>
      </c>
      <c r="BV45" s="198">
        <f>'NKC2'!BZ59*100</f>
        <v>0</v>
      </c>
      <c r="BW45" s="198">
        <f>'NKC2'!CA59*100</f>
        <v>0</v>
      </c>
      <c r="BX45" s="198">
        <f>'NKC2'!CB59*100</f>
        <v>0</v>
      </c>
      <c r="BY45" s="198">
        <f>'NKC2'!CC59*100</f>
        <v>0</v>
      </c>
      <c r="BZ45" s="198">
        <f>'NKC2'!CD59*100</f>
        <v>0</v>
      </c>
      <c r="CA45" s="198">
        <f>'NKC2'!CE59*100</f>
        <v>0</v>
      </c>
      <c r="CB45" s="198">
        <f>'NKC2'!CF59*100</f>
        <v>0</v>
      </c>
      <c r="CC45" s="198">
        <f>'NKC2'!CG59*100</f>
        <v>0</v>
      </c>
      <c r="CD45" s="198">
        <f>'NKC2'!CH59*100</f>
        <v>0</v>
      </c>
      <c r="CE45" s="198">
        <f>'NKC2'!CI59*100</f>
        <v>0</v>
      </c>
      <c r="CF45" s="198">
        <f>'NKC2'!CJ59*100</f>
        <v>0</v>
      </c>
      <c r="CG45" s="198">
        <f>'NKC2'!CK59*100</f>
        <v>0</v>
      </c>
      <c r="CH45" s="198">
        <f>'NKC2'!CL59*100</f>
        <v>0</v>
      </c>
      <c r="CI45" s="198">
        <f>'NKC2'!CM59*100</f>
        <v>0</v>
      </c>
    </row>
    <row r="46" spans="1:87" x14ac:dyDescent="0.45">
      <c r="A46" s="403" t="str">
        <f>'NKC2'!B60</f>
        <v>1.4.1</v>
      </c>
      <c r="B46" s="403" t="str">
        <f>'NKC2'!D60</f>
        <v xml:space="preserve">         งานสถาปัตยกรรมและ MEP ภายในอาคาร </v>
      </c>
      <c r="C46" s="404">
        <f>'NKC2'!F60</f>
        <v>69821579.855337858</v>
      </c>
      <c r="D46" s="407" t="str">
        <f>'NKC2'!G58</f>
        <v>P</v>
      </c>
      <c r="E46" s="405">
        <f>'NKC2'!H60*100</f>
        <v>0</v>
      </c>
      <c r="F46" s="405">
        <f>'NKC2'!J60*100</f>
        <v>0</v>
      </c>
      <c r="G46" s="405">
        <f>'NKC2'!K60*100</f>
        <v>0</v>
      </c>
      <c r="H46" s="405">
        <f>'NKC2'!L60*100</f>
        <v>0</v>
      </c>
      <c r="I46" s="405">
        <f>'NKC2'!M60*100</f>
        <v>0</v>
      </c>
      <c r="J46" s="405">
        <f>'NKC2'!N60*100</f>
        <v>0</v>
      </c>
      <c r="K46" s="405">
        <f>'NKC2'!O60*100</f>
        <v>0</v>
      </c>
      <c r="L46" s="405">
        <f>'NKC2'!P60*100</f>
        <v>0</v>
      </c>
      <c r="M46" s="405">
        <f>'NKC2'!Q60*100</f>
        <v>0</v>
      </c>
      <c r="N46" s="405">
        <f>'NKC2'!R60*100</f>
        <v>0</v>
      </c>
      <c r="O46" s="405">
        <f>'NKC2'!S60*100</f>
        <v>0</v>
      </c>
      <c r="P46" s="405">
        <f>'NKC2'!T60*100</f>
        <v>0</v>
      </c>
      <c r="Q46" s="405">
        <f>'NKC2'!U60*100</f>
        <v>0</v>
      </c>
      <c r="R46" s="405">
        <f>'NKC2'!V60*100</f>
        <v>0</v>
      </c>
      <c r="S46" s="405">
        <f>'NKC2'!W60*100</f>
        <v>0</v>
      </c>
      <c r="T46" s="405">
        <f>'NKC2'!X60*100</f>
        <v>0</v>
      </c>
      <c r="U46" s="405">
        <f>'NKC2'!Y60*100</f>
        <v>0</v>
      </c>
      <c r="V46" s="405">
        <f>'NKC2'!Z60*100</f>
        <v>0</v>
      </c>
      <c r="W46" s="405">
        <f>'NKC2'!AA60*100</f>
        <v>0</v>
      </c>
      <c r="X46" s="405">
        <f>'NKC2'!AB60*100</f>
        <v>0</v>
      </c>
      <c r="Y46" s="405">
        <f>'NKC2'!AC60*100</f>
        <v>0</v>
      </c>
      <c r="Z46" s="405">
        <f>'NKC2'!AD60*100</f>
        <v>0</v>
      </c>
      <c r="AA46" s="405">
        <f>'NKC2'!AE60*100</f>
        <v>0</v>
      </c>
      <c r="AB46" s="405">
        <f>'NKC2'!AF60*100</f>
        <v>0</v>
      </c>
      <c r="AC46" s="405">
        <f>'NKC2'!AG60*100</f>
        <v>0</v>
      </c>
      <c r="AD46" s="405">
        <f>'NKC2'!AH60*100</f>
        <v>0</v>
      </c>
      <c r="AE46" s="405">
        <f>'NKC2'!AI60*100</f>
        <v>0</v>
      </c>
      <c r="AF46" s="405">
        <f>'NKC2'!AJ60*100</f>
        <v>0</v>
      </c>
      <c r="AG46" s="405">
        <f>'NKC2'!AK60*100</f>
        <v>0</v>
      </c>
      <c r="AH46" s="405">
        <f>'NKC2'!AL60*100</f>
        <v>0</v>
      </c>
      <c r="AI46" s="405">
        <f>'NKC2'!AM60*100</f>
        <v>0</v>
      </c>
      <c r="AJ46" s="405">
        <f>'NKC2'!AN60*100</f>
        <v>0</v>
      </c>
      <c r="AK46" s="405">
        <f>'NKC2'!AO60*100</f>
        <v>0</v>
      </c>
      <c r="AL46" s="405">
        <f>'NKC2'!AP60*100</f>
        <v>0</v>
      </c>
      <c r="AM46" s="405">
        <f>'NKC2'!AQ60*100</f>
        <v>0</v>
      </c>
      <c r="AN46" s="405">
        <f>'NKC2'!AR60*100</f>
        <v>0</v>
      </c>
      <c r="AO46" s="405">
        <f>'NKC2'!AS60*100</f>
        <v>0</v>
      </c>
      <c r="AP46" s="405">
        <f>'NKC2'!AT60*100</f>
        <v>0</v>
      </c>
      <c r="AQ46" s="405">
        <f>'NKC2'!AU60*100</f>
        <v>0</v>
      </c>
      <c r="AR46" s="405">
        <f>'NKC2'!AV60*100</f>
        <v>0</v>
      </c>
      <c r="AS46" s="405">
        <f>'NKC2'!AW60*100</f>
        <v>0</v>
      </c>
      <c r="AT46" s="405">
        <f>'NKC2'!AX60*100</f>
        <v>0</v>
      </c>
      <c r="AU46" s="405">
        <f>'NKC2'!AY60*100</f>
        <v>0</v>
      </c>
      <c r="AV46" s="405">
        <f>'NKC2'!AZ60*100</f>
        <v>0</v>
      </c>
      <c r="AW46" s="405">
        <f>'NKC2'!BA60*100</f>
        <v>0</v>
      </c>
      <c r="AX46" s="405">
        <f>'NKC2'!BB60*100</f>
        <v>0</v>
      </c>
      <c r="AY46" s="405">
        <f>'NKC2'!BC60*100</f>
        <v>0</v>
      </c>
      <c r="AZ46" s="405">
        <f>'NKC2'!BD60*100</f>
        <v>0</v>
      </c>
      <c r="BA46" s="405">
        <f>'NKC2'!BE60*100</f>
        <v>0</v>
      </c>
      <c r="BB46" s="405">
        <f>'NKC2'!BF60*100</f>
        <v>0</v>
      </c>
      <c r="BC46" s="405">
        <f>'NKC2'!BG60*100</f>
        <v>0</v>
      </c>
      <c r="BD46" s="405">
        <f>'NKC2'!BH60*100</f>
        <v>0</v>
      </c>
      <c r="BE46" s="405">
        <f>'NKC2'!BI60*100</f>
        <v>0</v>
      </c>
      <c r="BF46" s="405">
        <f>'NKC2'!BJ60*100</f>
        <v>0</v>
      </c>
      <c r="BG46" s="405">
        <f>'NKC2'!BK60*100</f>
        <v>0</v>
      </c>
      <c r="BH46" s="405">
        <f>'NKC2'!BL60*100</f>
        <v>0</v>
      </c>
      <c r="BI46" s="405">
        <f>'NKC2'!BM60*100</f>
        <v>0</v>
      </c>
      <c r="BJ46" s="405">
        <f>'NKC2'!BN60*100</f>
        <v>0</v>
      </c>
      <c r="BK46" s="405">
        <f>'NKC2'!BO60*100</f>
        <v>0</v>
      </c>
      <c r="BL46" s="405">
        <f>'NKC2'!BP60*100</f>
        <v>0</v>
      </c>
      <c r="BM46" s="405">
        <f>'NKC2'!BQ60*100</f>
        <v>0</v>
      </c>
      <c r="BN46" s="405">
        <f>'NKC2'!BR60*100</f>
        <v>0</v>
      </c>
      <c r="BO46" s="405">
        <f>'NKC2'!BS60*100</f>
        <v>0</v>
      </c>
      <c r="BP46" s="405">
        <f>'NKC2'!BT60*100</f>
        <v>0</v>
      </c>
      <c r="BQ46" s="405">
        <f>'NKC2'!BU60*100</f>
        <v>0</v>
      </c>
      <c r="BR46" s="405">
        <f>'NKC2'!BV60*100</f>
        <v>0</v>
      </c>
      <c r="BS46" s="405">
        <f>'NKC2'!BW60*100</f>
        <v>0</v>
      </c>
      <c r="BT46" s="405">
        <f>'NKC2'!BX60*100</f>
        <v>0</v>
      </c>
      <c r="BU46" s="405">
        <f>'NKC2'!BY60*100</f>
        <v>0</v>
      </c>
      <c r="BV46" s="405">
        <f>'NKC2'!BZ60*100</f>
        <v>0</v>
      </c>
      <c r="BW46" s="405">
        <f>'NKC2'!CA60*100</f>
        <v>0</v>
      </c>
      <c r="BX46" s="405">
        <f>'NKC2'!CB60*100</f>
        <v>0</v>
      </c>
      <c r="BY46" s="405">
        <f>'NKC2'!CC60*100</f>
        <v>0</v>
      </c>
      <c r="BZ46" s="405">
        <f>'NKC2'!CD60*100</f>
        <v>0</v>
      </c>
      <c r="CA46" s="405">
        <f>'NKC2'!CE60*100</f>
        <v>0</v>
      </c>
      <c r="CB46" s="405">
        <f>'NKC2'!CF60*100</f>
        <v>0</v>
      </c>
      <c r="CC46" s="405">
        <f>'NKC2'!CG60*100</f>
        <v>0</v>
      </c>
      <c r="CD46" s="405">
        <f>'NKC2'!CH60*100</f>
        <v>0</v>
      </c>
      <c r="CE46" s="405">
        <f>'NKC2'!CI60*100</f>
        <v>0</v>
      </c>
      <c r="CF46" s="405">
        <f>'NKC2'!CJ60*100</f>
        <v>0</v>
      </c>
      <c r="CG46" s="405">
        <f>'NKC2'!CK60*100</f>
        <v>0</v>
      </c>
      <c r="CH46" s="405">
        <f>'NKC2'!CL60*100</f>
        <v>0</v>
      </c>
      <c r="CI46" s="405">
        <f>'NKC2'!CM60*100</f>
        <v>0</v>
      </c>
    </row>
    <row r="47" spans="1:87" x14ac:dyDescent="0.45">
      <c r="A47" t="str">
        <f>'NKC2'!B61</f>
        <v>1.4.1</v>
      </c>
      <c r="B47" t="str">
        <f>'NKC2'!D61</f>
        <v xml:space="preserve">         งานสถาปัตยกรรมและ MEP ภายในอาคาร </v>
      </c>
      <c r="C47" s="193">
        <f>'NKC2'!F61</f>
        <v>69821579.855337858</v>
      </c>
      <c r="D47" s="140" t="str">
        <f>'NKC2'!G59</f>
        <v>A</v>
      </c>
      <c r="E47" s="198">
        <f>'NKC2'!H61*100</f>
        <v>0</v>
      </c>
      <c r="F47" s="198">
        <f>'NKC2'!J61*100</f>
        <v>0</v>
      </c>
      <c r="G47" s="198">
        <f>'NKC2'!K61*100</f>
        <v>0</v>
      </c>
      <c r="H47" s="198">
        <f>'NKC2'!L61*100</f>
        <v>0</v>
      </c>
      <c r="I47" s="198">
        <f>'NKC2'!M61*100</f>
        <v>0</v>
      </c>
      <c r="J47" s="198">
        <f>'NKC2'!N61*100</f>
        <v>0</v>
      </c>
      <c r="K47" s="198">
        <f>'NKC2'!O61*100</f>
        <v>0</v>
      </c>
      <c r="L47" s="198">
        <f>'NKC2'!P61*100</f>
        <v>0</v>
      </c>
      <c r="M47" s="198">
        <f>'NKC2'!Q61*100</f>
        <v>0</v>
      </c>
      <c r="N47" s="198">
        <f>'NKC2'!R61*100</f>
        <v>0</v>
      </c>
      <c r="O47" s="198">
        <f>'NKC2'!S61*100</f>
        <v>0</v>
      </c>
      <c r="P47" s="198">
        <f>'NKC2'!T61*100</f>
        <v>0</v>
      </c>
      <c r="Q47" s="198">
        <f>'NKC2'!U61*100</f>
        <v>0</v>
      </c>
      <c r="R47" s="198">
        <f>'NKC2'!V61*100</f>
        <v>0</v>
      </c>
      <c r="S47" s="198">
        <f>'NKC2'!W61*100</f>
        <v>0</v>
      </c>
      <c r="T47" s="198">
        <f>'NKC2'!X61*100</f>
        <v>0</v>
      </c>
      <c r="U47" s="198">
        <f>'NKC2'!Y61*100</f>
        <v>0</v>
      </c>
      <c r="V47" s="198">
        <f>'NKC2'!Z61*100</f>
        <v>0</v>
      </c>
      <c r="W47" s="198">
        <f>'NKC2'!AA61*100</f>
        <v>0</v>
      </c>
      <c r="X47" s="198">
        <f>'NKC2'!AB61*100</f>
        <v>0</v>
      </c>
      <c r="Y47" s="198">
        <f>'NKC2'!AC61*100</f>
        <v>0</v>
      </c>
      <c r="Z47" s="198">
        <f>'NKC2'!AD61*100</f>
        <v>0</v>
      </c>
      <c r="AA47" s="198">
        <f>'NKC2'!AE61*100</f>
        <v>0</v>
      </c>
      <c r="AB47" s="198">
        <f>'NKC2'!AF61*100</f>
        <v>0</v>
      </c>
      <c r="AC47" s="198">
        <f>'NKC2'!AG61*100</f>
        <v>0</v>
      </c>
      <c r="AD47" s="198">
        <f>'NKC2'!AH61*100</f>
        <v>0</v>
      </c>
      <c r="AE47" s="198">
        <f>'NKC2'!AI61*100</f>
        <v>0</v>
      </c>
      <c r="AF47" s="198">
        <f>'NKC2'!AJ61*100</f>
        <v>0</v>
      </c>
      <c r="AG47" s="198">
        <f>'NKC2'!AK61*100</f>
        <v>0</v>
      </c>
      <c r="AH47" s="198">
        <f>'NKC2'!AL61*100</f>
        <v>0</v>
      </c>
      <c r="AI47" s="198">
        <f>'NKC2'!AM61*100</f>
        <v>0</v>
      </c>
      <c r="AJ47" s="198">
        <f>'NKC2'!AN61*100</f>
        <v>0</v>
      </c>
      <c r="AK47" s="198">
        <f>'NKC2'!AO61*100</f>
        <v>0</v>
      </c>
      <c r="AL47" s="198">
        <f>'NKC2'!AP61*100</f>
        <v>0</v>
      </c>
      <c r="AM47" s="198">
        <f>'NKC2'!AQ61*100</f>
        <v>0</v>
      </c>
      <c r="AN47" s="198">
        <f>'NKC2'!AR61*100</f>
        <v>0</v>
      </c>
      <c r="AO47" s="198">
        <f>'NKC2'!AS61*100</f>
        <v>0</v>
      </c>
      <c r="AP47" s="198">
        <f>'NKC2'!AT61*100</f>
        <v>0</v>
      </c>
      <c r="AQ47" s="198">
        <f>'NKC2'!AU61*100</f>
        <v>0</v>
      </c>
      <c r="AR47" s="198">
        <f>'NKC2'!AV61*100</f>
        <v>0</v>
      </c>
      <c r="AS47" s="198">
        <f>'NKC2'!AW61*100</f>
        <v>0</v>
      </c>
      <c r="AT47" s="198">
        <f>'NKC2'!AX61*100</f>
        <v>0</v>
      </c>
      <c r="AU47" s="198">
        <f>'NKC2'!AY61*100</f>
        <v>0</v>
      </c>
      <c r="AV47" s="198">
        <f>'NKC2'!AZ61*100</f>
        <v>0</v>
      </c>
      <c r="AW47" s="198">
        <f>'NKC2'!BA61*100</f>
        <v>0</v>
      </c>
      <c r="AX47" s="198">
        <f>'NKC2'!BB61*100</f>
        <v>0</v>
      </c>
      <c r="AY47" s="198">
        <f>'NKC2'!BC61*100</f>
        <v>0</v>
      </c>
      <c r="AZ47" s="198">
        <f>'NKC2'!BD61*100</f>
        <v>0</v>
      </c>
      <c r="BA47" s="198">
        <f>'NKC2'!BE61*100</f>
        <v>0</v>
      </c>
      <c r="BB47" s="198">
        <f>'NKC2'!BF61*100</f>
        <v>0</v>
      </c>
      <c r="BC47" s="198">
        <f>'NKC2'!BG61*100</f>
        <v>0</v>
      </c>
      <c r="BD47" s="198">
        <f>'NKC2'!BH61*100</f>
        <v>0</v>
      </c>
      <c r="BE47" s="198">
        <f>'NKC2'!BI61*100</f>
        <v>0</v>
      </c>
      <c r="BF47" s="198">
        <f>'NKC2'!BJ61*100</f>
        <v>0</v>
      </c>
      <c r="BG47" s="198">
        <f>'NKC2'!BK61*100</f>
        <v>0</v>
      </c>
      <c r="BH47" s="198">
        <f>'NKC2'!BL61*100</f>
        <v>0</v>
      </c>
      <c r="BI47" s="198">
        <f>'NKC2'!BM61*100</f>
        <v>0</v>
      </c>
      <c r="BJ47" s="198">
        <f>'NKC2'!BN61*100</f>
        <v>0</v>
      </c>
      <c r="BK47" s="198">
        <f>'NKC2'!BO61*100</f>
        <v>0</v>
      </c>
      <c r="BL47" s="198">
        <f>'NKC2'!BP61*100</f>
        <v>0</v>
      </c>
      <c r="BM47" s="198">
        <f>'NKC2'!BQ61*100</f>
        <v>0</v>
      </c>
      <c r="BN47" s="198">
        <f>'NKC2'!BR61*100</f>
        <v>0</v>
      </c>
      <c r="BO47" s="198">
        <f>'NKC2'!BS61*100</f>
        <v>0</v>
      </c>
      <c r="BP47" s="198">
        <f>'NKC2'!BT61*100</f>
        <v>0</v>
      </c>
      <c r="BQ47" s="198">
        <f>'NKC2'!BU61*100</f>
        <v>0</v>
      </c>
      <c r="BR47" s="198">
        <f>'NKC2'!BV61*100</f>
        <v>0</v>
      </c>
      <c r="BS47" s="198">
        <f>'NKC2'!BW61*100</f>
        <v>0</v>
      </c>
      <c r="BT47" s="198">
        <f>'NKC2'!BX61*100</f>
        <v>0</v>
      </c>
      <c r="BU47" s="198">
        <f>'NKC2'!BY61*100</f>
        <v>0</v>
      </c>
      <c r="BV47" s="198">
        <f>'NKC2'!BZ61*100</f>
        <v>0</v>
      </c>
      <c r="BW47" s="198">
        <f>'NKC2'!CA61*100</f>
        <v>0</v>
      </c>
      <c r="BX47" s="198">
        <f>'NKC2'!CB61*100</f>
        <v>0</v>
      </c>
      <c r="BY47" s="198">
        <f>'NKC2'!CC61*100</f>
        <v>0</v>
      </c>
      <c r="BZ47" s="198">
        <f>'NKC2'!CD61*100</f>
        <v>0</v>
      </c>
      <c r="CA47" s="198">
        <f>'NKC2'!CE61*100</f>
        <v>0</v>
      </c>
      <c r="CB47" s="198">
        <f>'NKC2'!CF61*100</f>
        <v>0</v>
      </c>
      <c r="CC47" s="198">
        <f>'NKC2'!CG61*100</f>
        <v>0</v>
      </c>
      <c r="CD47" s="198">
        <f>'NKC2'!CH61*100</f>
        <v>0</v>
      </c>
      <c r="CE47" s="198">
        <f>'NKC2'!CI61*100</f>
        <v>0</v>
      </c>
      <c r="CF47" s="198">
        <f>'NKC2'!CJ61*100</f>
        <v>0</v>
      </c>
      <c r="CG47" s="198">
        <f>'NKC2'!CK61*100</f>
        <v>0</v>
      </c>
      <c r="CH47" s="198">
        <f>'NKC2'!CL61*100</f>
        <v>0</v>
      </c>
      <c r="CI47" s="198">
        <f>'NKC2'!CM61*100</f>
        <v>0</v>
      </c>
    </row>
    <row r="48" spans="1:87" x14ac:dyDescent="0.45">
      <c r="A48" s="403" t="str">
        <f>'NKC2'!B62</f>
        <v>1.4.1.1</v>
      </c>
      <c r="B48" s="403" t="str">
        <f>'NKC2'!D62</f>
        <v xml:space="preserve">            Roof</v>
      </c>
      <c r="C48" s="404">
        <f>'NKC2'!F62</f>
        <v>7011934.1726701101</v>
      </c>
      <c r="D48" s="407" t="str">
        <f>'NKC2'!G60</f>
        <v>P</v>
      </c>
      <c r="E48" s="405">
        <f>'NKC2'!H62*100</f>
        <v>99.999999999999986</v>
      </c>
      <c r="F48" s="405">
        <f>'NKC2'!J62*100</f>
        <v>0</v>
      </c>
      <c r="G48" s="405">
        <f>'NKC2'!K62*100</f>
        <v>0</v>
      </c>
      <c r="H48" s="405">
        <f>'NKC2'!L62*100</f>
        <v>0</v>
      </c>
      <c r="I48" s="405">
        <f>'NKC2'!M62*100</f>
        <v>0</v>
      </c>
      <c r="J48" s="405">
        <f>'NKC2'!N62*100</f>
        <v>0</v>
      </c>
      <c r="K48" s="405">
        <f>'NKC2'!O62*100</f>
        <v>0</v>
      </c>
      <c r="L48" s="405">
        <f>'NKC2'!P62*100</f>
        <v>0</v>
      </c>
      <c r="M48" s="405">
        <f>'NKC2'!Q62*100</f>
        <v>0</v>
      </c>
      <c r="N48" s="405">
        <f>'NKC2'!R62*100</f>
        <v>0</v>
      </c>
      <c r="O48" s="405">
        <f>'NKC2'!S62*100</f>
        <v>0</v>
      </c>
      <c r="P48" s="405">
        <f>'NKC2'!T62*100</f>
        <v>0</v>
      </c>
      <c r="Q48" s="405">
        <f>'NKC2'!U62*100</f>
        <v>0</v>
      </c>
      <c r="R48" s="405">
        <f>'NKC2'!V62*100</f>
        <v>0</v>
      </c>
      <c r="S48" s="405">
        <f>'NKC2'!W62*100</f>
        <v>0</v>
      </c>
      <c r="T48" s="405">
        <f>'NKC2'!X62*100</f>
        <v>0</v>
      </c>
      <c r="U48" s="405">
        <f>'NKC2'!Y62*100</f>
        <v>0</v>
      </c>
      <c r="V48" s="405">
        <f>'NKC2'!Z62*100</f>
        <v>0</v>
      </c>
      <c r="W48" s="405">
        <f>'NKC2'!AA62*100</f>
        <v>0</v>
      </c>
      <c r="X48" s="405">
        <f>'NKC2'!AB62*100</f>
        <v>0</v>
      </c>
      <c r="Y48" s="405">
        <f>'NKC2'!AC62*100</f>
        <v>0</v>
      </c>
      <c r="Z48" s="405">
        <f>'NKC2'!AD62*100</f>
        <v>0</v>
      </c>
      <c r="AA48" s="405">
        <f>'NKC2'!AE62*100</f>
        <v>0</v>
      </c>
      <c r="AB48" s="405">
        <f>'NKC2'!AF62*100</f>
        <v>0</v>
      </c>
      <c r="AC48" s="405">
        <f>'NKC2'!AG62*100</f>
        <v>0</v>
      </c>
      <c r="AD48" s="405">
        <f>'NKC2'!AH62*100</f>
        <v>0</v>
      </c>
      <c r="AE48" s="405">
        <f>'NKC2'!AI62*100</f>
        <v>0</v>
      </c>
      <c r="AF48" s="405">
        <f>'NKC2'!AJ62*100</f>
        <v>0</v>
      </c>
      <c r="AG48" s="405">
        <f>'NKC2'!AK62*100</f>
        <v>0</v>
      </c>
      <c r="AH48" s="405">
        <f>'NKC2'!AL62*100</f>
        <v>10</v>
      </c>
      <c r="AI48" s="405">
        <f>'NKC2'!AM62*100</f>
        <v>10</v>
      </c>
      <c r="AJ48" s="405">
        <f>'NKC2'!AN62*100</f>
        <v>10</v>
      </c>
      <c r="AK48" s="405">
        <f>'NKC2'!AO62*100</f>
        <v>10</v>
      </c>
      <c r="AL48" s="405">
        <f>'NKC2'!AP62*100</f>
        <v>10</v>
      </c>
      <c r="AM48" s="405">
        <f>'NKC2'!AQ62*100</f>
        <v>10</v>
      </c>
      <c r="AN48" s="405">
        <f>'NKC2'!AR62*100</f>
        <v>10</v>
      </c>
      <c r="AO48" s="405">
        <f>'NKC2'!AS62*100</f>
        <v>10</v>
      </c>
      <c r="AP48" s="405">
        <f>'NKC2'!AT62*100</f>
        <v>10</v>
      </c>
      <c r="AQ48" s="405">
        <f>'NKC2'!AU62*100</f>
        <v>10</v>
      </c>
      <c r="AR48" s="405">
        <f>'NKC2'!AV62*100</f>
        <v>0</v>
      </c>
      <c r="AS48" s="405">
        <f>'NKC2'!AW62*100</f>
        <v>0</v>
      </c>
      <c r="AT48" s="405">
        <f>'NKC2'!AX62*100</f>
        <v>0</v>
      </c>
      <c r="AU48" s="405">
        <f>'NKC2'!AY62*100</f>
        <v>0</v>
      </c>
      <c r="AV48" s="405">
        <f>'NKC2'!AZ62*100</f>
        <v>0</v>
      </c>
      <c r="AW48" s="405">
        <f>'NKC2'!BA62*100</f>
        <v>0</v>
      </c>
      <c r="AX48" s="405">
        <f>'NKC2'!BB62*100</f>
        <v>0</v>
      </c>
      <c r="AY48" s="405">
        <f>'NKC2'!BC62*100</f>
        <v>0</v>
      </c>
      <c r="AZ48" s="405">
        <f>'NKC2'!BD62*100</f>
        <v>0</v>
      </c>
      <c r="BA48" s="405">
        <f>'NKC2'!BE62*100</f>
        <v>0</v>
      </c>
      <c r="BB48" s="405">
        <f>'NKC2'!BF62*100</f>
        <v>0</v>
      </c>
      <c r="BC48" s="405">
        <f>'NKC2'!BG62*100</f>
        <v>0</v>
      </c>
      <c r="BD48" s="405">
        <f>'NKC2'!BH62*100</f>
        <v>0</v>
      </c>
      <c r="BE48" s="405">
        <f>'NKC2'!BI62*100</f>
        <v>0</v>
      </c>
      <c r="BF48" s="405">
        <f>'NKC2'!BJ62*100</f>
        <v>0</v>
      </c>
      <c r="BG48" s="405">
        <f>'NKC2'!BK62*100</f>
        <v>0</v>
      </c>
      <c r="BH48" s="405">
        <f>'NKC2'!BL62*100</f>
        <v>0</v>
      </c>
      <c r="BI48" s="405">
        <f>'NKC2'!BM62*100</f>
        <v>0</v>
      </c>
      <c r="BJ48" s="405">
        <f>'NKC2'!BN62*100</f>
        <v>0</v>
      </c>
      <c r="BK48" s="405">
        <f>'NKC2'!BO62*100</f>
        <v>0</v>
      </c>
      <c r="BL48" s="405">
        <f>'NKC2'!BP62*100</f>
        <v>0</v>
      </c>
      <c r="BM48" s="405">
        <f>'NKC2'!BQ62*100</f>
        <v>0</v>
      </c>
      <c r="BN48" s="405">
        <f>'NKC2'!BR62*100</f>
        <v>0</v>
      </c>
      <c r="BO48" s="405">
        <f>'NKC2'!BS62*100</f>
        <v>0</v>
      </c>
      <c r="BP48" s="405">
        <f>'NKC2'!BT62*100</f>
        <v>0</v>
      </c>
      <c r="BQ48" s="405">
        <f>'NKC2'!BU62*100</f>
        <v>0</v>
      </c>
      <c r="BR48" s="405">
        <f>'NKC2'!BV62*100</f>
        <v>0</v>
      </c>
      <c r="BS48" s="405">
        <f>'NKC2'!BW62*100</f>
        <v>0</v>
      </c>
      <c r="BT48" s="405">
        <f>'NKC2'!BX62*100</f>
        <v>0</v>
      </c>
      <c r="BU48" s="405">
        <f>'NKC2'!BY62*100</f>
        <v>0</v>
      </c>
      <c r="BV48" s="405">
        <f>'NKC2'!BZ62*100</f>
        <v>0</v>
      </c>
      <c r="BW48" s="405">
        <f>'NKC2'!CA62*100</f>
        <v>0</v>
      </c>
      <c r="BX48" s="405">
        <f>'NKC2'!CB62*100</f>
        <v>0</v>
      </c>
      <c r="BY48" s="405">
        <f>'NKC2'!CC62*100</f>
        <v>0</v>
      </c>
      <c r="BZ48" s="405">
        <f>'NKC2'!CD62*100</f>
        <v>0</v>
      </c>
      <c r="CA48" s="405">
        <f>'NKC2'!CE62*100</f>
        <v>0</v>
      </c>
      <c r="CB48" s="405">
        <f>'NKC2'!CF62*100</f>
        <v>0</v>
      </c>
      <c r="CC48" s="405">
        <f>'NKC2'!CG62*100</f>
        <v>0</v>
      </c>
      <c r="CD48" s="405">
        <f>'NKC2'!CH62*100</f>
        <v>0</v>
      </c>
      <c r="CE48" s="405">
        <f>'NKC2'!CI62*100</f>
        <v>0</v>
      </c>
      <c r="CF48" s="405">
        <f>'NKC2'!CJ62*100</f>
        <v>0</v>
      </c>
      <c r="CG48" s="405">
        <f>'NKC2'!CK62*100</f>
        <v>0</v>
      </c>
      <c r="CH48" s="405">
        <f>'NKC2'!CL62*100</f>
        <v>0</v>
      </c>
      <c r="CI48" s="405">
        <f>'NKC2'!CM62*100</f>
        <v>0</v>
      </c>
    </row>
    <row r="49" spans="1:87" x14ac:dyDescent="0.45">
      <c r="A49" t="str">
        <f>'NKC2'!B63</f>
        <v>1.4.1.1</v>
      </c>
      <c r="B49" t="str">
        <f>'NKC2'!D63</f>
        <v xml:space="preserve">            Roof</v>
      </c>
      <c r="C49" s="193">
        <f>'NKC2'!F63</f>
        <v>7011934.1726701101</v>
      </c>
      <c r="D49" s="140" t="str">
        <f>'NKC2'!G61</f>
        <v>A</v>
      </c>
      <c r="E49" s="198">
        <f>'NKC2'!H63*100</f>
        <v>0</v>
      </c>
      <c r="F49" s="198">
        <f>'NKC2'!J63*100</f>
        <v>0</v>
      </c>
      <c r="G49" s="198">
        <f>'NKC2'!K63*100</f>
        <v>0</v>
      </c>
      <c r="H49" s="198">
        <f>'NKC2'!L63*100</f>
        <v>0</v>
      </c>
      <c r="I49" s="198">
        <f>'NKC2'!M63*100</f>
        <v>0</v>
      </c>
      <c r="J49" s="198">
        <f>'NKC2'!N63*100</f>
        <v>0</v>
      </c>
      <c r="K49" s="198">
        <f>'NKC2'!O63*100</f>
        <v>0</v>
      </c>
      <c r="L49" s="198">
        <f>'NKC2'!P63*100</f>
        <v>0</v>
      </c>
      <c r="M49" s="198">
        <f>'NKC2'!Q63*100</f>
        <v>0</v>
      </c>
      <c r="N49" s="198">
        <f>'NKC2'!R63*100</f>
        <v>0</v>
      </c>
      <c r="O49" s="198">
        <f>'NKC2'!S63*100</f>
        <v>0</v>
      </c>
      <c r="P49" s="198">
        <f>'NKC2'!T63*100</f>
        <v>0</v>
      </c>
      <c r="Q49" s="198">
        <f>'NKC2'!U63*100</f>
        <v>0</v>
      </c>
      <c r="R49" s="198">
        <f>'NKC2'!V63*100</f>
        <v>0</v>
      </c>
      <c r="S49" s="198">
        <f>'NKC2'!W63*100</f>
        <v>0</v>
      </c>
      <c r="T49" s="198">
        <f>'NKC2'!X63*100</f>
        <v>0</v>
      </c>
      <c r="U49" s="198">
        <f>'NKC2'!Y63*100</f>
        <v>0</v>
      </c>
      <c r="V49" s="198">
        <f>'NKC2'!Z63*100</f>
        <v>0</v>
      </c>
      <c r="W49" s="198">
        <f>'NKC2'!AA63*100</f>
        <v>0</v>
      </c>
      <c r="X49" s="198">
        <f>'NKC2'!AB63*100</f>
        <v>0</v>
      </c>
      <c r="Y49" s="198">
        <f>'NKC2'!AC63*100</f>
        <v>0</v>
      </c>
      <c r="Z49" s="198">
        <f>'NKC2'!AD63*100</f>
        <v>0</v>
      </c>
      <c r="AA49" s="198">
        <f>'NKC2'!AE63*100</f>
        <v>0</v>
      </c>
      <c r="AB49" s="198">
        <f>'NKC2'!AF63*100</f>
        <v>0</v>
      </c>
      <c r="AC49" s="198">
        <f>'NKC2'!AG63*100</f>
        <v>0</v>
      </c>
      <c r="AD49" s="198">
        <f>'NKC2'!AH63*100</f>
        <v>0</v>
      </c>
      <c r="AE49" s="198">
        <f>'NKC2'!AI63*100</f>
        <v>0</v>
      </c>
      <c r="AF49" s="198">
        <f>'NKC2'!AJ63*100</f>
        <v>0</v>
      </c>
      <c r="AG49" s="198">
        <f>'NKC2'!AK63*100</f>
        <v>0</v>
      </c>
      <c r="AH49" s="198">
        <f>'NKC2'!AL63*100</f>
        <v>0</v>
      </c>
      <c r="AI49" s="198">
        <f>'NKC2'!AM63*100</f>
        <v>0</v>
      </c>
      <c r="AJ49" s="198">
        <f>'NKC2'!AN63*100</f>
        <v>0</v>
      </c>
      <c r="AK49" s="198">
        <f>'NKC2'!AO63*100</f>
        <v>0</v>
      </c>
      <c r="AL49" s="198">
        <f>'NKC2'!AP63*100</f>
        <v>0</v>
      </c>
      <c r="AM49" s="198">
        <f>'NKC2'!AQ63*100</f>
        <v>0</v>
      </c>
      <c r="AN49" s="198">
        <f>'NKC2'!AR63*100</f>
        <v>0</v>
      </c>
      <c r="AO49" s="198">
        <f>'NKC2'!AS63*100</f>
        <v>0</v>
      </c>
      <c r="AP49" s="198">
        <f>'NKC2'!AT63*100</f>
        <v>0</v>
      </c>
      <c r="AQ49" s="198">
        <f>'NKC2'!AU63*100</f>
        <v>0</v>
      </c>
      <c r="AR49" s="198">
        <f>'NKC2'!AV63*100</f>
        <v>0</v>
      </c>
      <c r="AS49" s="198">
        <f>'NKC2'!AW63*100</f>
        <v>0</v>
      </c>
      <c r="AT49" s="198">
        <f>'NKC2'!AX63*100</f>
        <v>0</v>
      </c>
      <c r="AU49" s="198">
        <f>'NKC2'!AY63*100</f>
        <v>0</v>
      </c>
      <c r="AV49" s="198">
        <f>'NKC2'!AZ63*100</f>
        <v>0</v>
      </c>
      <c r="AW49" s="198">
        <f>'NKC2'!BA63*100</f>
        <v>0</v>
      </c>
      <c r="AX49" s="198">
        <f>'NKC2'!BB63*100</f>
        <v>0</v>
      </c>
      <c r="AY49" s="198">
        <f>'NKC2'!BC63*100</f>
        <v>0</v>
      </c>
      <c r="AZ49" s="198">
        <f>'NKC2'!BD63*100</f>
        <v>0</v>
      </c>
      <c r="BA49" s="198">
        <f>'NKC2'!BE63*100</f>
        <v>0</v>
      </c>
      <c r="BB49" s="198">
        <f>'NKC2'!BF63*100</f>
        <v>0</v>
      </c>
      <c r="BC49" s="198">
        <f>'NKC2'!BG63*100</f>
        <v>0</v>
      </c>
      <c r="BD49" s="198">
        <f>'NKC2'!BH63*100</f>
        <v>0</v>
      </c>
      <c r="BE49" s="198">
        <f>'NKC2'!BI63*100</f>
        <v>0</v>
      </c>
      <c r="BF49" s="198">
        <f>'NKC2'!BJ63*100</f>
        <v>0</v>
      </c>
      <c r="BG49" s="198">
        <f>'NKC2'!BK63*100</f>
        <v>0</v>
      </c>
      <c r="BH49" s="198">
        <f>'NKC2'!BL63*100</f>
        <v>0</v>
      </c>
      <c r="BI49" s="198">
        <f>'NKC2'!BM63*100</f>
        <v>0</v>
      </c>
      <c r="BJ49" s="198">
        <f>'NKC2'!BN63*100</f>
        <v>0</v>
      </c>
      <c r="BK49" s="198">
        <f>'NKC2'!BO63*100</f>
        <v>0</v>
      </c>
      <c r="BL49" s="198">
        <f>'NKC2'!BP63*100</f>
        <v>0</v>
      </c>
      <c r="BM49" s="198">
        <f>'NKC2'!BQ63*100</f>
        <v>0</v>
      </c>
      <c r="BN49" s="198">
        <f>'NKC2'!BR63*100</f>
        <v>0</v>
      </c>
      <c r="BO49" s="198">
        <f>'NKC2'!BS63*100</f>
        <v>0</v>
      </c>
      <c r="BP49" s="198">
        <f>'NKC2'!BT63*100</f>
        <v>0</v>
      </c>
      <c r="BQ49" s="198">
        <f>'NKC2'!BU63*100</f>
        <v>0</v>
      </c>
      <c r="BR49" s="198">
        <f>'NKC2'!BV63*100</f>
        <v>0</v>
      </c>
      <c r="BS49" s="198">
        <f>'NKC2'!BW63*100</f>
        <v>0</v>
      </c>
      <c r="BT49" s="198">
        <f>'NKC2'!BX63*100</f>
        <v>0</v>
      </c>
      <c r="BU49" s="198">
        <f>'NKC2'!BY63*100</f>
        <v>0</v>
      </c>
      <c r="BV49" s="198">
        <f>'NKC2'!BZ63*100</f>
        <v>0</v>
      </c>
      <c r="BW49" s="198">
        <f>'NKC2'!CA63*100</f>
        <v>0</v>
      </c>
      <c r="BX49" s="198">
        <f>'NKC2'!CB63*100</f>
        <v>0</v>
      </c>
      <c r="BY49" s="198">
        <f>'NKC2'!CC63*100</f>
        <v>0</v>
      </c>
      <c r="BZ49" s="198">
        <f>'NKC2'!CD63*100</f>
        <v>0</v>
      </c>
      <c r="CA49" s="198">
        <f>'NKC2'!CE63*100</f>
        <v>0</v>
      </c>
      <c r="CB49" s="198">
        <f>'NKC2'!CF63*100</f>
        <v>0</v>
      </c>
      <c r="CC49" s="198">
        <f>'NKC2'!CG63*100</f>
        <v>0</v>
      </c>
      <c r="CD49" s="198">
        <f>'NKC2'!CH63*100</f>
        <v>0</v>
      </c>
      <c r="CE49" s="198">
        <f>'NKC2'!CI63*100</f>
        <v>0</v>
      </c>
      <c r="CF49" s="198">
        <f>'NKC2'!CJ63*100</f>
        <v>0</v>
      </c>
      <c r="CG49" s="198">
        <f>'NKC2'!CK63*100</f>
        <v>0</v>
      </c>
      <c r="CH49" s="198">
        <f>'NKC2'!CL63*100</f>
        <v>0</v>
      </c>
      <c r="CI49" s="198">
        <f>'NKC2'!CM63*100</f>
        <v>0</v>
      </c>
    </row>
    <row r="50" spans="1:87" x14ac:dyDescent="0.45">
      <c r="A50" s="403" t="str">
        <f>'NKC2'!B64</f>
        <v>1.4.1.2</v>
      </c>
      <c r="B50" s="403" t="str">
        <f>'NKC2'!D64</f>
        <v xml:space="preserve">            3rd Floor</v>
      </c>
      <c r="C50" s="404">
        <f>'NKC2'!F64</f>
        <v>18765198.894683938</v>
      </c>
      <c r="D50" s="407" t="str">
        <f>'NKC2'!G62</f>
        <v>P</v>
      </c>
      <c r="E50" s="405">
        <f>'NKC2'!H64*100</f>
        <v>100.00000000000003</v>
      </c>
      <c r="F50" s="405">
        <f>'NKC2'!J64*100</f>
        <v>0</v>
      </c>
      <c r="G50" s="405">
        <f>'NKC2'!K64*100</f>
        <v>0</v>
      </c>
      <c r="H50" s="405">
        <f>'NKC2'!L64*100</f>
        <v>0</v>
      </c>
      <c r="I50" s="405">
        <f>'NKC2'!M64*100</f>
        <v>0</v>
      </c>
      <c r="J50" s="405">
        <f>'NKC2'!N64*100</f>
        <v>0</v>
      </c>
      <c r="K50" s="405">
        <f>'NKC2'!O64*100</f>
        <v>0</v>
      </c>
      <c r="L50" s="405">
        <f>'NKC2'!P64*100</f>
        <v>0</v>
      </c>
      <c r="M50" s="405">
        <f>'NKC2'!Q64*100</f>
        <v>0</v>
      </c>
      <c r="N50" s="405">
        <f>'NKC2'!R64*100</f>
        <v>0</v>
      </c>
      <c r="O50" s="405">
        <f>'NKC2'!S64*100</f>
        <v>0</v>
      </c>
      <c r="P50" s="405">
        <f>'NKC2'!T64*100</f>
        <v>0</v>
      </c>
      <c r="Q50" s="405">
        <f>'NKC2'!U64*100</f>
        <v>0</v>
      </c>
      <c r="R50" s="405">
        <f>'NKC2'!V64*100</f>
        <v>0</v>
      </c>
      <c r="S50" s="405">
        <f>'NKC2'!W64*100</f>
        <v>0</v>
      </c>
      <c r="T50" s="405">
        <f>'NKC2'!X64*100</f>
        <v>0</v>
      </c>
      <c r="U50" s="405">
        <f>'NKC2'!Y64*100</f>
        <v>5</v>
      </c>
      <c r="V50" s="405">
        <f>'NKC2'!Z64*100</f>
        <v>5</v>
      </c>
      <c r="W50" s="405">
        <f>'NKC2'!AA64*100</f>
        <v>5</v>
      </c>
      <c r="X50" s="405">
        <f>'NKC2'!AB64*100</f>
        <v>5</v>
      </c>
      <c r="Y50" s="405">
        <f>'NKC2'!AC64*100</f>
        <v>5</v>
      </c>
      <c r="Z50" s="405">
        <f>'NKC2'!AD64*100</f>
        <v>10</v>
      </c>
      <c r="AA50" s="405">
        <f>'NKC2'!AE64*100</f>
        <v>10</v>
      </c>
      <c r="AB50" s="405">
        <f>'NKC2'!AF64*100</f>
        <v>10</v>
      </c>
      <c r="AC50" s="405">
        <f>'NKC2'!AG64*100</f>
        <v>10</v>
      </c>
      <c r="AD50" s="405">
        <f>'NKC2'!AH64*100</f>
        <v>5</v>
      </c>
      <c r="AE50" s="405">
        <f>'NKC2'!AI64*100</f>
        <v>5</v>
      </c>
      <c r="AF50" s="405">
        <f>'NKC2'!AJ64*100</f>
        <v>5</v>
      </c>
      <c r="AG50" s="405">
        <f>'NKC2'!AK64*100</f>
        <v>5</v>
      </c>
      <c r="AH50" s="405">
        <f>'NKC2'!AL64*100</f>
        <v>5</v>
      </c>
      <c r="AI50" s="405">
        <f>'NKC2'!AM64*100</f>
        <v>5</v>
      </c>
      <c r="AJ50" s="405">
        <f>'NKC2'!AN64*100</f>
        <v>5</v>
      </c>
      <c r="AK50" s="405">
        <f>'NKC2'!AO64*100</f>
        <v>0</v>
      </c>
      <c r="AL50" s="405">
        <f>'NKC2'!AP64*100</f>
        <v>0</v>
      </c>
      <c r="AM50" s="405">
        <f>'NKC2'!AQ64*100</f>
        <v>0</v>
      </c>
      <c r="AN50" s="405">
        <f>'NKC2'!AR64*100</f>
        <v>0</v>
      </c>
      <c r="AO50" s="405">
        <f>'NKC2'!AS64*100</f>
        <v>0</v>
      </c>
      <c r="AP50" s="405">
        <f>'NKC2'!AT64*100</f>
        <v>0</v>
      </c>
      <c r="AQ50" s="405">
        <f>'NKC2'!AU64*100</f>
        <v>0</v>
      </c>
      <c r="AR50" s="405">
        <f>'NKC2'!AV64*100</f>
        <v>0</v>
      </c>
      <c r="AS50" s="405">
        <f>'NKC2'!AW64*100</f>
        <v>0</v>
      </c>
      <c r="AT50" s="405">
        <f>'NKC2'!AX64*100</f>
        <v>0</v>
      </c>
      <c r="AU50" s="405">
        <f>'NKC2'!AY64*100</f>
        <v>0</v>
      </c>
      <c r="AV50" s="405">
        <f>'NKC2'!AZ64*100</f>
        <v>0</v>
      </c>
      <c r="AW50" s="405">
        <f>'NKC2'!BA64*100</f>
        <v>0</v>
      </c>
      <c r="AX50" s="405">
        <f>'NKC2'!BB64*100</f>
        <v>0</v>
      </c>
      <c r="AY50" s="405">
        <f>'NKC2'!BC64*100</f>
        <v>0</v>
      </c>
      <c r="AZ50" s="405">
        <f>'NKC2'!BD64*100</f>
        <v>0</v>
      </c>
      <c r="BA50" s="405">
        <f>'NKC2'!BE64*100</f>
        <v>0</v>
      </c>
      <c r="BB50" s="405">
        <f>'NKC2'!BF64*100</f>
        <v>0</v>
      </c>
      <c r="BC50" s="405">
        <f>'NKC2'!BG64*100</f>
        <v>0</v>
      </c>
      <c r="BD50" s="405">
        <f>'NKC2'!BH64*100</f>
        <v>0</v>
      </c>
      <c r="BE50" s="405">
        <f>'NKC2'!BI64*100</f>
        <v>0</v>
      </c>
      <c r="BF50" s="405">
        <f>'NKC2'!BJ64*100</f>
        <v>0</v>
      </c>
      <c r="BG50" s="405">
        <f>'NKC2'!BK64*100</f>
        <v>0</v>
      </c>
      <c r="BH50" s="405">
        <f>'NKC2'!BL64*100</f>
        <v>0</v>
      </c>
      <c r="BI50" s="405">
        <f>'NKC2'!BM64*100</f>
        <v>0</v>
      </c>
      <c r="BJ50" s="405">
        <f>'NKC2'!BN64*100</f>
        <v>0</v>
      </c>
      <c r="BK50" s="405">
        <f>'NKC2'!BO64*100</f>
        <v>0</v>
      </c>
      <c r="BL50" s="405">
        <f>'NKC2'!BP64*100</f>
        <v>0</v>
      </c>
      <c r="BM50" s="405">
        <f>'NKC2'!BQ64*100</f>
        <v>0</v>
      </c>
      <c r="BN50" s="405">
        <f>'NKC2'!BR64*100</f>
        <v>0</v>
      </c>
      <c r="BO50" s="405">
        <f>'NKC2'!BS64*100</f>
        <v>0</v>
      </c>
      <c r="BP50" s="405">
        <f>'NKC2'!BT64*100</f>
        <v>0</v>
      </c>
      <c r="BQ50" s="405">
        <f>'NKC2'!BU64*100</f>
        <v>0</v>
      </c>
      <c r="BR50" s="405">
        <f>'NKC2'!BV64*100</f>
        <v>0</v>
      </c>
      <c r="BS50" s="405">
        <f>'NKC2'!BW64*100</f>
        <v>0</v>
      </c>
      <c r="BT50" s="405">
        <f>'NKC2'!BX64*100</f>
        <v>0</v>
      </c>
      <c r="BU50" s="405">
        <f>'NKC2'!BY64*100</f>
        <v>0</v>
      </c>
      <c r="BV50" s="405">
        <f>'NKC2'!BZ64*100</f>
        <v>0</v>
      </c>
      <c r="BW50" s="405">
        <f>'NKC2'!CA64*100</f>
        <v>0</v>
      </c>
      <c r="BX50" s="405">
        <f>'NKC2'!CB64*100</f>
        <v>0</v>
      </c>
      <c r="BY50" s="405">
        <f>'NKC2'!CC64*100</f>
        <v>0</v>
      </c>
      <c r="BZ50" s="405">
        <f>'NKC2'!CD64*100</f>
        <v>0</v>
      </c>
      <c r="CA50" s="405">
        <f>'NKC2'!CE64*100</f>
        <v>0</v>
      </c>
      <c r="CB50" s="405">
        <f>'NKC2'!CF64*100</f>
        <v>0</v>
      </c>
      <c r="CC50" s="405">
        <f>'NKC2'!CG64*100</f>
        <v>0</v>
      </c>
      <c r="CD50" s="405">
        <f>'NKC2'!CH64*100</f>
        <v>0</v>
      </c>
      <c r="CE50" s="405">
        <f>'NKC2'!CI64*100</f>
        <v>0</v>
      </c>
      <c r="CF50" s="405">
        <f>'NKC2'!CJ64*100</f>
        <v>0</v>
      </c>
      <c r="CG50" s="405">
        <f>'NKC2'!CK64*100</f>
        <v>0</v>
      </c>
      <c r="CH50" s="405">
        <f>'NKC2'!CL64*100</f>
        <v>0</v>
      </c>
      <c r="CI50" s="405">
        <f>'NKC2'!CM64*100</f>
        <v>0</v>
      </c>
    </row>
    <row r="51" spans="1:87" x14ac:dyDescent="0.45">
      <c r="A51" t="str">
        <f>'NKC2'!B65</f>
        <v>1.4.1.2</v>
      </c>
      <c r="B51" t="str">
        <f>'NKC2'!D65</f>
        <v xml:space="preserve">            3rd Floor</v>
      </c>
      <c r="C51" s="193">
        <f>'NKC2'!F65</f>
        <v>18765198.894683938</v>
      </c>
      <c r="D51" s="140" t="str">
        <f>'NKC2'!G63</f>
        <v>A</v>
      </c>
      <c r="E51" s="198">
        <f>'NKC2'!H65*100</f>
        <v>0</v>
      </c>
      <c r="F51" s="198">
        <f>'NKC2'!J65*100</f>
        <v>0</v>
      </c>
      <c r="G51" s="198">
        <f>'NKC2'!K65*100</f>
        <v>0</v>
      </c>
      <c r="H51" s="198">
        <f>'NKC2'!L65*100</f>
        <v>0</v>
      </c>
      <c r="I51" s="198">
        <f>'NKC2'!M65*100</f>
        <v>0</v>
      </c>
      <c r="J51" s="198">
        <f>'NKC2'!N65*100</f>
        <v>0</v>
      </c>
      <c r="K51" s="198">
        <f>'NKC2'!O65*100</f>
        <v>0</v>
      </c>
      <c r="L51" s="198">
        <f>'NKC2'!P65*100</f>
        <v>0</v>
      </c>
      <c r="M51" s="198">
        <f>'NKC2'!Q65*100</f>
        <v>0</v>
      </c>
      <c r="N51" s="198">
        <f>'NKC2'!R65*100</f>
        <v>0</v>
      </c>
      <c r="O51" s="198">
        <f>'NKC2'!S65*100</f>
        <v>0</v>
      </c>
      <c r="P51" s="198">
        <f>'NKC2'!T65*100</f>
        <v>0</v>
      </c>
      <c r="Q51" s="198">
        <f>'NKC2'!U65*100</f>
        <v>0</v>
      </c>
      <c r="R51" s="198">
        <f>'NKC2'!V65*100</f>
        <v>0</v>
      </c>
      <c r="S51" s="198">
        <f>'NKC2'!W65*100</f>
        <v>0</v>
      </c>
      <c r="T51" s="198">
        <f>'NKC2'!X65*100</f>
        <v>0</v>
      </c>
      <c r="U51" s="198">
        <f>'NKC2'!Y65*100</f>
        <v>0</v>
      </c>
      <c r="V51" s="198">
        <f>'NKC2'!Z65*100</f>
        <v>0</v>
      </c>
      <c r="W51" s="198">
        <f>'NKC2'!AA65*100</f>
        <v>0</v>
      </c>
      <c r="X51" s="198">
        <f>'NKC2'!AB65*100</f>
        <v>0</v>
      </c>
      <c r="Y51" s="198">
        <f>'NKC2'!AC65*100</f>
        <v>0</v>
      </c>
      <c r="Z51" s="198">
        <f>'NKC2'!AD65*100</f>
        <v>0</v>
      </c>
      <c r="AA51" s="198">
        <f>'NKC2'!AE65*100</f>
        <v>0</v>
      </c>
      <c r="AB51" s="198">
        <f>'NKC2'!AF65*100</f>
        <v>0</v>
      </c>
      <c r="AC51" s="198">
        <f>'NKC2'!AG65*100</f>
        <v>0</v>
      </c>
      <c r="AD51" s="198">
        <f>'NKC2'!AH65*100</f>
        <v>0</v>
      </c>
      <c r="AE51" s="198">
        <f>'NKC2'!AI65*100</f>
        <v>0</v>
      </c>
      <c r="AF51" s="198">
        <f>'NKC2'!AJ65*100</f>
        <v>0</v>
      </c>
      <c r="AG51" s="198">
        <f>'NKC2'!AK65*100</f>
        <v>0</v>
      </c>
      <c r="AH51" s="198">
        <f>'NKC2'!AL65*100</f>
        <v>0</v>
      </c>
      <c r="AI51" s="198">
        <f>'NKC2'!AM65*100</f>
        <v>0</v>
      </c>
      <c r="AJ51" s="198">
        <f>'NKC2'!AN65*100</f>
        <v>0</v>
      </c>
      <c r="AK51" s="198">
        <f>'NKC2'!AO65*100</f>
        <v>0</v>
      </c>
      <c r="AL51" s="198">
        <f>'NKC2'!AP65*100</f>
        <v>0</v>
      </c>
      <c r="AM51" s="198">
        <f>'NKC2'!AQ65*100</f>
        <v>0</v>
      </c>
      <c r="AN51" s="198">
        <f>'NKC2'!AR65*100</f>
        <v>0</v>
      </c>
      <c r="AO51" s="198">
        <f>'NKC2'!AS65*100</f>
        <v>0</v>
      </c>
      <c r="AP51" s="198">
        <f>'NKC2'!AT65*100</f>
        <v>0</v>
      </c>
      <c r="AQ51" s="198">
        <f>'NKC2'!AU65*100</f>
        <v>0</v>
      </c>
      <c r="AR51" s="198">
        <f>'NKC2'!AV65*100</f>
        <v>0</v>
      </c>
      <c r="AS51" s="198">
        <f>'NKC2'!AW65*100</f>
        <v>0</v>
      </c>
      <c r="AT51" s="198">
        <f>'NKC2'!AX65*100</f>
        <v>0</v>
      </c>
      <c r="AU51" s="198">
        <f>'NKC2'!AY65*100</f>
        <v>0</v>
      </c>
      <c r="AV51" s="198">
        <f>'NKC2'!AZ65*100</f>
        <v>0</v>
      </c>
      <c r="AW51" s="198">
        <f>'NKC2'!BA65*100</f>
        <v>0</v>
      </c>
      <c r="AX51" s="198">
        <f>'NKC2'!BB65*100</f>
        <v>0</v>
      </c>
      <c r="AY51" s="198">
        <f>'NKC2'!BC65*100</f>
        <v>0</v>
      </c>
      <c r="AZ51" s="198">
        <f>'NKC2'!BD65*100</f>
        <v>0</v>
      </c>
      <c r="BA51" s="198">
        <f>'NKC2'!BE65*100</f>
        <v>0</v>
      </c>
      <c r="BB51" s="198">
        <f>'NKC2'!BF65*100</f>
        <v>0</v>
      </c>
      <c r="BC51" s="198">
        <f>'NKC2'!BG65*100</f>
        <v>0</v>
      </c>
      <c r="BD51" s="198">
        <f>'NKC2'!BH65*100</f>
        <v>0</v>
      </c>
      <c r="BE51" s="198">
        <f>'NKC2'!BI65*100</f>
        <v>0</v>
      </c>
      <c r="BF51" s="198">
        <f>'NKC2'!BJ65*100</f>
        <v>0</v>
      </c>
      <c r="BG51" s="198">
        <f>'NKC2'!BK65*100</f>
        <v>0</v>
      </c>
      <c r="BH51" s="198">
        <f>'NKC2'!BL65*100</f>
        <v>0</v>
      </c>
      <c r="BI51" s="198">
        <f>'NKC2'!BM65*100</f>
        <v>0</v>
      </c>
      <c r="BJ51" s="198">
        <f>'NKC2'!BN65*100</f>
        <v>0</v>
      </c>
      <c r="BK51" s="198">
        <f>'NKC2'!BO65*100</f>
        <v>0</v>
      </c>
      <c r="BL51" s="198">
        <f>'NKC2'!BP65*100</f>
        <v>0</v>
      </c>
      <c r="BM51" s="198">
        <f>'NKC2'!BQ65*100</f>
        <v>0</v>
      </c>
      <c r="BN51" s="198">
        <f>'NKC2'!BR65*100</f>
        <v>0</v>
      </c>
      <c r="BO51" s="198">
        <f>'NKC2'!BS65*100</f>
        <v>0</v>
      </c>
      <c r="BP51" s="198">
        <f>'NKC2'!BT65*100</f>
        <v>0</v>
      </c>
      <c r="BQ51" s="198">
        <f>'NKC2'!BU65*100</f>
        <v>0</v>
      </c>
      <c r="BR51" s="198">
        <f>'NKC2'!BV65*100</f>
        <v>0</v>
      </c>
      <c r="BS51" s="198">
        <f>'NKC2'!BW65*100</f>
        <v>0</v>
      </c>
      <c r="BT51" s="198">
        <f>'NKC2'!BX65*100</f>
        <v>0</v>
      </c>
      <c r="BU51" s="198">
        <f>'NKC2'!BY65*100</f>
        <v>0</v>
      </c>
      <c r="BV51" s="198">
        <f>'NKC2'!BZ65*100</f>
        <v>0</v>
      </c>
      <c r="BW51" s="198">
        <f>'NKC2'!CA65*100</f>
        <v>0</v>
      </c>
      <c r="BX51" s="198">
        <f>'NKC2'!CB65*100</f>
        <v>0</v>
      </c>
      <c r="BY51" s="198">
        <f>'NKC2'!CC65*100</f>
        <v>0</v>
      </c>
      <c r="BZ51" s="198">
        <f>'NKC2'!CD65*100</f>
        <v>0</v>
      </c>
      <c r="CA51" s="198">
        <f>'NKC2'!CE65*100</f>
        <v>0</v>
      </c>
      <c r="CB51" s="198">
        <f>'NKC2'!CF65*100</f>
        <v>0</v>
      </c>
      <c r="CC51" s="198">
        <f>'NKC2'!CG65*100</f>
        <v>0</v>
      </c>
      <c r="CD51" s="198">
        <f>'NKC2'!CH65*100</f>
        <v>0</v>
      </c>
      <c r="CE51" s="198">
        <f>'NKC2'!CI65*100</f>
        <v>0</v>
      </c>
      <c r="CF51" s="198">
        <f>'NKC2'!CJ65*100</f>
        <v>0</v>
      </c>
      <c r="CG51" s="198">
        <f>'NKC2'!CK65*100</f>
        <v>0</v>
      </c>
      <c r="CH51" s="198">
        <f>'NKC2'!CL65*100</f>
        <v>0</v>
      </c>
      <c r="CI51" s="198">
        <f>'NKC2'!CM65*100</f>
        <v>0</v>
      </c>
    </row>
    <row r="52" spans="1:87" x14ac:dyDescent="0.45">
      <c r="A52" s="403" t="str">
        <f>'NKC2'!B66</f>
        <v>1.4.1.3</v>
      </c>
      <c r="B52" s="403" t="str">
        <f>'NKC2'!D66</f>
        <v xml:space="preserve">            2nd Floor</v>
      </c>
      <c r="C52" s="404">
        <f>'NKC2'!F66</f>
        <v>17875972.6833519</v>
      </c>
      <c r="D52" s="407" t="str">
        <f>'NKC2'!G64</f>
        <v>P</v>
      </c>
      <c r="E52" s="405">
        <f>'NKC2'!H66*100</f>
        <v>100</v>
      </c>
      <c r="F52" s="405">
        <f>'NKC2'!J66*100</f>
        <v>0</v>
      </c>
      <c r="G52" s="405">
        <f>'NKC2'!K66*100</f>
        <v>0</v>
      </c>
      <c r="H52" s="405">
        <f>'NKC2'!L66*100</f>
        <v>0</v>
      </c>
      <c r="I52" s="405">
        <f>'NKC2'!M66*100</f>
        <v>0</v>
      </c>
      <c r="J52" s="405">
        <f>'NKC2'!N66*100</f>
        <v>0</v>
      </c>
      <c r="K52" s="405">
        <f>'NKC2'!O66*100</f>
        <v>0</v>
      </c>
      <c r="L52" s="405">
        <f>'NKC2'!P66*100</f>
        <v>0</v>
      </c>
      <c r="M52" s="405">
        <f>'NKC2'!Q66*100</f>
        <v>0</v>
      </c>
      <c r="N52" s="405">
        <f>'NKC2'!R66*100</f>
        <v>0</v>
      </c>
      <c r="O52" s="405">
        <f>'NKC2'!S66*100</f>
        <v>0</v>
      </c>
      <c r="P52" s="405">
        <f>'NKC2'!T66*100</f>
        <v>0</v>
      </c>
      <c r="Q52" s="405">
        <f>'NKC2'!U66*100</f>
        <v>0</v>
      </c>
      <c r="R52" s="405">
        <f>'NKC2'!V66*100</f>
        <v>0</v>
      </c>
      <c r="S52" s="405">
        <f>'NKC2'!W66*100</f>
        <v>0</v>
      </c>
      <c r="T52" s="405">
        <f>'NKC2'!X66*100</f>
        <v>0</v>
      </c>
      <c r="U52" s="405">
        <f>'NKC2'!Y66*100</f>
        <v>0</v>
      </c>
      <c r="V52" s="405">
        <f>'NKC2'!Z66*100</f>
        <v>0</v>
      </c>
      <c r="W52" s="405">
        <f>'NKC2'!AA66*100</f>
        <v>0</v>
      </c>
      <c r="X52" s="405">
        <f>'NKC2'!AB66*100</f>
        <v>0</v>
      </c>
      <c r="Y52" s="405">
        <f>'NKC2'!AC66*100</f>
        <v>0</v>
      </c>
      <c r="Z52" s="405">
        <f>'NKC2'!AD66*100</f>
        <v>3</v>
      </c>
      <c r="AA52" s="405">
        <f>'NKC2'!AE66*100</f>
        <v>5</v>
      </c>
      <c r="AB52" s="405">
        <f>'NKC2'!AF66*100</f>
        <v>5</v>
      </c>
      <c r="AC52" s="405">
        <f>'NKC2'!AG66*100</f>
        <v>5</v>
      </c>
      <c r="AD52" s="405">
        <f>'NKC2'!AH66*100</f>
        <v>5</v>
      </c>
      <c r="AE52" s="405">
        <f>'NKC2'!AI66*100</f>
        <v>5</v>
      </c>
      <c r="AF52" s="405">
        <f>'NKC2'!AJ66*100</f>
        <v>5</v>
      </c>
      <c r="AG52" s="405">
        <f>'NKC2'!AK66*100</f>
        <v>5</v>
      </c>
      <c r="AH52" s="405">
        <f>'NKC2'!AL66*100</f>
        <v>5</v>
      </c>
      <c r="AI52" s="405">
        <f>'NKC2'!AM66*100</f>
        <v>5</v>
      </c>
      <c r="AJ52" s="405">
        <f>'NKC2'!AN66*100</f>
        <v>8</v>
      </c>
      <c r="AK52" s="405">
        <f>'NKC2'!AO66*100</f>
        <v>8</v>
      </c>
      <c r="AL52" s="405">
        <f>'NKC2'!AP66*100</f>
        <v>8</v>
      </c>
      <c r="AM52" s="405">
        <f>'NKC2'!AQ66*100</f>
        <v>8</v>
      </c>
      <c r="AN52" s="405">
        <f>'NKC2'!AR66*100</f>
        <v>5</v>
      </c>
      <c r="AO52" s="405">
        <f>'NKC2'!AS66*100</f>
        <v>3</v>
      </c>
      <c r="AP52" s="405">
        <f>'NKC2'!AT66*100</f>
        <v>3</v>
      </c>
      <c r="AQ52" s="405">
        <f>'NKC2'!AU66*100</f>
        <v>3</v>
      </c>
      <c r="AR52" s="405">
        <f>'NKC2'!AV66*100</f>
        <v>3</v>
      </c>
      <c r="AS52" s="405">
        <f>'NKC2'!AW66*100</f>
        <v>3</v>
      </c>
      <c r="AT52" s="405">
        <f>'NKC2'!AX66*100</f>
        <v>0</v>
      </c>
      <c r="AU52" s="405">
        <f>'NKC2'!AY66*100</f>
        <v>0</v>
      </c>
      <c r="AV52" s="405">
        <f>'NKC2'!AZ66*100</f>
        <v>0</v>
      </c>
      <c r="AW52" s="405">
        <f>'NKC2'!BA66*100</f>
        <v>0</v>
      </c>
      <c r="AX52" s="405">
        <f>'NKC2'!BB66*100</f>
        <v>0</v>
      </c>
      <c r="AY52" s="405">
        <f>'NKC2'!BC66*100</f>
        <v>0</v>
      </c>
      <c r="AZ52" s="405">
        <f>'NKC2'!BD66*100</f>
        <v>0</v>
      </c>
      <c r="BA52" s="405">
        <f>'NKC2'!BE66*100</f>
        <v>0</v>
      </c>
      <c r="BB52" s="405">
        <f>'NKC2'!BF66*100</f>
        <v>0</v>
      </c>
      <c r="BC52" s="405">
        <f>'NKC2'!BG66*100</f>
        <v>0</v>
      </c>
      <c r="BD52" s="405">
        <f>'NKC2'!BH66*100</f>
        <v>0</v>
      </c>
      <c r="BE52" s="405">
        <f>'NKC2'!BI66*100</f>
        <v>0</v>
      </c>
      <c r="BF52" s="405">
        <f>'NKC2'!BJ66*100</f>
        <v>0</v>
      </c>
      <c r="BG52" s="405">
        <f>'NKC2'!BK66*100</f>
        <v>0</v>
      </c>
      <c r="BH52" s="405">
        <f>'NKC2'!BL66*100</f>
        <v>0</v>
      </c>
      <c r="BI52" s="405">
        <f>'NKC2'!BM66*100</f>
        <v>0</v>
      </c>
      <c r="BJ52" s="405">
        <f>'NKC2'!BN66*100</f>
        <v>0</v>
      </c>
      <c r="BK52" s="405">
        <f>'NKC2'!BO66*100</f>
        <v>0</v>
      </c>
      <c r="BL52" s="405">
        <f>'NKC2'!BP66*100</f>
        <v>0</v>
      </c>
      <c r="BM52" s="405">
        <f>'NKC2'!BQ66*100</f>
        <v>0</v>
      </c>
      <c r="BN52" s="405">
        <f>'NKC2'!BR66*100</f>
        <v>0</v>
      </c>
      <c r="BO52" s="405">
        <f>'NKC2'!BS66*100</f>
        <v>0</v>
      </c>
      <c r="BP52" s="405">
        <f>'NKC2'!BT66*100</f>
        <v>0</v>
      </c>
      <c r="BQ52" s="405">
        <f>'NKC2'!BU66*100</f>
        <v>0</v>
      </c>
      <c r="BR52" s="405">
        <f>'NKC2'!BV66*100</f>
        <v>0</v>
      </c>
      <c r="BS52" s="405">
        <f>'NKC2'!BW66*100</f>
        <v>0</v>
      </c>
      <c r="BT52" s="405">
        <f>'NKC2'!BX66*100</f>
        <v>0</v>
      </c>
      <c r="BU52" s="405">
        <f>'NKC2'!BY66*100</f>
        <v>0</v>
      </c>
      <c r="BV52" s="405">
        <f>'NKC2'!BZ66*100</f>
        <v>0</v>
      </c>
      <c r="BW52" s="405">
        <f>'NKC2'!CA66*100</f>
        <v>0</v>
      </c>
      <c r="BX52" s="405">
        <f>'NKC2'!CB66*100</f>
        <v>0</v>
      </c>
      <c r="BY52" s="405">
        <f>'NKC2'!CC66*100</f>
        <v>0</v>
      </c>
      <c r="BZ52" s="405">
        <f>'NKC2'!CD66*100</f>
        <v>0</v>
      </c>
      <c r="CA52" s="405">
        <f>'NKC2'!CE66*100</f>
        <v>0</v>
      </c>
      <c r="CB52" s="405">
        <f>'NKC2'!CF66*100</f>
        <v>0</v>
      </c>
      <c r="CC52" s="405">
        <f>'NKC2'!CG66*100</f>
        <v>0</v>
      </c>
      <c r="CD52" s="405">
        <f>'NKC2'!CH66*100</f>
        <v>0</v>
      </c>
      <c r="CE52" s="405">
        <f>'NKC2'!CI66*100</f>
        <v>0</v>
      </c>
      <c r="CF52" s="405">
        <f>'NKC2'!CJ66*100</f>
        <v>0</v>
      </c>
      <c r="CG52" s="405">
        <f>'NKC2'!CK66*100</f>
        <v>0</v>
      </c>
      <c r="CH52" s="405">
        <f>'NKC2'!CL66*100</f>
        <v>0</v>
      </c>
      <c r="CI52" s="405">
        <f>'NKC2'!CM66*100</f>
        <v>0</v>
      </c>
    </row>
    <row r="53" spans="1:87" x14ac:dyDescent="0.45">
      <c r="A53" t="str">
        <f>'NKC2'!B67</f>
        <v>1.4.1.3</v>
      </c>
      <c r="B53" t="str">
        <f>'NKC2'!D67</f>
        <v xml:space="preserve">            2nd Floor</v>
      </c>
      <c r="C53" s="193">
        <f>'NKC2'!F67</f>
        <v>17875972.6833519</v>
      </c>
      <c r="D53" s="140" t="str">
        <f>'NKC2'!G65</f>
        <v>A</v>
      </c>
      <c r="E53" s="198">
        <f>'NKC2'!H67*100</f>
        <v>0</v>
      </c>
      <c r="F53" s="198">
        <f>'NKC2'!J67*100</f>
        <v>0</v>
      </c>
      <c r="G53" s="198">
        <f>'NKC2'!K67*100</f>
        <v>0</v>
      </c>
      <c r="H53" s="198">
        <f>'NKC2'!L67*100</f>
        <v>0</v>
      </c>
      <c r="I53" s="198">
        <f>'NKC2'!M67*100</f>
        <v>0</v>
      </c>
      <c r="J53" s="198">
        <f>'NKC2'!N67*100</f>
        <v>0</v>
      </c>
      <c r="K53" s="198">
        <f>'NKC2'!O67*100</f>
        <v>0</v>
      </c>
      <c r="L53" s="198">
        <f>'NKC2'!P67*100</f>
        <v>0</v>
      </c>
      <c r="M53" s="198">
        <f>'NKC2'!Q67*100</f>
        <v>0</v>
      </c>
      <c r="N53" s="198">
        <f>'NKC2'!R67*100</f>
        <v>0</v>
      </c>
      <c r="O53" s="198">
        <f>'NKC2'!S67*100</f>
        <v>0</v>
      </c>
      <c r="P53" s="198">
        <f>'NKC2'!T67*100</f>
        <v>0</v>
      </c>
      <c r="Q53" s="198">
        <f>'NKC2'!U67*100</f>
        <v>0</v>
      </c>
      <c r="R53" s="198">
        <f>'NKC2'!V67*100</f>
        <v>0</v>
      </c>
      <c r="S53" s="198">
        <f>'NKC2'!W67*100</f>
        <v>0</v>
      </c>
      <c r="T53" s="198">
        <f>'NKC2'!X67*100</f>
        <v>0</v>
      </c>
      <c r="U53" s="198">
        <f>'NKC2'!Y67*100</f>
        <v>0</v>
      </c>
      <c r="V53" s="198">
        <f>'NKC2'!Z67*100</f>
        <v>0</v>
      </c>
      <c r="W53" s="198">
        <f>'NKC2'!AA67*100</f>
        <v>0</v>
      </c>
      <c r="X53" s="198">
        <f>'NKC2'!AB67*100</f>
        <v>0</v>
      </c>
      <c r="Y53" s="198">
        <f>'NKC2'!AC67*100</f>
        <v>0</v>
      </c>
      <c r="Z53" s="198">
        <f>'NKC2'!AD67*100</f>
        <v>0</v>
      </c>
      <c r="AA53" s="198">
        <f>'NKC2'!AE67*100</f>
        <v>0</v>
      </c>
      <c r="AB53" s="198">
        <f>'NKC2'!AF67*100</f>
        <v>0</v>
      </c>
      <c r="AC53" s="198">
        <f>'NKC2'!AG67*100</f>
        <v>0</v>
      </c>
      <c r="AD53" s="198">
        <f>'NKC2'!AH67*100</f>
        <v>0</v>
      </c>
      <c r="AE53" s="198">
        <f>'NKC2'!AI67*100</f>
        <v>0</v>
      </c>
      <c r="AF53" s="198">
        <f>'NKC2'!AJ67*100</f>
        <v>0</v>
      </c>
      <c r="AG53" s="198">
        <f>'NKC2'!AK67*100</f>
        <v>0</v>
      </c>
      <c r="AH53" s="198">
        <f>'NKC2'!AL67*100</f>
        <v>0</v>
      </c>
      <c r="AI53" s="198">
        <f>'NKC2'!AM67*100</f>
        <v>0</v>
      </c>
      <c r="AJ53" s="198">
        <f>'NKC2'!AN67*100</f>
        <v>0</v>
      </c>
      <c r="AK53" s="198">
        <f>'NKC2'!AO67*100</f>
        <v>0</v>
      </c>
      <c r="AL53" s="198">
        <f>'NKC2'!AP67*100</f>
        <v>0</v>
      </c>
      <c r="AM53" s="198">
        <f>'NKC2'!AQ67*100</f>
        <v>0</v>
      </c>
      <c r="AN53" s="198">
        <f>'NKC2'!AR67*100</f>
        <v>0</v>
      </c>
      <c r="AO53" s="198">
        <f>'NKC2'!AS67*100</f>
        <v>0</v>
      </c>
      <c r="AP53" s="198">
        <f>'NKC2'!AT67*100</f>
        <v>0</v>
      </c>
      <c r="AQ53" s="198">
        <f>'NKC2'!AU67*100</f>
        <v>0</v>
      </c>
      <c r="AR53" s="198">
        <f>'NKC2'!AV67*100</f>
        <v>0</v>
      </c>
      <c r="AS53" s="198">
        <f>'NKC2'!AW67*100</f>
        <v>0</v>
      </c>
      <c r="AT53" s="198">
        <f>'NKC2'!AX67*100</f>
        <v>0</v>
      </c>
      <c r="AU53" s="198">
        <f>'NKC2'!AY67*100</f>
        <v>0</v>
      </c>
      <c r="AV53" s="198">
        <f>'NKC2'!AZ67*100</f>
        <v>0</v>
      </c>
      <c r="AW53" s="198">
        <f>'NKC2'!BA67*100</f>
        <v>0</v>
      </c>
      <c r="AX53" s="198">
        <f>'NKC2'!BB67*100</f>
        <v>0</v>
      </c>
      <c r="AY53" s="198">
        <f>'NKC2'!BC67*100</f>
        <v>0</v>
      </c>
      <c r="AZ53" s="198">
        <f>'NKC2'!BD67*100</f>
        <v>0</v>
      </c>
      <c r="BA53" s="198">
        <f>'NKC2'!BE67*100</f>
        <v>0</v>
      </c>
      <c r="BB53" s="198">
        <f>'NKC2'!BF67*100</f>
        <v>0</v>
      </c>
      <c r="BC53" s="198">
        <f>'NKC2'!BG67*100</f>
        <v>0</v>
      </c>
      <c r="BD53" s="198">
        <f>'NKC2'!BH67*100</f>
        <v>0</v>
      </c>
      <c r="BE53" s="198">
        <f>'NKC2'!BI67*100</f>
        <v>0</v>
      </c>
      <c r="BF53" s="198">
        <f>'NKC2'!BJ67*100</f>
        <v>0</v>
      </c>
      <c r="BG53" s="198">
        <f>'NKC2'!BK67*100</f>
        <v>0</v>
      </c>
      <c r="BH53" s="198">
        <f>'NKC2'!BL67*100</f>
        <v>0</v>
      </c>
      <c r="BI53" s="198">
        <f>'NKC2'!BM67*100</f>
        <v>0</v>
      </c>
      <c r="BJ53" s="198">
        <f>'NKC2'!BN67*100</f>
        <v>0</v>
      </c>
      <c r="BK53" s="198">
        <f>'NKC2'!BO67*100</f>
        <v>0</v>
      </c>
      <c r="BL53" s="198">
        <f>'NKC2'!BP67*100</f>
        <v>0</v>
      </c>
      <c r="BM53" s="198">
        <f>'NKC2'!BQ67*100</f>
        <v>0</v>
      </c>
      <c r="BN53" s="198">
        <f>'NKC2'!BR67*100</f>
        <v>0</v>
      </c>
      <c r="BO53" s="198">
        <f>'NKC2'!BS67*100</f>
        <v>0</v>
      </c>
      <c r="BP53" s="198">
        <f>'NKC2'!BT67*100</f>
        <v>0</v>
      </c>
      <c r="BQ53" s="198">
        <f>'NKC2'!BU67*100</f>
        <v>0</v>
      </c>
      <c r="BR53" s="198">
        <f>'NKC2'!BV67*100</f>
        <v>0</v>
      </c>
      <c r="BS53" s="198">
        <f>'NKC2'!BW67*100</f>
        <v>0</v>
      </c>
      <c r="BT53" s="198">
        <f>'NKC2'!BX67*100</f>
        <v>0</v>
      </c>
      <c r="BU53" s="198">
        <f>'NKC2'!BY67*100</f>
        <v>0</v>
      </c>
      <c r="BV53" s="198">
        <f>'NKC2'!BZ67*100</f>
        <v>0</v>
      </c>
      <c r="BW53" s="198">
        <f>'NKC2'!CA67*100</f>
        <v>0</v>
      </c>
      <c r="BX53" s="198">
        <f>'NKC2'!CB67*100</f>
        <v>0</v>
      </c>
      <c r="BY53" s="198">
        <f>'NKC2'!CC67*100</f>
        <v>0</v>
      </c>
      <c r="BZ53" s="198">
        <f>'NKC2'!CD67*100</f>
        <v>0</v>
      </c>
      <c r="CA53" s="198">
        <f>'NKC2'!CE67*100</f>
        <v>0</v>
      </c>
      <c r="CB53" s="198">
        <f>'NKC2'!CF67*100</f>
        <v>0</v>
      </c>
      <c r="CC53" s="198">
        <f>'NKC2'!CG67*100</f>
        <v>0</v>
      </c>
      <c r="CD53" s="198">
        <f>'NKC2'!CH67*100</f>
        <v>0</v>
      </c>
      <c r="CE53" s="198">
        <f>'NKC2'!CI67*100</f>
        <v>0</v>
      </c>
      <c r="CF53" s="198">
        <f>'NKC2'!CJ67*100</f>
        <v>0</v>
      </c>
      <c r="CG53" s="198">
        <f>'NKC2'!CK67*100</f>
        <v>0</v>
      </c>
      <c r="CH53" s="198">
        <f>'NKC2'!CL67*100</f>
        <v>0</v>
      </c>
      <c r="CI53" s="198">
        <f>'NKC2'!CM67*100</f>
        <v>0</v>
      </c>
    </row>
    <row r="54" spans="1:87" x14ac:dyDescent="0.45">
      <c r="A54" s="403" t="str">
        <f>'NKC2'!B68</f>
        <v>1.4.1.4</v>
      </c>
      <c r="B54" s="403" t="str">
        <f>'NKC2'!D68</f>
        <v xml:space="preserve">            1M Floor</v>
      </c>
      <c r="C54" s="404">
        <f>'NKC2'!F68</f>
        <v>6538779.013872372</v>
      </c>
      <c r="D54" s="407" t="str">
        <f>'NKC2'!G66</f>
        <v>P</v>
      </c>
      <c r="E54" s="405">
        <f>'NKC2'!H68*100</f>
        <v>100</v>
      </c>
      <c r="F54" s="405">
        <f>'NKC2'!J68*100</f>
        <v>0</v>
      </c>
      <c r="G54" s="405">
        <f>'NKC2'!K68*100</f>
        <v>0</v>
      </c>
      <c r="H54" s="405">
        <f>'NKC2'!L68*100</f>
        <v>0</v>
      </c>
      <c r="I54" s="405">
        <f>'NKC2'!M68*100</f>
        <v>0</v>
      </c>
      <c r="J54" s="405">
        <f>'NKC2'!N68*100</f>
        <v>0</v>
      </c>
      <c r="K54" s="405">
        <f>'NKC2'!O68*100</f>
        <v>0</v>
      </c>
      <c r="L54" s="405">
        <f>'NKC2'!P68*100</f>
        <v>0</v>
      </c>
      <c r="M54" s="405">
        <f>'NKC2'!Q68*100</f>
        <v>0</v>
      </c>
      <c r="N54" s="405">
        <f>'NKC2'!R68*100</f>
        <v>0</v>
      </c>
      <c r="O54" s="405">
        <f>'NKC2'!S68*100</f>
        <v>0</v>
      </c>
      <c r="P54" s="405">
        <f>'NKC2'!T68*100</f>
        <v>0</v>
      </c>
      <c r="Q54" s="405">
        <f>'NKC2'!U68*100</f>
        <v>0</v>
      </c>
      <c r="R54" s="405">
        <f>'NKC2'!V68*100</f>
        <v>0</v>
      </c>
      <c r="S54" s="405">
        <f>'NKC2'!W68*100</f>
        <v>0</v>
      </c>
      <c r="T54" s="405">
        <f>'NKC2'!X68*100</f>
        <v>0</v>
      </c>
      <c r="U54" s="405">
        <f>'NKC2'!Y68*100</f>
        <v>0</v>
      </c>
      <c r="V54" s="405">
        <f>'NKC2'!Z68*100</f>
        <v>0</v>
      </c>
      <c r="W54" s="405">
        <f>'NKC2'!AA68*100</f>
        <v>0</v>
      </c>
      <c r="X54" s="405">
        <f>'NKC2'!AB68*100</f>
        <v>0</v>
      </c>
      <c r="Y54" s="405">
        <f>'NKC2'!AC68*100</f>
        <v>4</v>
      </c>
      <c r="Z54" s="405">
        <f>'NKC2'!AD68*100</f>
        <v>4</v>
      </c>
      <c r="AA54" s="405">
        <f>'NKC2'!AE68*100</f>
        <v>5</v>
      </c>
      <c r="AB54" s="405">
        <f>'NKC2'!AF68*100</f>
        <v>5</v>
      </c>
      <c r="AC54" s="405">
        <f>'NKC2'!AG68*100</f>
        <v>8</v>
      </c>
      <c r="AD54" s="405">
        <f>'NKC2'!AH68*100</f>
        <v>8</v>
      </c>
      <c r="AE54" s="405">
        <f>'NKC2'!AI68*100</f>
        <v>8</v>
      </c>
      <c r="AF54" s="405">
        <f>'NKC2'!AJ68*100</f>
        <v>10</v>
      </c>
      <c r="AG54" s="405">
        <f>'NKC2'!AK68*100</f>
        <v>10</v>
      </c>
      <c r="AH54" s="405">
        <f>'NKC2'!AL68*100</f>
        <v>10</v>
      </c>
      <c r="AI54" s="405">
        <f>'NKC2'!AM68*100</f>
        <v>10</v>
      </c>
      <c r="AJ54" s="405">
        <f>'NKC2'!AN68*100</f>
        <v>6</v>
      </c>
      <c r="AK54" s="405">
        <f>'NKC2'!AO68*100</f>
        <v>4</v>
      </c>
      <c r="AL54" s="405">
        <f>'NKC2'!AP68*100</f>
        <v>4</v>
      </c>
      <c r="AM54" s="405">
        <f>'NKC2'!AQ68*100</f>
        <v>4</v>
      </c>
      <c r="AN54" s="405">
        <f>'NKC2'!AR68*100</f>
        <v>0</v>
      </c>
      <c r="AO54" s="405">
        <f>'NKC2'!AS68*100</f>
        <v>0</v>
      </c>
      <c r="AP54" s="405">
        <f>'NKC2'!AT68*100</f>
        <v>0</v>
      </c>
      <c r="AQ54" s="405">
        <f>'NKC2'!AU68*100</f>
        <v>0</v>
      </c>
      <c r="AR54" s="405">
        <f>'NKC2'!AV68*100</f>
        <v>0</v>
      </c>
      <c r="AS54" s="405">
        <f>'NKC2'!AW68*100</f>
        <v>0</v>
      </c>
      <c r="AT54" s="405">
        <f>'NKC2'!AX68*100</f>
        <v>0</v>
      </c>
      <c r="AU54" s="405">
        <f>'NKC2'!AY68*100</f>
        <v>0</v>
      </c>
      <c r="AV54" s="405">
        <f>'NKC2'!AZ68*100</f>
        <v>0</v>
      </c>
      <c r="AW54" s="405">
        <f>'NKC2'!BA68*100</f>
        <v>0</v>
      </c>
      <c r="AX54" s="405">
        <f>'NKC2'!BB68*100</f>
        <v>0</v>
      </c>
      <c r="AY54" s="405">
        <f>'NKC2'!BC68*100</f>
        <v>0</v>
      </c>
      <c r="AZ54" s="405">
        <f>'NKC2'!BD68*100</f>
        <v>0</v>
      </c>
      <c r="BA54" s="405">
        <f>'NKC2'!BE68*100</f>
        <v>0</v>
      </c>
      <c r="BB54" s="405">
        <f>'NKC2'!BF68*100</f>
        <v>0</v>
      </c>
      <c r="BC54" s="405">
        <f>'NKC2'!BG68*100</f>
        <v>0</v>
      </c>
      <c r="BD54" s="405">
        <f>'NKC2'!BH68*100</f>
        <v>0</v>
      </c>
      <c r="BE54" s="405">
        <f>'NKC2'!BI68*100</f>
        <v>0</v>
      </c>
      <c r="BF54" s="405">
        <f>'NKC2'!BJ68*100</f>
        <v>0</v>
      </c>
      <c r="BG54" s="405">
        <f>'NKC2'!BK68*100</f>
        <v>0</v>
      </c>
      <c r="BH54" s="405">
        <f>'NKC2'!BL68*100</f>
        <v>0</v>
      </c>
      <c r="BI54" s="405">
        <f>'NKC2'!BM68*100</f>
        <v>0</v>
      </c>
      <c r="BJ54" s="405">
        <f>'NKC2'!BN68*100</f>
        <v>0</v>
      </c>
      <c r="BK54" s="405">
        <f>'NKC2'!BO68*100</f>
        <v>0</v>
      </c>
      <c r="BL54" s="405">
        <f>'NKC2'!BP68*100</f>
        <v>0</v>
      </c>
      <c r="BM54" s="405">
        <f>'NKC2'!BQ68*100</f>
        <v>0</v>
      </c>
      <c r="BN54" s="405">
        <f>'NKC2'!BR68*100</f>
        <v>0</v>
      </c>
      <c r="BO54" s="405">
        <f>'NKC2'!BS68*100</f>
        <v>0</v>
      </c>
      <c r="BP54" s="405">
        <f>'NKC2'!BT68*100</f>
        <v>0</v>
      </c>
      <c r="BQ54" s="405">
        <f>'NKC2'!BU68*100</f>
        <v>0</v>
      </c>
      <c r="BR54" s="405">
        <f>'NKC2'!BV68*100</f>
        <v>0</v>
      </c>
      <c r="BS54" s="405">
        <f>'NKC2'!BW68*100</f>
        <v>0</v>
      </c>
      <c r="BT54" s="405">
        <f>'NKC2'!BX68*100</f>
        <v>0</v>
      </c>
      <c r="BU54" s="405">
        <f>'NKC2'!BY68*100</f>
        <v>0</v>
      </c>
      <c r="BV54" s="405">
        <f>'NKC2'!BZ68*100</f>
        <v>0</v>
      </c>
      <c r="BW54" s="405">
        <f>'NKC2'!CA68*100</f>
        <v>0</v>
      </c>
      <c r="BX54" s="405">
        <f>'NKC2'!CB68*100</f>
        <v>0</v>
      </c>
      <c r="BY54" s="405">
        <f>'NKC2'!CC68*100</f>
        <v>0</v>
      </c>
      <c r="BZ54" s="405">
        <f>'NKC2'!CD68*100</f>
        <v>0</v>
      </c>
      <c r="CA54" s="405">
        <f>'NKC2'!CE68*100</f>
        <v>0</v>
      </c>
      <c r="CB54" s="405">
        <f>'NKC2'!CF68*100</f>
        <v>0</v>
      </c>
      <c r="CC54" s="405">
        <f>'NKC2'!CG68*100</f>
        <v>0</v>
      </c>
      <c r="CD54" s="405">
        <f>'NKC2'!CH68*100</f>
        <v>0</v>
      </c>
      <c r="CE54" s="405">
        <f>'NKC2'!CI68*100</f>
        <v>0</v>
      </c>
      <c r="CF54" s="405">
        <f>'NKC2'!CJ68*100</f>
        <v>0</v>
      </c>
      <c r="CG54" s="405">
        <f>'NKC2'!CK68*100</f>
        <v>0</v>
      </c>
      <c r="CH54" s="405">
        <f>'NKC2'!CL68*100</f>
        <v>0</v>
      </c>
      <c r="CI54" s="405">
        <f>'NKC2'!CM68*100</f>
        <v>0</v>
      </c>
    </row>
    <row r="55" spans="1:87" x14ac:dyDescent="0.45">
      <c r="A55" t="str">
        <f>'NKC2'!B69</f>
        <v>1.4.1.4</v>
      </c>
      <c r="B55" t="str">
        <f>'NKC2'!D69</f>
        <v xml:space="preserve">            1M Floor</v>
      </c>
      <c r="C55" s="193">
        <f>'NKC2'!F69</f>
        <v>6538779.013872372</v>
      </c>
      <c r="D55" s="140" t="str">
        <f>'NKC2'!G67</f>
        <v>A</v>
      </c>
      <c r="E55" s="198">
        <f>'NKC2'!H69*100</f>
        <v>0</v>
      </c>
      <c r="F55" s="198">
        <f>'NKC2'!J69*100</f>
        <v>0</v>
      </c>
      <c r="G55" s="198">
        <f>'NKC2'!K69*100</f>
        <v>0</v>
      </c>
      <c r="H55" s="198">
        <f>'NKC2'!L69*100</f>
        <v>0</v>
      </c>
      <c r="I55" s="198">
        <f>'NKC2'!M69*100</f>
        <v>0</v>
      </c>
      <c r="J55" s="198">
        <f>'NKC2'!N69*100</f>
        <v>0</v>
      </c>
      <c r="K55" s="198">
        <f>'NKC2'!O69*100</f>
        <v>0</v>
      </c>
      <c r="L55" s="198">
        <f>'NKC2'!P69*100</f>
        <v>0</v>
      </c>
      <c r="M55" s="198">
        <f>'NKC2'!Q69*100</f>
        <v>0</v>
      </c>
      <c r="N55" s="198">
        <f>'NKC2'!R69*100</f>
        <v>0</v>
      </c>
      <c r="O55" s="198">
        <f>'NKC2'!S69*100</f>
        <v>0</v>
      </c>
      <c r="P55" s="198">
        <f>'NKC2'!T69*100</f>
        <v>0</v>
      </c>
      <c r="Q55" s="198">
        <f>'NKC2'!U69*100</f>
        <v>0</v>
      </c>
      <c r="R55" s="198">
        <f>'NKC2'!V69*100</f>
        <v>0</v>
      </c>
      <c r="S55" s="198">
        <f>'NKC2'!W69*100</f>
        <v>0</v>
      </c>
      <c r="T55" s="198">
        <f>'NKC2'!X69*100</f>
        <v>0</v>
      </c>
      <c r="U55" s="198">
        <f>'NKC2'!Y69*100</f>
        <v>0</v>
      </c>
      <c r="V55" s="198">
        <f>'NKC2'!Z69*100</f>
        <v>0</v>
      </c>
      <c r="W55" s="198">
        <f>'NKC2'!AA69*100</f>
        <v>0</v>
      </c>
      <c r="X55" s="198">
        <f>'NKC2'!AB69*100</f>
        <v>0</v>
      </c>
      <c r="Y55" s="198">
        <f>'NKC2'!AC69*100</f>
        <v>0</v>
      </c>
      <c r="Z55" s="198">
        <f>'NKC2'!AD69*100</f>
        <v>0</v>
      </c>
      <c r="AA55" s="198">
        <f>'NKC2'!AE69*100</f>
        <v>0</v>
      </c>
      <c r="AB55" s="198">
        <f>'NKC2'!AF69*100</f>
        <v>0</v>
      </c>
      <c r="AC55" s="198">
        <f>'NKC2'!AG69*100</f>
        <v>0</v>
      </c>
      <c r="AD55" s="198">
        <f>'NKC2'!AH69*100</f>
        <v>0</v>
      </c>
      <c r="AE55" s="198">
        <f>'NKC2'!AI69*100</f>
        <v>0</v>
      </c>
      <c r="AF55" s="198">
        <f>'NKC2'!AJ69*100</f>
        <v>0</v>
      </c>
      <c r="AG55" s="198">
        <f>'NKC2'!AK69*100</f>
        <v>0</v>
      </c>
      <c r="AH55" s="198">
        <f>'NKC2'!AL69*100</f>
        <v>0</v>
      </c>
      <c r="AI55" s="198">
        <f>'NKC2'!AM69*100</f>
        <v>0</v>
      </c>
      <c r="AJ55" s="198">
        <f>'NKC2'!AN69*100</f>
        <v>0</v>
      </c>
      <c r="AK55" s="198">
        <f>'NKC2'!AO69*100</f>
        <v>0</v>
      </c>
      <c r="AL55" s="198">
        <f>'NKC2'!AP69*100</f>
        <v>0</v>
      </c>
      <c r="AM55" s="198">
        <f>'NKC2'!AQ69*100</f>
        <v>0</v>
      </c>
      <c r="AN55" s="198">
        <f>'NKC2'!AR69*100</f>
        <v>0</v>
      </c>
      <c r="AO55" s="198">
        <f>'NKC2'!AS69*100</f>
        <v>0</v>
      </c>
      <c r="AP55" s="198">
        <f>'NKC2'!AT69*100</f>
        <v>0</v>
      </c>
      <c r="AQ55" s="198">
        <f>'NKC2'!AU69*100</f>
        <v>0</v>
      </c>
      <c r="AR55" s="198">
        <f>'NKC2'!AV69*100</f>
        <v>0</v>
      </c>
      <c r="AS55" s="198">
        <f>'NKC2'!AW69*100</f>
        <v>0</v>
      </c>
      <c r="AT55" s="198">
        <f>'NKC2'!AX69*100</f>
        <v>0</v>
      </c>
      <c r="AU55" s="198">
        <f>'NKC2'!AY69*100</f>
        <v>0</v>
      </c>
      <c r="AV55" s="198">
        <f>'NKC2'!AZ69*100</f>
        <v>0</v>
      </c>
      <c r="AW55" s="198">
        <f>'NKC2'!BA69*100</f>
        <v>0</v>
      </c>
      <c r="AX55" s="198">
        <f>'NKC2'!BB69*100</f>
        <v>0</v>
      </c>
      <c r="AY55" s="198">
        <f>'NKC2'!BC69*100</f>
        <v>0</v>
      </c>
      <c r="AZ55" s="198">
        <f>'NKC2'!BD69*100</f>
        <v>0</v>
      </c>
      <c r="BA55" s="198">
        <f>'NKC2'!BE69*100</f>
        <v>0</v>
      </c>
      <c r="BB55" s="198">
        <f>'NKC2'!BF69*100</f>
        <v>0</v>
      </c>
      <c r="BC55" s="198">
        <f>'NKC2'!BG69*100</f>
        <v>0</v>
      </c>
      <c r="BD55" s="198">
        <f>'NKC2'!BH69*100</f>
        <v>0</v>
      </c>
      <c r="BE55" s="198">
        <f>'NKC2'!BI69*100</f>
        <v>0</v>
      </c>
      <c r="BF55" s="198">
        <f>'NKC2'!BJ69*100</f>
        <v>0</v>
      </c>
      <c r="BG55" s="198">
        <f>'NKC2'!BK69*100</f>
        <v>0</v>
      </c>
      <c r="BH55" s="198">
        <f>'NKC2'!BL69*100</f>
        <v>0</v>
      </c>
      <c r="BI55" s="198">
        <f>'NKC2'!BM69*100</f>
        <v>0</v>
      </c>
      <c r="BJ55" s="198">
        <f>'NKC2'!BN69*100</f>
        <v>0</v>
      </c>
      <c r="BK55" s="198">
        <f>'NKC2'!BO69*100</f>
        <v>0</v>
      </c>
      <c r="BL55" s="198">
        <f>'NKC2'!BP69*100</f>
        <v>0</v>
      </c>
      <c r="BM55" s="198">
        <f>'NKC2'!BQ69*100</f>
        <v>0</v>
      </c>
      <c r="BN55" s="198">
        <f>'NKC2'!BR69*100</f>
        <v>0</v>
      </c>
      <c r="BO55" s="198">
        <f>'NKC2'!BS69*100</f>
        <v>0</v>
      </c>
      <c r="BP55" s="198">
        <f>'NKC2'!BT69*100</f>
        <v>0</v>
      </c>
      <c r="BQ55" s="198">
        <f>'NKC2'!BU69*100</f>
        <v>0</v>
      </c>
      <c r="BR55" s="198">
        <f>'NKC2'!BV69*100</f>
        <v>0</v>
      </c>
      <c r="BS55" s="198">
        <f>'NKC2'!BW69*100</f>
        <v>0</v>
      </c>
      <c r="BT55" s="198">
        <f>'NKC2'!BX69*100</f>
        <v>0</v>
      </c>
      <c r="BU55" s="198">
        <f>'NKC2'!BY69*100</f>
        <v>0</v>
      </c>
      <c r="BV55" s="198">
        <f>'NKC2'!BZ69*100</f>
        <v>0</v>
      </c>
      <c r="BW55" s="198">
        <f>'NKC2'!CA69*100</f>
        <v>0</v>
      </c>
      <c r="BX55" s="198">
        <f>'NKC2'!CB69*100</f>
        <v>0</v>
      </c>
      <c r="BY55" s="198">
        <f>'NKC2'!CC69*100</f>
        <v>0</v>
      </c>
      <c r="BZ55" s="198">
        <f>'NKC2'!CD69*100</f>
        <v>0</v>
      </c>
      <c r="CA55" s="198">
        <f>'NKC2'!CE69*100</f>
        <v>0</v>
      </c>
      <c r="CB55" s="198">
        <f>'NKC2'!CF69*100</f>
        <v>0</v>
      </c>
      <c r="CC55" s="198">
        <f>'NKC2'!CG69*100</f>
        <v>0</v>
      </c>
      <c r="CD55" s="198">
        <f>'NKC2'!CH69*100</f>
        <v>0</v>
      </c>
      <c r="CE55" s="198">
        <f>'NKC2'!CI69*100</f>
        <v>0</v>
      </c>
      <c r="CF55" s="198">
        <f>'NKC2'!CJ69*100</f>
        <v>0</v>
      </c>
      <c r="CG55" s="198">
        <f>'NKC2'!CK69*100</f>
        <v>0</v>
      </c>
      <c r="CH55" s="198">
        <f>'NKC2'!CL69*100</f>
        <v>0</v>
      </c>
      <c r="CI55" s="198">
        <f>'NKC2'!CM69*100</f>
        <v>0</v>
      </c>
    </row>
    <row r="56" spans="1:87" x14ac:dyDescent="0.45">
      <c r="A56" s="403" t="str">
        <f>'NKC2'!B70</f>
        <v>1.4.1.5</v>
      </c>
      <c r="B56" s="403" t="str">
        <f>'NKC2'!D70</f>
        <v xml:space="preserve">            1st Floor</v>
      </c>
      <c r="C56" s="404">
        <f>'NKC2'!F70</f>
        <v>19629695.090759546</v>
      </c>
      <c r="D56" s="407" t="str">
        <f>'NKC2'!G68</f>
        <v>P</v>
      </c>
      <c r="E56" s="405">
        <f>'NKC2'!H70*100</f>
        <v>100.00000000000003</v>
      </c>
      <c r="F56" s="405">
        <f>'NKC2'!J70*100</f>
        <v>0</v>
      </c>
      <c r="G56" s="405">
        <f>'NKC2'!K70*100</f>
        <v>0</v>
      </c>
      <c r="H56" s="405">
        <f>'NKC2'!L70*100</f>
        <v>0</v>
      </c>
      <c r="I56" s="405">
        <f>'NKC2'!M70*100</f>
        <v>0</v>
      </c>
      <c r="J56" s="405">
        <f>'NKC2'!N70*100</f>
        <v>0</v>
      </c>
      <c r="K56" s="405">
        <f>'NKC2'!O70*100</f>
        <v>0</v>
      </c>
      <c r="L56" s="405">
        <f>'NKC2'!P70*100</f>
        <v>0</v>
      </c>
      <c r="M56" s="405">
        <f>'NKC2'!Q70*100</f>
        <v>0</v>
      </c>
      <c r="N56" s="405">
        <f>'NKC2'!R70*100</f>
        <v>0</v>
      </c>
      <c r="O56" s="405">
        <f>'NKC2'!S70*100</f>
        <v>0</v>
      </c>
      <c r="P56" s="405">
        <f>'NKC2'!T70*100</f>
        <v>0</v>
      </c>
      <c r="Q56" s="405">
        <f>'NKC2'!U70*100</f>
        <v>0</v>
      </c>
      <c r="R56" s="405">
        <f>'NKC2'!V70*100</f>
        <v>0</v>
      </c>
      <c r="S56" s="405">
        <f>'NKC2'!W70*100</f>
        <v>0</v>
      </c>
      <c r="T56" s="405">
        <f>'NKC2'!X70*100</f>
        <v>0</v>
      </c>
      <c r="U56" s="405">
        <f>'NKC2'!Y70*100</f>
        <v>0</v>
      </c>
      <c r="V56" s="405">
        <f>'NKC2'!Z70*100</f>
        <v>0</v>
      </c>
      <c r="W56" s="405">
        <f>'NKC2'!AA70*100</f>
        <v>0</v>
      </c>
      <c r="X56" s="405">
        <f>'NKC2'!AB70*100</f>
        <v>2</v>
      </c>
      <c r="Y56" s="405">
        <f>'NKC2'!AC70*100</f>
        <v>2</v>
      </c>
      <c r="Z56" s="405">
        <f>'NKC2'!AD70*100</f>
        <v>4</v>
      </c>
      <c r="AA56" s="405">
        <f>'NKC2'!AE70*100</f>
        <v>4</v>
      </c>
      <c r="AB56" s="405">
        <f>'NKC2'!AF70*100</f>
        <v>4</v>
      </c>
      <c r="AC56" s="405">
        <f>'NKC2'!AG70*100</f>
        <v>4</v>
      </c>
      <c r="AD56" s="405">
        <f>'NKC2'!AH70*100</f>
        <v>4</v>
      </c>
      <c r="AE56" s="405">
        <f>'NKC2'!AI70*100</f>
        <v>4</v>
      </c>
      <c r="AF56" s="405">
        <f>'NKC2'!AJ70*100</f>
        <v>4</v>
      </c>
      <c r="AG56" s="405">
        <f>'NKC2'!AK70*100</f>
        <v>4</v>
      </c>
      <c r="AH56" s="405">
        <f>'NKC2'!AL70*100</f>
        <v>4</v>
      </c>
      <c r="AI56" s="405">
        <f>'NKC2'!AM70*100</f>
        <v>4</v>
      </c>
      <c r="AJ56" s="405">
        <f>'NKC2'!AN70*100</f>
        <v>5</v>
      </c>
      <c r="AK56" s="405">
        <f>'NKC2'!AO70*100</f>
        <v>5</v>
      </c>
      <c r="AL56" s="405">
        <f>'NKC2'!AP70*100</f>
        <v>5</v>
      </c>
      <c r="AM56" s="405">
        <f>'NKC2'!AQ70*100</f>
        <v>5</v>
      </c>
      <c r="AN56" s="405">
        <f>'NKC2'!AR70*100</f>
        <v>4</v>
      </c>
      <c r="AO56" s="405">
        <f>'NKC2'!AS70*100</f>
        <v>4</v>
      </c>
      <c r="AP56" s="405">
        <f>'NKC2'!AT70*100</f>
        <v>4</v>
      </c>
      <c r="AQ56" s="405">
        <f>'NKC2'!AU70*100</f>
        <v>4</v>
      </c>
      <c r="AR56" s="405">
        <f>'NKC2'!AV70*100</f>
        <v>4</v>
      </c>
      <c r="AS56" s="405">
        <f>'NKC2'!AW70*100</f>
        <v>4</v>
      </c>
      <c r="AT56" s="405">
        <f>'NKC2'!AX70*100</f>
        <v>4</v>
      </c>
      <c r="AU56" s="405">
        <f>'NKC2'!AY70*100</f>
        <v>4</v>
      </c>
      <c r="AV56" s="405">
        <f>'NKC2'!AZ70*100</f>
        <v>2</v>
      </c>
      <c r="AW56" s="405">
        <f>'NKC2'!BA70*100</f>
        <v>2</v>
      </c>
      <c r="AX56" s="405">
        <f>'NKC2'!BB70*100</f>
        <v>0</v>
      </c>
      <c r="AY56" s="405">
        <f>'NKC2'!BC70*100</f>
        <v>0</v>
      </c>
      <c r="AZ56" s="405">
        <f>'NKC2'!BD70*100</f>
        <v>0</v>
      </c>
      <c r="BA56" s="405">
        <f>'NKC2'!BE70*100</f>
        <v>0</v>
      </c>
      <c r="BB56" s="405">
        <f>'NKC2'!BF70*100</f>
        <v>0</v>
      </c>
      <c r="BC56" s="405">
        <f>'NKC2'!BG70*100</f>
        <v>0</v>
      </c>
      <c r="BD56" s="405">
        <f>'NKC2'!BH70*100</f>
        <v>0</v>
      </c>
      <c r="BE56" s="405">
        <f>'NKC2'!BI70*100</f>
        <v>0</v>
      </c>
      <c r="BF56" s="405">
        <f>'NKC2'!BJ70*100</f>
        <v>0</v>
      </c>
      <c r="BG56" s="405">
        <f>'NKC2'!BK70*100</f>
        <v>0</v>
      </c>
      <c r="BH56" s="405">
        <f>'NKC2'!BL70*100</f>
        <v>0</v>
      </c>
      <c r="BI56" s="405">
        <f>'NKC2'!BM70*100</f>
        <v>0</v>
      </c>
      <c r="BJ56" s="405">
        <f>'NKC2'!BN70*100</f>
        <v>0</v>
      </c>
      <c r="BK56" s="405">
        <f>'NKC2'!BO70*100</f>
        <v>0</v>
      </c>
      <c r="BL56" s="405">
        <f>'NKC2'!BP70*100</f>
        <v>0</v>
      </c>
      <c r="BM56" s="405">
        <f>'NKC2'!BQ70*100</f>
        <v>0</v>
      </c>
      <c r="BN56" s="405">
        <f>'NKC2'!BR70*100</f>
        <v>0</v>
      </c>
      <c r="BO56" s="405">
        <f>'NKC2'!BS70*100</f>
        <v>0</v>
      </c>
      <c r="BP56" s="405">
        <f>'NKC2'!BT70*100</f>
        <v>0</v>
      </c>
      <c r="BQ56" s="405">
        <f>'NKC2'!BU70*100</f>
        <v>0</v>
      </c>
      <c r="BR56" s="405">
        <f>'NKC2'!BV70*100</f>
        <v>0</v>
      </c>
      <c r="BS56" s="405">
        <f>'NKC2'!BW70*100</f>
        <v>0</v>
      </c>
      <c r="BT56" s="405">
        <f>'NKC2'!BX70*100</f>
        <v>0</v>
      </c>
      <c r="BU56" s="405">
        <f>'NKC2'!BY70*100</f>
        <v>0</v>
      </c>
      <c r="BV56" s="405">
        <f>'NKC2'!BZ70*100</f>
        <v>0</v>
      </c>
      <c r="BW56" s="405">
        <f>'NKC2'!CA70*100</f>
        <v>0</v>
      </c>
      <c r="BX56" s="405">
        <f>'NKC2'!CB70*100</f>
        <v>0</v>
      </c>
      <c r="BY56" s="405">
        <f>'NKC2'!CC70*100</f>
        <v>0</v>
      </c>
      <c r="BZ56" s="405">
        <f>'NKC2'!CD70*100</f>
        <v>0</v>
      </c>
      <c r="CA56" s="405">
        <f>'NKC2'!CE70*100</f>
        <v>0</v>
      </c>
      <c r="CB56" s="405">
        <f>'NKC2'!CF70*100</f>
        <v>0</v>
      </c>
      <c r="CC56" s="405">
        <f>'NKC2'!CG70*100</f>
        <v>0</v>
      </c>
      <c r="CD56" s="405">
        <f>'NKC2'!CH70*100</f>
        <v>0</v>
      </c>
      <c r="CE56" s="405">
        <f>'NKC2'!CI70*100</f>
        <v>0</v>
      </c>
      <c r="CF56" s="405">
        <f>'NKC2'!CJ70*100</f>
        <v>0</v>
      </c>
      <c r="CG56" s="405">
        <f>'NKC2'!CK70*100</f>
        <v>0</v>
      </c>
      <c r="CH56" s="405">
        <f>'NKC2'!CL70*100</f>
        <v>0</v>
      </c>
      <c r="CI56" s="405">
        <f>'NKC2'!CM70*100</f>
        <v>0</v>
      </c>
    </row>
    <row r="57" spans="1:87" x14ac:dyDescent="0.45">
      <c r="A57" t="str">
        <f>'NKC2'!B71</f>
        <v>1.4.1.5</v>
      </c>
      <c r="B57" t="str">
        <f>'NKC2'!D71</f>
        <v xml:space="preserve">            1st Floor</v>
      </c>
      <c r="C57" s="193">
        <f>'NKC2'!F71</f>
        <v>19629695.090759546</v>
      </c>
      <c r="D57" s="140" t="str">
        <f>'NKC2'!G69</f>
        <v>A</v>
      </c>
      <c r="E57" s="198">
        <f>'NKC2'!H71*100</f>
        <v>0</v>
      </c>
      <c r="F57" s="198">
        <f>'NKC2'!J71*100</f>
        <v>0</v>
      </c>
      <c r="G57" s="198">
        <f>'NKC2'!K71*100</f>
        <v>0</v>
      </c>
      <c r="H57" s="198">
        <f>'NKC2'!L71*100</f>
        <v>0</v>
      </c>
      <c r="I57" s="198">
        <f>'NKC2'!M71*100</f>
        <v>0</v>
      </c>
      <c r="J57" s="198">
        <f>'NKC2'!N71*100</f>
        <v>0</v>
      </c>
      <c r="K57" s="198">
        <f>'NKC2'!O71*100</f>
        <v>0</v>
      </c>
      <c r="L57" s="198">
        <f>'NKC2'!P71*100</f>
        <v>0</v>
      </c>
      <c r="M57" s="198">
        <f>'NKC2'!Q71*100</f>
        <v>0</v>
      </c>
      <c r="N57" s="198">
        <f>'NKC2'!R71*100</f>
        <v>0</v>
      </c>
      <c r="O57" s="198">
        <f>'NKC2'!S71*100</f>
        <v>0</v>
      </c>
      <c r="P57" s="198">
        <f>'NKC2'!T71*100</f>
        <v>0</v>
      </c>
      <c r="Q57" s="198">
        <f>'NKC2'!U71*100</f>
        <v>0</v>
      </c>
      <c r="R57" s="198">
        <f>'NKC2'!V71*100</f>
        <v>0</v>
      </c>
      <c r="S57" s="198">
        <f>'NKC2'!W71*100</f>
        <v>0</v>
      </c>
      <c r="T57" s="198">
        <f>'NKC2'!X71*100</f>
        <v>0</v>
      </c>
      <c r="U57" s="198">
        <f>'NKC2'!Y71*100</f>
        <v>0</v>
      </c>
      <c r="V57" s="198">
        <f>'NKC2'!Z71*100</f>
        <v>0</v>
      </c>
      <c r="W57" s="198">
        <f>'NKC2'!AA71*100</f>
        <v>0</v>
      </c>
      <c r="X57" s="198">
        <f>'NKC2'!AB71*100</f>
        <v>0</v>
      </c>
      <c r="Y57" s="198">
        <f>'NKC2'!AC71*100</f>
        <v>0</v>
      </c>
      <c r="Z57" s="198">
        <f>'NKC2'!AD71*100</f>
        <v>0</v>
      </c>
      <c r="AA57" s="198">
        <f>'NKC2'!AE71*100</f>
        <v>0</v>
      </c>
      <c r="AB57" s="198">
        <f>'NKC2'!AF71*100</f>
        <v>0</v>
      </c>
      <c r="AC57" s="198">
        <f>'NKC2'!AG71*100</f>
        <v>0</v>
      </c>
      <c r="AD57" s="198">
        <f>'NKC2'!AH71*100</f>
        <v>0</v>
      </c>
      <c r="AE57" s="198">
        <f>'NKC2'!AI71*100</f>
        <v>0</v>
      </c>
      <c r="AF57" s="198">
        <f>'NKC2'!AJ71*100</f>
        <v>0</v>
      </c>
      <c r="AG57" s="198">
        <f>'NKC2'!AK71*100</f>
        <v>0</v>
      </c>
      <c r="AH57" s="198">
        <f>'NKC2'!AL71*100</f>
        <v>0</v>
      </c>
      <c r="AI57" s="198">
        <f>'NKC2'!AM71*100</f>
        <v>0</v>
      </c>
      <c r="AJ57" s="198">
        <f>'NKC2'!AN71*100</f>
        <v>0</v>
      </c>
      <c r="AK57" s="198">
        <f>'NKC2'!AO71*100</f>
        <v>0</v>
      </c>
      <c r="AL57" s="198">
        <f>'NKC2'!AP71*100</f>
        <v>0</v>
      </c>
      <c r="AM57" s="198">
        <f>'NKC2'!AQ71*100</f>
        <v>0</v>
      </c>
      <c r="AN57" s="198">
        <f>'NKC2'!AR71*100</f>
        <v>0</v>
      </c>
      <c r="AO57" s="198">
        <f>'NKC2'!AS71*100</f>
        <v>0</v>
      </c>
      <c r="AP57" s="198">
        <f>'NKC2'!AT71*100</f>
        <v>0</v>
      </c>
      <c r="AQ57" s="198">
        <f>'NKC2'!AU71*100</f>
        <v>0</v>
      </c>
      <c r="AR57" s="198">
        <f>'NKC2'!AV71*100</f>
        <v>0</v>
      </c>
      <c r="AS57" s="198">
        <f>'NKC2'!AW71*100</f>
        <v>0</v>
      </c>
      <c r="AT57" s="198">
        <f>'NKC2'!AX71*100</f>
        <v>0</v>
      </c>
      <c r="AU57" s="198">
        <f>'NKC2'!AY71*100</f>
        <v>0</v>
      </c>
      <c r="AV57" s="198">
        <f>'NKC2'!AZ71*100</f>
        <v>0</v>
      </c>
      <c r="AW57" s="198">
        <f>'NKC2'!BA71*100</f>
        <v>0</v>
      </c>
      <c r="AX57" s="198">
        <f>'NKC2'!BB71*100</f>
        <v>0</v>
      </c>
      <c r="AY57" s="198">
        <f>'NKC2'!BC71*100</f>
        <v>0</v>
      </c>
      <c r="AZ57" s="198">
        <f>'NKC2'!BD71*100</f>
        <v>0</v>
      </c>
      <c r="BA57" s="198">
        <f>'NKC2'!BE71*100</f>
        <v>0</v>
      </c>
      <c r="BB57" s="198">
        <f>'NKC2'!BF71*100</f>
        <v>0</v>
      </c>
      <c r="BC57" s="198">
        <f>'NKC2'!BG71*100</f>
        <v>0</v>
      </c>
      <c r="BD57" s="198">
        <f>'NKC2'!BH71*100</f>
        <v>0</v>
      </c>
      <c r="BE57" s="198">
        <f>'NKC2'!BI71*100</f>
        <v>0</v>
      </c>
      <c r="BF57" s="198">
        <f>'NKC2'!BJ71*100</f>
        <v>0</v>
      </c>
      <c r="BG57" s="198">
        <f>'NKC2'!BK71*100</f>
        <v>0</v>
      </c>
      <c r="BH57" s="198">
        <f>'NKC2'!BL71*100</f>
        <v>0</v>
      </c>
      <c r="BI57" s="198">
        <f>'NKC2'!BM71*100</f>
        <v>0</v>
      </c>
      <c r="BJ57" s="198">
        <f>'NKC2'!BN71*100</f>
        <v>0</v>
      </c>
      <c r="BK57" s="198">
        <f>'NKC2'!BO71*100</f>
        <v>0</v>
      </c>
      <c r="BL57" s="198">
        <f>'NKC2'!BP71*100</f>
        <v>0</v>
      </c>
      <c r="BM57" s="198">
        <f>'NKC2'!BQ71*100</f>
        <v>0</v>
      </c>
      <c r="BN57" s="198">
        <f>'NKC2'!BR71*100</f>
        <v>0</v>
      </c>
      <c r="BO57" s="198">
        <f>'NKC2'!BS71*100</f>
        <v>0</v>
      </c>
      <c r="BP57" s="198">
        <f>'NKC2'!BT71*100</f>
        <v>0</v>
      </c>
      <c r="BQ57" s="198">
        <f>'NKC2'!BU71*100</f>
        <v>0</v>
      </c>
      <c r="BR57" s="198">
        <f>'NKC2'!BV71*100</f>
        <v>0</v>
      </c>
      <c r="BS57" s="198">
        <f>'NKC2'!BW71*100</f>
        <v>0</v>
      </c>
      <c r="BT57" s="198">
        <f>'NKC2'!BX71*100</f>
        <v>0</v>
      </c>
      <c r="BU57" s="198">
        <f>'NKC2'!BY71*100</f>
        <v>0</v>
      </c>
      <c r="BV57" s="198">
        <f>'NKC2'!BZ71*100</f>
        <v>0</v>
      </c>
      <c r="BW57" s="198">
        <f>'NKC2'!CA71*100</f>
        <v>0</v>
      </c>
      <c r="BX57" s="198">
        <f>'NKC2'!CB71*100</f>
        <v>0</v>
      </c>
      <c r="BY57" s="198">
        <f>'NKC2'!CC71*100</f>
        <v>0</v>
      </c>
      <c r="BZ57" s="198">
        <f>'NKC2'!CD71*100</f>
        <v>0</v>
      </c>
      <c r="CA57" s="198">
        <f>'NKC2'!CE71*100</f>
        <v>0</v>
      </c>
      <c r="CB57" s="198">
        <f>'NKC2'!CF71*100</f>
        <v>0</v>
      </c>
      <c r="CC57" s="198">
        <f>'NKC2'!CG71*100</f>
        <v>0</v>
      </c>
      <c r="CD57" s="198">
        <f>'NKC2'!CH71*100</f>
        <v>0</v>
      </c>
      <c r="CE57" s="198">
        <f>'NKC2'!CI71*100</f>
        <v>0</v>
      </c>
      <c r="CF57" s="198">
        <f>'NKC2'!CJ71*100</f>
        <v>0</v>
      </c>
      <c r="CG57" s="198">
        <f>'NKC2'!CK71*100</f>
        <v>0</v>
      </c>
      <c r="CH57" s="198">
        <f>'NKC2'!CL71*100</f>
        <v>0</v>
      </c>
      <c r="CI57" s="198">
        <f>'NKC2'!CM71*100</f>
        <v>0</v>
      </c>
    </row>
    <row r="58" spans="1:87" x14ac:dyDescent="0.45">
      <c r="A58" s="403" t="str">
        <f>'NKC2'!B72</f>
        <v>1.4.2</v>
      </c>
      <c r="B58" s="403" t="str">
        <f>'NKC2'!D72</f>
        <v xml:space="preserve">         งานลิฟท์</v>
      </c>
      <c r="C58" s="404">
        <f>'NKC2'!F72</f>
        <v>0</v>
      </c>
      <c r="D58" s="407" t="str">
        <f>'NKC2'!G70</f>
        <v>P</v>
      </c>
      <c r="E58" s="405">
        <f>'NKC2'!H72*100</f>
        <v>0</v>
      </c>
      <c r="F58" s="405">
        <f>'NKC2'!J72*100</f>
        <v>0</v>
      </c>
      <c r="G58" s="405">
        <f>'NKC2'!K72*100</f>
        <v>0</v>
      </c>
      <c r="H58" s="405">
        <f>'NKC2'!L72*100</f>
        <v>0</v>
      </c>
      <c r="I58" s="405">
        <f>'NKC2'!M72*100</f>
        <v>0</v>
      </c>
      <c r="J58" s="405">
        <f>'NKC2'!N72*100</f>
        <v>0</v>
      </c>
      <c r="K58" s="405">
        <f>'NKC2'!O72*100</f>
        <v>0</v>
      </c>
      <c r="L58" s="405">
        <f>'NKC2'!P72*100</f>
        <v>0</v>
      </c>
      <c r="M58" s="405">
        <f>'NKC2'!Q72*100</f>
        <v>0</v>
      </c>
      <c r="N58" s="405">
        <f>'NKC2'!R72*100</f>
        <v>0</v>
      </c>
      <c r="O58" s="405">
        <f>'NKC2'!S72*100</f>
        <v>0</v>
      </c>
      <c r="P58" s="405">
        <f>'NKC2'!T72*100</f>
        <v>0</v>
      </c>
      <c r="Q58" s="405">
        <f>'NKC2'!U72*100</f>
        <v>0</v>
      </c>
      <c r="R58" s="405">
        <f>'NKC2'!V72*100</f>
        <v>0</v>
      </c>
      <c r="S58" s="405">
        <f>'NKC2'!W72*100</f>
        <v>0</v>
      </c>
      <c r="T58" s="405">
        <f>'NKC2'!X72*100</f>
        <v>0</v>
      </c>
      <c r="U58" s="405">
        <f>'NKC2'!Y72*100</f>
        <v>0</v>
      </c>
      <c r="V58" s="405">
        <f>'NKC2'!Z72*100</f>
        <v>0</v>
      </c>
      <c r="W58" s="405">
        <f>'NKC2'!AA72*100</f>
        <v>0</v>
      </c>
      <c r="X58" s="405">
        <f>'NKC2'!AB72*100</f>
        <v>0</v>
      </c>
      <c r="Y58" s="405">
        <f>'NKC2'!AC72*100</f>
        <v>0</v>
      </c>
      <c r="Z58" s="405">
        <f>'NKC2'!AD72*100</f>
        <v>0</v>
      </c>
      <c r="AA58" s="405">
        <f>'NKC2'!AE72*100</f>
        <v>0</v>
      </c>
      <c r="AB58" s="405">
        <f>'NKC2'!AF72*100</f>
        <v>0</v>
      </c>
      <c r="AC58" s="405">
        <f>'NKC2'!AG72*100</f>
        <v>0</v>
      </c>
      <c r="AD58" s="405">
        <f>'NKC2'!AH72*100</f>
        <v>0</v>
      </c>
      <c r="AE58" s="405">
        <f>'NKC2'!AI72*100</f>
        <v>0</v>
      </c>
      <c r="AF58" s="405">
        <f>'NKC2'!AJ72*100</f>
        <v>0</v>
      </c>
      <c r="AG58" s="405">
        <f>'NKC2'!AK72*100</f>
        <v>0</v>
      </c>
      <c r="AH58" s="405">
        <f>'NKC2'!AL72*100</f>
        <v>0</v>
      </c>
      <c r="AI58" s="405">
        <f>'NKC2'!AM72*100</f>
        <v>0</v>
      </c>
      <c r="AJ58" s="405">
        <f>'NKC2'!AN72*100</f>
        <v>0</v>
      </c>
      <c r="AK58" s="405">
        <f>'NKC2'!AO72*100</f>
        <v>0</v>
      </c>
      <c r="AL58" s="405">
        <f>'NKC2'!AP72*100</f>
        <v>0</v>
      </c>
      <c r="AM58" s="405">
        <f>'NKC2'!AQ72*100</f>
        <v>0</v>
      </c>
      <c r="AN58" s="405">
        <f>'NKC2'!AR72*100</f>
        <v>0</v>
      </c>
      <c r="AO58" s="405">
        <f>'NKC2'!AS72*100</f>
        <v>0</v>
      </c>
      <c r="AP58" s="405">
        <f>'NKC2'!AT72*100</f>
        <v>0</v>
      </c>
      <c r="AQ58" s="405">
        <f>'NKC2'!AU72*100</f>
        <v>0</v>
      </c>
      <c r="AR58" s="405">
        <f>'NKC2'!AV72*100</f>
        <v>0</v>
      </c>
      <c r="AS58" s="405">
        <f>'NKC2'!AW72*100</f>
        <v>0</v>
      </c>
      <c r="AT58" s="405">
        <f>'NKC2'!AX72*100</f>
        <v>0</v>
      </c>
      <c r="AU58" s="405">
        <f>'NKC2'!AY72*100</f>
        <v>0</v>
      </c>
      <c r="AV58" s="405">
        <f>'NKC2'!AZ72*100</f>
        <v>0</v>
      </c>
      <c r="AW58" s="405">
        <f>'NKC2'!BA72*100</f>
        <v>0</v>
      </c>
      <c r="AX58" s="405">
        <f>'NKC2'!BB72*100</f>
        <v>0</v>
      </c>
      <c r="AY58" s="405">
        <f>'NKC2'!BC72*100</f>
        <v>0</v>
      </c>
      <c r="AZ58" s="405">
        <f>'NKC2'!BD72*100</f>
        <v>0</v>
      </c>
      <c r="BA58" s="405">
        <f>'NKC2'!BE72*100</f>
        <v>0</v>
      </c>
      <c r="BB58" s="405">
        <f>'NKC2'!BF72*100</f>
        <v>0</v>
      </c>
      <c r="BC58" s="405">
        <f>'NKC2'!BG72*100</f>
        <v>0</v>
      </c>
      <c r="BD58" s="405">
        <f>'NKC2'!BH72*100</f>
        <v>0</v>
      </c>
      <c r="BE58" s="405">
        <f>'NKC2'!BI72*100</f>
        <v>0</v>
      </c>
      <c r="BF58" s="405">
        <f>'NKC2'!BJ72*100</f>
        <v>0</v>
      </c>
      <c r="BG58" s="405">
        <f>'NKC2'!BK72*100</f>
        <v>0</v>
      </c>
      <c r="BH58" s="405">
        <f>'NKC2'!BL72*100</f>
        <v>0</v>
      </c>
      <c r="BI58" s="405">
        <f>'NKC2'!BM72*100</f>
        <v>0</v>
      </c>
      <c r="BJ58" s="405">
        <f>'NKC2'!BN72*100</f>
        <v>0</v>
      </c>
      <c r="BK58" s="405">
        <f>'NKC2'!BO72*100</f>
        <v>0</v>
      </c>
      <c r="BL58" s="405">
        <f>'NKC2'!BP72*100</f>
        <v>0</v>
      </c>
      <c r="BM58" s="405">
        <f>'NKC2'!BQ72*100</f>
        <v>0</v>
      </c>
      <c r="BN58" s="405">
        <f>'NKC2'!BR72*100</f>
        <v>0</v>
      </c>
      <c r="BO58" s="405">
        <f>'NKC2'!BS72*100</f>
        <v>0</v>
      </c>
      <c r="BP58" s="405">
        <f>'NKC2'!BT72*100</f>
        <v>0</v>
      </c>
      <c r="BQ58" s="405">
        <f>'NKC2'!BU72*100</f>
        <v>0</v>
      </c>
      <c r="BR58" s="405">
        <f>'NKC2'!BV72*100</f>
        <v>0</v>
      </c>
      <c r="BS58" s="405">
        <f>'NKC2'!BW72*100</f>
        <v>0</v>
      </c>
      <c r="BT58" s="405">
        <f>'NKC2'!BX72*100</f>
        <v>0</v>
      </c>
      <c r="BU58" s="405">
        <f>'NKC2'!BY72*100</f>
        <v>0</v>
      </c>
      <c r="BV58" s="405">
        <f>'NKC2'!BZ72*100</f>
        <v>0</v>
      </c>
      <c r="BW58" s="405">
        <f>'NKC2'!CA72*100</f>
        <v>0</v>
      </c>
      <c r="BX58" s="405">
        <f>'NKC2'!CB72*100</f>
        <v>0</v>
      </c>
      <c r="BY58" s="405">
        <f>'NKC2'!CC72*100</f>
        <v>0</v>
      </c>
      <c r="BZ58" s="405">
        <f>'NKC2'!CD72*100</f>
        <v>0</v>
      </c>
      <c r="CA58" s="405">
        <f>'NKC2'!CE72*100</f>
        <v>0</v>
      </c>
      <c r="CB58" s="405">
        <f>'NKC2'!CF72*100</f>
        <v>0</v>
      </c>
      <c r="CC58" s="405">
        <f>'NKC2'!CG72*100</f>
        <v>0</v>
      </c>
      <c r="CD58" s="405">
        <f>'NKC2'!CH72*100</f>
        <v>0</v>
      </c>
      <c r="CE58" s="405">
        <f>'NKC2'!CI72*100</f>
        <v>0</v>
      </c>
      <c r="CF58" s="405">
        <f>'NKC2'!CJ72*100</f>
        <v>0</v>
      </c>
      <c r="CG58" s="405">
        <f>'NKC2'!CK72*100</f>
        <v>0</v>
      </c>
      <c r="CH58" s="405">
        <f>'NKC2'!CL72*100</f>
        <v>0</v>
      </c>
      <c r="CI58" s="405">
        <f>'NKC2'!CM72*100</f>
        <v>0</v>
      </c>
    </row>
    <row r="59" spans="1:87" x14ac:dyDescent="0.45">
      <c r="A59" t="str">
        <f>'NKC2'!B73</f>
        <v>1.4.2</v>
      </c>
      <c r="B59" t="str">
        <f>'NKC2'!D73</f>
        <v xml:space="preserve">         งานลิฟท์</v>
      </c>
      <c r="C59" s="193">
        <f>'NKC2'!F73</f>
        <v>0</v>
      </c>
      <c r="D59" s="140" t="str">
        <f>'NKC2'!G71</f>
        <v>A</v>
      </c>
      <c r="E59" s="198">
        <f>'NKC2'!H73*100</f>
        <v>0</v>
      </c>
      <c r="F59" s="198">
        <f>'NKC2'!J73*100</f>
        <v>0</v>
      </c>
      <c r="G59" s="198">
        <f>'NKC2'!K73*100</f>
        <v>0</v>
      </c>
      <c r="H59" s="198">
        <f>'NKC2'!L73*100</f>
        <v>0</v>
      </c>
      <c r="I59" s="198">
        <f>'NKC2'!M73*100</f>
        <v>0</v>
      </c>
      <c r="J59" s="198">
        <f>'NKC2'!N73*100</f>
        <v>0</v>
      </c>
      <c r="K59" s="198">
        <f>'NKC2'!O73*100</f>
        <v>0</v>
      </c>
      <c r="L59" s="198">
        <f>'NKC2'!P73*100</f>
        <v>0</v>
      </c>
      <c r="M59" s="198">
        <f>'NKC2'!Q73*100</f>
        <v>0</v>
      </c>
      <c r="N59" s="198">
        <f>'NKC2'!R73*100</f>
        <v>0</v>
      </c>
      <c r="O59" s="198">
        <f>'NKC2'!S73*100</f>
        <v>0</v>
      </c>
      <c r="P59" s="198">
        <f>'NKC2'!T73*100</f>
        <v>0</v>
      </c>
      <c r="Q59" s="198">
        <f>'NKC2'!U73*100</f>
        <v>0</v>
      </c>
      <c r="R59" s="198">
        <f>'NKC2'!V73*100</f>
        <v>0</v>
      </c>
      <c r="S59" s="198">
        <f>'NKC2'!W73*100</f>
        <v>0</v>
      </c>
      <c r="T59" s="198">
        <f>'NKC2'!X73*100</f>
        <v>0</v>
      </c>
      <c r="U59" s="198">
        <f>'NKC2'!Y73*100</f>
        <v>0</v>
      </c>
      <c r="V59" s="198">
        <f>'NKC2'!Z73*100</f>
        <v>0</v>
      </c>
      <c r="W59" s="198">
        <f>'NKC2'!AA73*100</f>
        <v>0</v>
      </c>
      <c r="X59" s="198">
        <f>'NKC2'!AB73*100</f>
        <v>0</v>
      </c>
      <c r="Y59" s="198">
        <f>'NKC2'!AC73*100</f>
        <v>0</v>
      </c>
      <c r="Z59" s="198">
        <f>'NKC2'!AD73*100</f>
        <v>0</v>
      </c>
      <c r="AA59" s="198">
        <f>'NKC2'!AE73*100</f>
        <v>0</v>
      </c>
      <c r="AB59" s="198">
        <f>'NKC2'!AF73*100</f>
        <v>0</v>
      </c>
      <c r="AC59" s="198">
        <f>'NKC2'!AG73*100</f>
        <v>0</v>
      </c>
      <c r="AD59" s="198">
        <f>'NKC2'!AH73*100</f>
        <v>0</v>
      </c>
      <c r="AE59" s="198">
        <f>'NKC2'!AI73*100</f>
        <v>0</v>
      </c>
      <c r="AF59" s="198">
        <f>'NKC2'!AJ73*100</f>
        <v>0</v>
      </c>
      <c r="AG59" s="198">
        <f>'NKC2'!AK73*100</f>
        <v>0</v>
      </c>
      <c r="AH59" s="198">
        <f>'NKC2'!AL73*100</f>
        <v>0</v>
      </c>
      <c r="AI59" s="198">
        <f>'NKC2'!AM73*100</f>
        <v>0</v>
      </c>
      <c r="AJ59" s="198">
        <f>'NKC2'!AN73*100</f>
        <v>0</v>
      </c>
      <c r="AK59" s="198">
        <f>'NKC2'!AO73*100</f>
        <v>0</v>
      </c>
      <c r="AL59" s="198">
        <f>'NKC2'!AP73*100</f>
        <v>0</v>
      </c>
      <c r="AM59" s="198">
        <f>'NKC2'!AQ73*100</f>
        <v>0</v>
      </c>
      <c r="AN59" s="198">
        <f>'NKC2'!AR73*100</f>
        <v>0</v>
      </c>
      <c r="AO59" s="198">
        <f>'NKC2'!AS73*100</f>
        <v>0</v>
      </c>
      <c r="AP59" s="198">
        <f>'NKC2'!AT73*100</f>
        <v>0</v>
      </c>
      <c r="AQ59" s="198">
        <f>'NKC2'!AU73*100</f>
        <v>0</v>
      </c>
      <c r="AR59" s="198">
        <f>'NKC2'!AV73*100</f>
        <v>0</v>
      </c>
      <c r="AS59" s="198">
        <f>'NKC2'!AW73*100</f>
        <v>0</v>
      </c>
      <c r="AT59" s="198">
        <f>'NKC2'!AX73*100</f>
        <v>0</v>
      </c>
      <c r="AU59" s="198">
        <f>'NKC2'!AY73*100</f>
        <v>0</v>
      </c>
      <c r="AV59" s="198">
        <f>'NKC2'!AZ73*100</f>
        <v>0</v>
      </c>
      <c r="AW59" s="198">
        <f>'NKC2'!BA73*100</f>
        <v>0</v>
      </c>
      <c r="AX59" s="198">
        <f>'NKC2'!BB73*100</f>
        <v>0</v>
      </c>
      <c r="AY59" s="198">
        <f>'NKC2'!BC73*100</f>
        <v>0</v>
      </c>
      <c r="AZ59" s="198">
        <f>'NKC2'!BD73*100</f>
        <v>0</v>
      </c>
      <c r="BA59" s="198">
        <f>'NKC2'!BE73*100</f>
        <v>0</v>
      </c>
      <c r="BB59" s="198">
        <f>'NKC2'!BF73*100</f>
        <v>0</v>
      </c>
      <c r="BC59" s="198">
        <f>'NKC2'!BG73*100</f>
        <v>0</v>
      </c>
      <c r="BD59" s="198">
        <f>'NKC2'!BH73*100</f>
        <v>0</v>
      </c>
      <c r="BE59" s="198">
        <f>'NKC2'!BI73*100</f>
        <v>0</v>
      </c>
      <c r="BF59" s="198">
        <f>'NKC2'!BJ73*100</f>
        <v>0</v>
      </c>
      <c r="BG59" s="198">
        <f>'NKC2'!BK73*100</f>
        <v>0</v>
      </c>
      <c r="BH59" s="198">
        <f>'NKC2'!BL73*100</f>
        <v>0</v>
      </c>
      <c r="BI59" s="198">
        <f>'NKC2'!BM73*100</f>
        <v>0</v>
      </c>
      <c r="BJ59" s="198">
        <f>'NKC2'!BN73*100</f>
        <v>0</v>
      </c>
      <c r="BK59" s="198">
        <f>'NKC2'!BO73*100</f>
        <v>0</v>
      </c>
      <c r="BL59" s="198">
        <f>'NKC2'!BP73*100</f>
        <v>0</v>
      </c>
      <c r="BM59" s="198">
        <f>'NKC2'!BQ73*100</f>
        <v>0</v>
      </c>
      <c r="BN59" s="198">
        <f>'NKC2'!BR73*100</f>
        <v>0</v>
      </c>
      <c r="BO59" s="198">
        <f>'NKC2'!BS73*100</f>
        <v>0</v>
      </c>
      <c r="BP59" s="198">
        <f>'NKC2'!BT73*100</f>
        <v>0</v>
      </c>
      <c r="BQ59" s="198">
        <f>'NKC2'!BU73*100</f>
        <v>0</v>
      </c>
      <c r="BR59" s="198">
        <f>'NKC2'!BV73*100</f>
        <v>0</v>
      </c>
      <c r="BS59" s="198">
        <f>'NKC2'!BW73*100</f>
        <v>0</v>
      </c>
      <c r="BT59" s="198">
        <f>'NKC2'!BX73*100</f>
        <v>0</v>
      </c>
      <c r="BU59" s="198">
        <f>'NKC2'!BY73*100</f>
        <v>0</v>
      </c>
      <c r="BV59" s="198">
        <f>'NKC2'!BZ73*100</f>
        <v>0</v>
      </c>
      <c r="BW59" s="198">
        <f>'NKC2'!CA73*100</f>
        <v>0</v>
      </c>
      <c r="BX59" s="198">
        <f>'NKC2'!CB73*100</f>
        <v>0</v>
      </c>
      <c r="BY59" s="198">
        <f>'NKC2'!CC73*100</f>
        <v>0</v>
      </c>
      <c r="BZ59" s="198">
        <f>'NKC2'!CD73*100</f>
        <v>0</v>
      </c>
      <c r="CA59" s="198">
        <f>'NKC2'!CE73*100</f>
        <v>0</v>
      </c>
      <c r="CB59" s="198">
        <f>'NKC2'!CF73*100</f>
        <v>0</v>
      </c>
      <c r="CC59" s="198">
        <f>'NKC2'!CG73*100</f>
        <v>0</v>
      </c>
      <c r="CD59" s="198">
        <f>'NKC2'!CH73*100</f>
        <v>0</v>
      </c>
      <c r="CE59" s="198">
        <f>'NKC2'!CI73*100</f>
        <v>0</v>
      </c>
      <c r="CF59" s="198">
        <f>'NKC2'!CJ73*100</f>
        <v>0</v>
      </c>
      <c r="CG59" s="198">
        <f>'NKC2'!CK73*100</f>
        <v>0</v>
      </c>
      <c r="CH59" s="198">
        <f>'NKC2'!CL73*100</f>
        <v>0</v>
      </c>
      <c r="CI59" s="198">
        <f>'NKC2'!CM73*100</f>
        <v>0</v>
      </c>
    </row>
    <row r="60" spans="1:87" x14ac:dyDescent="0.45">
      <c r="A60" s="403" t="str">
        <f>'NKC2'!B74</f>
        <v>1.4.3</v>
      </c>
      <c r="B60" s="403" t="str">
        <f>'NKC2'!D74</f>
        <v xml:space="preserve">         งานเก็บ Finishing บันได คสล. เดิม</v>
      </c>
      <c r="C60" s="404">
        <f>'NKC2'!F74</f>
        <v>3065369.6835999996</v>
      </c>
      <c r="D60" s="407" t="str">
        <f>'NKC2'!G72</f>
        <v>P</v>
      </c>
      <c r="E60" s="405">
        <f>'NKC2'!H74*100</f>
        <v>100.00000000000003</v>
      </c>
      <c r="F60" s="405">
        <f>'NKC2'!J74*100</f>
        <v>0</v>
      </c>
      <c r="G60" s="405">
        <f>'NKC2'!K74*100</f>
        <v>0</v>
      </c>
      <c r="H60" s="405">
        <f>'NKC2'!L74*100</f>
        <v>0</v>
      </c>
      <c r="I60" s="405">
        <f>'NKC2'!M74*100</f>
        <v>0</v>
      </c>
      <c r="J60" s="405">
        <f>'NKC2'!N74*100</f>
        <v>0</v>
      </c>
      <c r="K60" s="405">
        <f>'NKC2'!O74*100</f>
        <v>0</v>
      </c>
      <c r="L60" s="405">
        <f>'NKC2'!P74*100</f>
        <v>0</v>
      </c>
      <c r="M60" s="405">
        <f>'NKC2'!Q74*100</f>
        <v>0</v>
      </c>
      <c r="N60" s="405">
        <f>'NKC2'!R74*100</f>
        <v>0</v>
      </c>
      <c r="O60" s="405">
        <f>'NKC2'!S74*100</f>
        <v>0</v>
      </c>
      <c r="P60" s="405">
        <f>'NKC2'!T74*100</f>
        <v>0</v>
      </c>
      <c r="Q60" s="405">
        <f>'NKC2'!U74*100</f>
        <v>0</v>
      </c>
      <c r="R60" s="405">
        <f>'NKC2'!V74*100</f>
        <v>0</v>
      </c>
      <c r="S60" s="405">
        <f>'NKC2'!W74*100</f>
        <v>0</v>
      </c>
      <c r="T60" s="405">
        <f>'NKC2'!X74*100</f>
        <v>0</v>
      </c>
      <c r="U60" s="405">
        <f>'NKC2'!Y74*100</f>
        <v>0</v>
      </c>
      <c r="V60" s="405">
        <f>'NKC2'!Z74*100</f>
        <v>0</v>
      </c>
      <c r="W60" s="405">
        <f>'NKC2'!AA74*100</f>
        <v>0</v>
      </c>
      <c r="X60" s="405">
        <f>'NKC2'!AB74*100</f>
        <v>0</v>
      </c>
      <c r="Y60" s="405">
        <f>'NKC2'!AC74*100</f>
        <v>0</v>
      </c>
      <c r="Z60" s="405">
        <f>'NKC2'!AD74*100</f>
        <v>0</v>
      </c>
      <c r="AA60" s="405">
        <f>'NKC2'!AE74*100</f>
        <v>5</v>
      </c>
      <c r="AB60" s="405">
        <f>'NKC2'!AF74*100</f>
        <v>5</v>
      </c>
      <c r="AC60" s="405">
        <f>'NKC2'!AG74*100</f>
        <v>5</v>
      </c>
      <c r="AD60" s="405">
        <f>'NKC2'!AH74*100</f>
        <v>5</v>
      </c>
      <c r="AE60" s="405">
        <f>'NKC2'!AI74*100</f>
        <v>10</v>
      </c>
      <c r="AF60" s="405">
        <f>'NKC2'!AJ74*100</f>
        <v>10</v>
      </c>
      <c r="AG60" s="405">
        <f>'NKC2'!AK74*100</f>
        <v>15</v>
      </c>
      <c r="AH60" s="405">
        <f>'NKC2'!AL74*100</f>
        <v>15</v>
      </c>
      <c r="AI60" s="405">
        <f>'NKC2'!AM74*100</f>
        <v>10</v>
      </c>
      <c r="AJ60" s="405">
        <f>'NKC2'!AN74*100</f>
        <v>5</v>
      </c>
      <c r="AK60" s="405">
        <f>'NKC2'!AO74*100</f>
        <v>5</v>
      </c>
      <c r="AL60" s="405">
        <f>'NKC2'!AP74*100</f>
        <v>5</v>
      </c>
      <c r="AM60" s="405">
        <f>'NKC2'!AQ74*100</f>
        <v>5</v>
      </c>
      <c r="AN60" s="405">
        <f>'NKC2'!AR74*100</f>
        <v>0</v>
      </c>
      <c r="AO60" s="405">
        <f>'NKC2'!AS74*100</f>
        <v>0</v>
      </c>
      <c r="AP60" s="405">
        <f>'NKC2'!AT74*100</f>
        <v>0</v>
      </c>
      <c r="AQ60" s="405">
        <f>'NKC2'!AU74*100</f>
        <v>0</v>
      </c>
      <c r="AR60" s="405">
        <f>'NKC2'!AV74*100</f>
        <v>0</v>
      </c>
      <c r="AS60" s="405">
        <f>'NKC2'!AW74*100</f>
        <v>0</v>
      </c>
      <c r="AT60" s="405">
        <f>'NKC2'!AX74*100</f>
        <v>0</v>
      </c>
      <c r="AU60" s="405">
        <f>'NKC2'!AY74*100</f>
        <v>0</v>
      </c>
      <c r="AV60" s="405">
        <f>'NKC2'!AZ74*100</f>
        <v>0</v>
      </c>
      <c r="AW60" s="405">
        <f>'NKC2'!BA74*100</f>
        <v>0</v>
      </c>
      <c r="AX60" s="405">
        <f>'NKC2'!BB74*100</f>
        <v>0</v>
      </c>
      <c r="AY60" s="405">
        <f>'NKC2'!BC74*100</f>
        <v>0</v>
      </c>
      <c r="AZ60" s="405">
        <f>'NKC2'!BD74*100</f>
        <v>0</v>
      </c>
      <c r="BA60" s="405">
        <f>'NKC2'!BE74*100</f>
        <v>0</v>
      </c>
      <c r="BB60" s="405">
        <f>'NKC2'!BF74*100</f>
        <v>0</v>
      </c>
      <c r="BC60" s="405">
        <f>'NKC2'!BG74*100</f>
        <v>0</v>
      </c>
      <c r="BD60" s="405">
        <f>'NKC2'!BH74*100</f>
        <v>0</v>
      </c>
      <c r="BE60" s="405">
        <f>'NKC2'!BI74*100</f>
        <v>0</v>
      </c>
      <c r="BF60" s="405">
        <f>'NKC2'!BJ74*100</f>
        <v>0</v>
      </c>
      <c r="BG60" s="405">
        <f>'NKC2'!BK74*100</f>
        <v>0</v>
      </c>
      <c r="BH60" s="405">
        <f>'NKC2'!BL74*100</f>
        <v>0</v>
      </c>
      <c r="BI60" s="405">
        <f>'NKC2'!BM74*100</f>
        <v>0</v>
      </c>
      <c r="BJ60" s="405">
        <f>'NKC2'!BN74*100</f>
        <v>0</v>
      </c>
      <c r="BK60" s="405">
        <f>'NKC2'!BO74*100</f>
        <v>0</v>
      </c>
      <c r="BL60" s="405">
        <f>'NKC2'!BP74*100</f>
        <v>0</v>
      </c>
      <c r="BM60" s="405">
        <f>'NKC2'!BQ74*100</f>
        <v>0</v>
      </c>
      <c r="BN60" s="405">
        <f>'NKC2'!BR74*100</f>
        <v>0</v>
      </c>
      <c r="BO60" s="405">
        <f>'NKC2'!BS74*100</f>
        <v>0</v>
      </c>
      <c r="BP60" s="405">
        <f>'NKC2'!BT74*100</f>
        <v>0</v>
      </c>
      <c r="BQ60" s="405">
        <f>'NKC2'!BU74*100</f>
        <v>0</v>
      </c>
      <c r="BR60" s="405">
        <f>'NKC2'!BV74*100</f>
        <v>0</v>
      </c>
      <c r="BS60" s="405">
        <f>'NKC2'!BW74*100</f>
        <v>0</v>
      </c>
      <c r="BT60" s="405">
        <f>'NKC2'!BX74*100</f>
        <v>0</v>
      </c>
      <c r="BU60" s="405">
        <f>'NKC2'!BY74*100</f>
        <v>0</v>
      </c>
      <c r="BV60" s="405">
        <f>'NKC2'!BZ74*100</f>
        <v>0</v>
      </c>
      <c r="BW60" s="405">
        <f>'NKC2'!CA74*100</f>
        <v>0</v>
      </c>
      <c r="BX60" s="405">
        <f>'NKC2'!CB74*100</f>
        <v>0</v>
      </c>
      <c r="BY60" s="405">
        <f>'NKC2'!CC74*100</f>
        <v>0</v>
      </c>
      <c r="BZ60" s="405">
        <f>'NKC2'!CD74*100</f>
        <v>0</v>
      </c>
      <c r="CA60" s="405">
        <f>'NKC2'!CE74*100</f>
        <v>0</v>
      </c>
      <c r="CB60" s="405">
        <f>'NKC2'!CF74*100</f>
        <v>0</v>
      </c>
      <c r="CC60" s="405">
        <f>'NKC2'!CG74*100</f>
        <v>0</v>
      </c>
      <c r="CD60" s="405">
        <f>'NKC2'!CH74*100</f>
        <v>0</v>
      </c>
      <c r="CE60" s="405">
        <f>'NKC2'!CI74*100</f>
        <v>0</v>
      </c>
      <c r="CF60" s="405">
        <f>'NKC2'!CJ74*100</f>
        <v>0</v>
      </c>
      <c r="CG60" s="405">
        <f>'NKC2'!CK74*100</f>
        <v>0</v>
      </c>
      <c r="CH60" s="405">
        <f>'NKC2'!CL74*100</f>
        <v>0</v>
      </c>
      <c r="CI60" s="405">
        <f>'NKC2'!CM74*100</f>
        <v>0</v>
      </c>
    </row>
    <row r="61" spans="1:87" x14ac:dyDescent="0.45">
      <c r="A61" t="str">
        <f>'NKC2'!B75</f>
        <v>1.4.3</v>
      </c>
      <c r="B61" t="str">
        <f>'NKC2'!D75</f>
        <v xml:space="preserve">         งานเก็บ Finishing บันได คสล. เดิม</v>
      </c>
      <c r="C61" s="193">
        <f>'NKC2'!F75</f>
        <v>3065369.6835999996</v>
      </c>
      <c r="D61" s="140" t="str">
        <f>'NKC2'!G73</f>
        <v>A</v>
      </c>
      <c r="E61" s="198">
        <f>'NKC2'!H75*100</f>
        <v>0</v>
      </c>
      <c r="F61" s="198">
        <f>'NKC2'!J75*100</f>
        <v>0</v>
      </c>
      <c r="G61" s="198">
        <f>'NKC2'!K75*100</f>
        <v>0</v>
      </c>
      <c r="H61" s="198">
        <f>'NKC2'!L75*100</f>
        <v>0</v>
      </c>
      <c r="I61" s="198">
        <f>'NKC2'!M75*100</f>
        <v>0</v>
      </c>
      <c r="J61" s="198">
        <f>'NKC2'!N75*100</f>
        <v>0</v>
      </c>
      <c r="K61" s="198">
        <f>'NKC2'!O75*100</f>
        <v>0</v>
      </c>
      <c r="L61" s="198">
        <f>'NKC2'!P75*100</f>
        <v>0</v>
      </c>
      <c r="M61" s="198">
        <f>'NKC2'!Q75*100</f>
        <v>0</v>
      </c>
      <c r="N61" s="198">
        <f>'NKC2'!R75*100</f>
        <v>0</v>
      </c>
      <c r="O61" s="198">
        <f>'NKC2'!S75*100</f>
        <v>0</v>
      </c>
      <c r="P61" s="198">
        <f>'NKC2'!T75*100</f>
        <v>0</v>
      </c>
      <c r="Q61" s="198">
        <f>'NKC2'!U75*100</f>
        <v>0</v>
      </c>
      <c r="R61" s="198">
        <f>'NKC2'!V75*100</f>
        <v>0</v>
      </c>
      <c r="S61" s="198">
        <f>'NKC2'!W75*100</f>
        <v>0</v>
      </c>
      <c r="T61" s="198">
        <f>'NKC2'!X75*100</f>
        <v>0</v>
      </c>
      <c r="U61" s="198">
        <f>'NKC2'!Y75*100</f>
        <v>0</v>
      </c>
      <c r="V61" s="198">
        <f>'NKC2'!Z75*100</f>
        <v>0</v>
      </c>
      <c r="W61" s="198">
        <f>'NKC2'!AA75*100</f>
        <v>0</v>
      </c>
      <c r="X61" s="198">
        <f>'NKC2'!AB75*100</f>
        <v>0</v>
      </c>
      <c r="Y61" s="198">
        <f>'NKC2'!AC75*100</f>
        <v>0</v>
      </c>
      <c r="Z61" s="198">
        <f>'NKC2'!AD75*100</f>
        <v>0</v>
      </c>
      <c r="AA61" s="198">
        <f>'NKC2'!AE75*100</f>
        <v>0</v>
      </c>
      <c r="AB61" s="198">
        <f>'NKC2'!AF75*100</f>
        <v>0</v>
      </c>
      <c r="AC61" s="198">
        <f>'NKC2'!AG75*100</f>
        <v>0</v>
      </c>
      <c r="AD61" s="198">
        <f>'NKC2'!AH75*100</f>
        <v>0</v>
      </c>
      <c r="AE61" s="198">
        <f>'NKC2'!AI75*100</f>
        <v>0</v>
      </c>
      <c r="AF61" s="198">
        <f>'NKC2'!AJ75*100</f>
        <v>0</v>
      </c>
      <c r="AG61" s="198">
        <f>'NKC2'!AK75*100</f>
        <v>0</v>
      </c>
      <c r="AH61" s="198">
        <f>'NKC2'!AL75*100</f>
        <v>0</v>
      </c>
      <c r="AI61" s="198">
        <f>'NKC2'!AM75*100</f>
        <v>0</v>
      </c>
      <c r="AJ61" s="198">
        <f>'NKC2'!AN75*100</f>
        <v>0</v>
      </c>
      <c r="AK61" s="198">
        <f>'NKC2'!AO75*100</f>
        <v>0</v>
      </c>
      <c r="AL61" s="198">
        <f>'NKC2'!AP75*100</f>
        <v>0</v>
      </c>
      <c r="AM61" s="198">
        <f>'NKC2'!AQ75*100</f>
        <v>0</v>
      </c>
      <c r="AN61" s="198">
        <f>'NKC2'!AR75*100</f>
        <v>0</v>
      </c>
      <c r="AO61" s="198">
        <f>'NKC2'!AS75*100</f>
        <v>0</v>
      </c>
      <c r="AP61" s="198">
        <f>'NKC2'!AT75*100</f>
        <v>0</v>
      </c>
      <c r="AQ61" s="198">
        <f>'NKC2'!AU75*100</f>
        <v>0</v>
      </c>
      <c r="AR61" s="198">
        <f>'NKC2'!AV75*100</f>
        <v>0</v>
      </c>
      <c r="AS61" s="198">
        <f>'NKC2'!AW75*100</f>
        <v>0</v>
      </c>
      <c r="AT61" s="198">
        <f>'NKC2'!AX75*100</f>
        <v>0</v>
      </c>
      <c r="AU61" s="198">
        <f>'NKC2'!AY75*100</f>
        <v>0</v>
      </c>
      <c r="AV61" s="198">
        <f>'NKC2'!AZ75*100</f>
        <v>0</v>
      </c>
      <c r="AW61" s="198">
        <f>'NKC2'!BA75*100</f>
        <v>0</v>
      </c>
      <c r="AX61" s="198">
        <f>'NKC2'!BB75*100</f>
        <v>0</v>
      </c>
      <c r="AY61" s="198">
        <f>'NKC2'!BC75*100</f>
        <v>0</v>
      </c>
      <c r="AZ61" s="198">
        <f>'NKC2'!BD75*100</f>
        <v>0</v>
      </c>
      <c r="BA61" s="198">
        <f>'NKC2'!BE75*100</f>
        <v>0</v>
      </c>
      <c r="BB61" s="198">
        <f>'NKC2'!BF75*100</f>
        <v>0</v>
      </c>
      <c r="BC61" s="198">
        <f>'NKC2'!BG75*100</f>
        <v>0</v>
      </c>
      <c r="BD61" s="198">
        <f>'NKC2'!BH75*100</f>
        <v>0</v>
      </c>
      <c r="BE61" s="198">
        <f>'NKC2'!BI75*100</f>
        <v>0</v>
      </c>
      <c r="BF61" s="198">
        <f>'NKC2'!BJ75*100</f>
        <v>0</v>
      </c>
      <c r="BG61" s="198">
        <f>'NKC2'!BK75*100</f>
        <v>0</v>
      </c>
      <c r="BH61" s="198">
        <f>'NKC2'!BL75*100</f>
        <v>0</v>
      </c>
      <c r="BI61" s="198">
        <f>'NKC2'!BM75*100</f>
        <v>0</v>
      </c>
      <c r="BJ61" s="198">
        <f>'NKC2'!BN75*100</f>
        <v>0</v>
      </c>
      <c r="BK61" s="198">
        <f>'NKC2'!BO75*100</f>
        <v>0</v>
      </c>
      <c r="BL61" s="198">
        <f>'NKC2'!BP75*100</f>
        <v>0</v>
      </c>
      <c r="BM61" s="198">
        <f>'NKC2'!BQ75*100</f>
        <v>0</v>
      </c>
      <c r="BN61" s="198">
        <f>'NKC2'!BR75*100</f>
        <v>0</v>
      </c>
      <c r="BO61" s="198">
        <f>'NKC2'!BS75*100</f>
        <v>0</v>
      </c>
      <c r="BP61" s="198">
        <f>'NKC2'!BT75*100</f>
        <v>0</v>
      </c>
      <c r="BQ61" s="198">
        <f>'NKC2'!BU75*100</f>
        <v>0</v>
      </c>
      <c r="BR61" s="198">
        <f>'NKC2'!BV75*100</f>
        <v>0</v>
      </c>
      <c r="BS61" s="198">
        <f>'NKC2'!BW75*100</f>
        <v>0</v>
      </c>
      <c r="BT61" s="198">
        <f>'NKC2'!BX75*100</f>
        <v>0</v>
      </c>
      <c r="BU61" s="198">
        <f>'NKC2'!BY75*100</f>
        <v>0</v>
      </c>
      <c r="BV61" s="198">
        <f>'NKC2'!BZ75*100</f>
        <v>0</v>
      </c>
      <c r="BW61" s="198">
        <f>'NKC2'!CA75*100</f>
        <v>0</v>
      </c>
      <c r="BX61" s="198">
        <f>'NKC2'!CB75*100</f>
        <v>0</v>
      </c>
      <c r="BY61" s="198">
        <f>'NKC2'!CC75*100</f>
        <v>0</v>
      </c>
      <c r="BZ61" s="198">
        <f>'NKC2'!CD75*100</f>
        <v>0</v>
      </c>
      <c r="CA61" s="198">
        <f>'NKC2'!CE75*100</f>
        <v>0</v>
      </c>
      <c r="CB61" s="198">
        <f>'NKC2'!CF75*100</f>
        <v>0</v>
      </c>
      <c r="CC61" s="198">
        <f>'NKC2'!CG75*100</f>
        <v>0</v>
      </c>
      <c r="CD61" s="198">
        <f>'NKC2'!CH75*100</f>
        <v>0</v>
      </c>
      <c r="CE61" s="198">
        <f>'NKC2'!CI75*100</f>
        <v>0</v>
      </c>
      <c r="CF61" s="198">
        <f>'NKC2'!CJ75*100</f>
        <v>0</v>
      </c>
      <c r="CG61" s="198">
        <f>'NKC2'!CK75*100</f>
        <v>0</v>
      </c>
      <c r="CH61" s="198">
        <f>'NKC2'!CL75*100</f>
        <v>0</v>
      </c>
      <c r="CI61" s="198">
        <f>'NKC2'!CM75*100</f>
        <v>0</v>
      </c>
    </row>
    <row r="62" spans="1:87" x14ac:dyDescent="0.45">
      <c r="A62" s="403" t="str">
        <f>'NKC2'!B76</f>
        <v>1.4.4</v>
      </c>
      <c r="B62" s="403" t="str">
        <f>'NKC2'!D76</f>
        <v xml:space="preserve">         งานสถาปัตยกรรมภายในและงาน BUILT-IN</v>
      </c>
      <c r="C62" s="404">
        <f>'NKC2'!F76</f>
        <v>6237853.8786000004</v>
      </c>
      <c r="D62" s="407" t="str">
        <f>'NKC2'!G74</f>
        <v>P</v>
      </c>
      <c r="E62" s="405">
        <f>'NKC2'!H76*100</f>
        <v>99.999999999999986</v>
      </c>
      <c r="F62" s="405">
        <f>'NKC2'!J76*100</f>
        <v>0</v>
      </c>
      <c r="G62" s="405">
        <f>'NKC2'!K76*100</f>
        <v>0</v>
      </c>
      <c r="H62" s="405">
        <f>'NKC2'!L76*100</f>
        <v>0</v>
      </c>
      <c r="I62" s="405">
        <f>'NKC2'!M76*100</f>
        <v>0</v>
      </c>
      <c r="J62" s="405">
        <f>'NKC2'!N76*100</f>
        <v>0</v>
      </c>
      <c r="K62" s="405">
        <f>'NKC2'!O76*100</f>
        <v>0</v>
      </c>
      <c r="L62" s="405">
        <f>'NKC2'!P76*100</f>
        <v>0</v>
      </c>
      <c r="M62" s="405">
        <f>'NKC2'!Q76*100</f>
        <v>0</v>
      </c>
      <c r="N62" s="405">
        <f>'NKC2'!R76*100</f>
        <v>0</v>
      </c>
      <c r="O62" s="405">
        <f>'NKC2'!S76*100</f>
        <v>0</v>
      </c>
      <c r="P62" s="405">
        <f>'NKC2'!T76*100</f>
        <v>0</v>
      </c>
      <c r="Q62" s="405">
        <f>'NKC2'!U76*100</f>
        <v>0</v>
      </c>
      <c r="R62" s="405">
        <f>'NKC2'!V76*100</f>
        <v>0</v>
      </c>
      <c r="S62" s="405">
        <f>'NKC2'!W76*100</f>
        <v>0</v>
      </c>
      <c r="T62" s="405">
        <f>'NKC2'!X76*100</f>
        <v>0</v>
      </c>
      <c r="U62" s="405">
        <f>'NKC2'!Y76*100</f>
        <v>0</v>
      </c>
      <c r="V62" s="405">
        <f>'NKC2'!Z76*100</f>
        <v>0</v>
      </c>
      <c r="W62" s="405">
        <f>'NKC2'!AA76*100</f>
        <v>0</v>
      </c>
      <c r="X62" s="405">
        <f>'NKC2'!AB76*100</f>
        <v>0</v>
      </c>
      <c r="Y62" s="405">
        <f>'NKC2'!AC76*100</f>
        <v>0</v>
      </c>
      <c r="Z62" s="405">
        <f>'NKC2'!AD76*100</f>
        <v>0</v>
      </c>
      <c r="AA62" s="405">
        <f>'NKC2'!AE76*100</f>
        <v>0</v>
      </c>
      <c r="AB62" s="405">
        <f>'NKC2'!AF76*100</f>
        <v>0</v>
      </c>
      <c r="AC62" s="405">
        <f>'NKC2'!AG76*100</f>
        <v>0</v>
      </c>
      <c r="AD62" s="405">
        <f>'NKC2'!AH76*100</f>
        <v>0</v>
      </c>
      <c r="AE62" s="405">
        <f>'NKC2'!AI76*100</f>
        <v>0</v>
      </c>
      <c r="AF62" s="405">
        <f>'NKC2'!AJ76*100</f>
        <v>4</v>
      </c>
      <c r="AG62" s="405">
        <f>'NKC2'!AK76*100</f>
        <v>4</v>
      </c>
      <c r="AH62" s="405">
        <f>'NKC2'!AL76*100</f>
        <v>4</v>
      </c>
      <c r="AI62" s="405">
        <f>'NKC2'!AM76*100</f>
        <v>4</v>
      </c>
      <c r="AJ62" s="405">
        <f>'NKC2'!AN76*100</f>
        <v>10</v>
      </c>
      <c r="AK62" s="405">
        <f>'NKC2'!AO76*100</f>
        <v>10</v>
      </c>
      <c r="AL62" s="405">
        <f>'NKC2'!AP76*100</f>
        <v>10</v>
      </c>
      <c r="AM62" s="405">
        <f>'NKC2'!AQ76*100</f>
        <v>10</v>
      </c>
      <c r="AN62" s="405">
        <f>'NKC2'!AR76*100</f>
        <v>9</v>
      </c>
      <c r="AO62" s="405">
        <f>'NKC2'!AS76*100</f>
        <v>9</v>
      </c>
      <c r="AP62" s="405">
        <f>'NKC2'!AT76*100</f>
        <v>8</v>
      </c>
      <c r="AQ62" s="405">
        <f>'NKC2'!AU76*100</f>
        <v>8</v>
      </c>
      <c r="AR62" s="405">
        <f>'NKC2'!AV76*100</f>
        <v>4</v>
      </c>
      <c r="AS62" s="405">
        <f>'NKC2'!AW76*100</f>
        <v>2</v>
      </c>
      <c r="AT62" s="405">
        <f>'NKC2'!AX76*100</f>
        <v>2</v>
      </c>
      <c r="AU62" s="405">
        <f>'NKC2'!AY76*100</f>
        <v>2</v>
      </c>
      <c r="AV62" s="405">
        <f>'NKC2'!AZ76*100</f>
        <v>0</v>
      </c>
      <c r="AW62" s="405">
        <f>'NKC2'!BA76*100</f>
        <v>0</v>
      </c>
      <c r="AX62" s="405">
        <f>'NKC2'!BB76*100</f>
        <v>0</v>
      </c>
      <c r="AY62" s="405">
        <f>'NKC2'!BC76*100</f>
        <v>0</v>
      </c>
      <c r="AZ62" s="405">
        <f>'NKC2'!BD76*100</f>
        <v>0</v>
      </c>
      <c r="BA62" s="405">
        <f>'NKC2'!BE76*100</f>
        <v>0</v>
      </c>
      <c r="BB62" s="405">
        <f>'NKC2'!BF76*100</f>
        <v>0</v>
      </c>
      <c r="BC62" s="405">
        <f>'NKC2'!BG76*100</f>
        <v>0</v>
      </c>
      <c r="BD62" s="405">
        <f>'NKC2'!BH76*100</f>
        <v>0</v>
      </c>
      <c r="BE62" s="405">
        <f>'NKC2'!BI76*100</f>
        <v>0</v>
      </c>
      <c r="BF62" s="405">
        <f>'NKC2'!BJ76*100</f>
        <v>0</v>
      </c>
      <c r="BG62" s="405">
        <f>'NKC2'!BK76*100</f>
        <v>0</v>
      </c>
      <c r="BH62" s="405">
        <f>'NKC2'!BL76*100</f>
        <v>0</v>
      </c>
      <c r="BI62" s="405">
        <f>'NKC2'!BM76*100</f>
        <v>0</v>
      </c>
      <c r="BJ62" s="405">
        <f>'NKC2'!BN76*100</f>
        <v>0</v>
      </c>
      <c r="BK62" s="405">
        <f>'NKC2'!BO76*100</f>
        <v>0</v>
      </c>
      <c r="BL62" s="405">
        <f>'NKC2'!BP76*100</f>
        <v>0</v>
      </c>
      <c r="BM62" s="405">
        <f>'NKC2'!BQ76*100</f>
        <v>0</v>
      </c>
      <c r="BN62" s="405">
        <f>'NKC2'!BR76*100</f>
        <v>0</v>
      </c>
      <c r="BO62" s="405">
        <f>'NKC2'!BS76*100</f>
        <v>0</v>
      </c>
      <c r="BP62" s="405">
        <f>'NKC2'!BT76*100</f>
        <v>0</v>
      </c>
      <c r="BQ62" s="405">
        <f>'NKC2'!BU76*100</f>
        <v>0</v>
      </c>
      <c r="BR62" s="405">
        <f>'NKC2'!BV76*100</f>
        <v>0</v>
      </c>
      <c r="BS62" s="405">
        <f>'NKC2'!BW76*100</f>
        <v>0</v>
      </c>
      <c r="BT62" s="405">
        <f>'NKC2'!BX76*100</f>
        <v>0</v>
      </c>
      <c r="BU62" s="405">
        <f>'NKC2'!BY76*100</f>
        <v>0</v>
      </c>
      <c r="BV62" s="405">
        <f>'NKC2'!BZ76*100</f>
        <v>0</v>
      </c>
      <c r="BW62" s="405">
        <f>'NKC2'!CA76*100</f>
        <v>0</v>
      </c>
      <c r="BX62" s="405">
        <f>'NKC2'!CB76*100</f>
        <v>0</v>
      </c>
      <c r="BY62" s="405">
        <f>'NKC2'!CC76*100</f>
        <v>0</v>
      </c>
      <c r="BZ62" s="405">
        <f>'NKC2'!CD76*100</f>
        <v>0</v>
      </c>
      <c r="CA62" s="405">
        <f>'NKC2'!CE76*100</f>
        <v>0</v>
      </c>
      <c r="CB62" s="405">
        <f>'NKC2'!CF76*100</f>
        <v>0</v>
      </c>
      <c r="CC62" s="405">
        <f>'NKC2'!CG76*100</f>
        <v>0</v>
      </c>
      <c r="CD62" s="405">
        <f>'NKC2'!CH76*100</f>
        <v>0</v>
      </c>
      <c r="CE62" s="405">
        <f>'NKC2'!CI76*100</f>
        <v>0</v>
      </c>
      <c r="CF62" s="405">
        <f>'NKC2'!CJ76*100</f>
        <v>0</v>
      </c>
      <c r="CG62" s="405">
        <f>'NKC2'!CK76*100</f>
        <v>0</v>
      </c>
      <c r="CH62" s="405">
        <f>'NKC2'!CL76*100</f>
        <v>0</v>
      </c>
      <c r="CI62" s="405">
        <f>'NKC2'!CM76*100</f>
        <v>0</v>
      </c>
    </row>
    <row r="63" spans="1:87" x14ac:dyDescent="0.45">
      <c r="A63" t="str">
        <f>'NKC2'!B77</f>
        <v>1.4.4</v>
      </c>
      <c r="B63" t="str">
        <f>'NKC2'!D77</f>
        <v xml:space="preserve">         งานสถาปัตยกรรมภายในและงาน BUILT-IN</v>
      </c>
      <c r="C63" s="193">
        <f>'NKC2'!F77</f>
        <v>6237853.8786000004</v>
      </c>
      <c r="D63" s="140" t="str">
        <f>'NKC2'!G75</f>
        <v>A</v>
      </c>
      <c r="E63" s="198">
        <f>'NKC2'!H77*100</f>
        <v>0</v>
      </c>
      <c r="F63" s="198">
        <f>'NKC2'!J77*100</f>
        <v>0</v>
      </c>
      <c r="G63" s="198">
        <f>'NKC2'!K77*100</f>
        <v>0</v>
      </c>
      <c r="H63" s="198">
        <f>'NKC2'!L77*100</f>
        <v>0</v>
      </c>
      <c r="I63" s="198">
        <f>'NKC2'!M77*100</f>
        <v>0</v>
      </c>
      <c r="J63" s="198">
        <f>'NKC2'!N77*100</f>
        <v>0</v>
      </c>
      <c r="K63" s="198">
        <f>'NKC2'!O77*100</f>
        <v>0</v>
      </c>
      <c r="L63" s="198">
        <f>'NKC2'!P77*100</f>
        <v>0</v>
      </c>
      <c r="M63" s="198">
        <f>'NKC2'!Q77*100</f>
        <v>0</v>
      </c>
      <c r="N63" s="198">
        <f>'NKC2'!R77*100</f>
        <v>0</v>
      </c>
      <c r="O63" s="198">
        <f>'NKC2'!S77*100</f>
        <v>0</v>
      </c>
      <c r="P63" s="198">
        <f>'NKC2'!T77*100</f>
        <v>0</v>
      </c>
      <c r="Q63" s="198">
        <f>'NKC2'!U77*100</f>
        <v>0</v>
      </c>
      <c r="R63" s="198">
        <f>'NKC2'!V77*100</f>
        <v>0</v>
      </c>
      <c r="S63" s="198">
        <f>'NKC2'!W77*100</f>
        <v>0</v>
      </c>
      <c r="T63" s="198">
        <f>'NKC2'!X77*100</f>
        <v>0</v>
      </c>
      <c r="U63" s="198">
        <f>'NKC2'!Y77*100</f>
        <v>0</v>
      </c>
      <c r="V63" s="198">
        <f>'NKC2'!Z77*100</f>
        <v>0</v>
      </c>
      <c r="W63" s="198">
        <f>'NKC2'!AA77*100</f>
        <v>0</v>
      </c>
      <c r="X63" s="198">
        <f>'NKC2'!AB77*100</f>
        <v>0</v>
      </c>
      <c r="Y63" s="198">
        <f>'NKC2'!AC77*100</f>
        <v>0</v>
      </c>
      <c r="Z63" s="198">
        <f>'NKC2'!AD77*100</f>
        <v>0</v>
      </c>
      <c r="AA63" s="198">
        <f>'NKC2'!AE77*100</f>
        <v>0</v>
      </c>
      <c r="AB63" s="198">
        <f>'NKC2'!AF77*100</f>
        <v>0</v>
      </c>
      <c r="AC63" s="198">
        <f>'NKC2'!AG77*100</f>
        <v>0</v>
      </c>
      <c r="AD63" s="198">
        <f>'NKC2'!AH77*100</f>
        <v>0</v>
      </c>
      <c r="AE63" s="198">
        <f>'NKC2'!AI77*100</f>
        <v>0</v>
      </c>
      <c r="AF63" s="198">
        <f>'NKC2'!AJ77*100</f>
        <v>0</v>
      </c>
      <c r="AG63" s="198">
        <f>'NKC2'!AK77*100</f>
        <v>0</v>
      </c>
      <c r="AH63" s="198">
        <f>'NKC2'!AL77*100</f>
        <v>0</v>
      </c>
      <c r="AI63" s="198">
        <f>'NKC2'!AM77*100</f>
        <v>0</v>
      </c>
      <c r="AJ63" s="198">
        <f>'NKC2'!AN77*100</f>
        <v>0</v>
      </c>
      <c r="AK63" s="198">
        <f>'NKC2'!AO77*100</f>
        <v>0</v>
      </c>
      <c r="AL63" s="198">
        <f>'NKC2'!AP77*100</f>
        <v>0</v>
      </c>
      <c r="AM63" s="198">
        <f>'NKC2'!AQ77*100</f>
        <v>0</v>
      </c>
      <c r="AN63" s="198">
        <f>'NKC2'!AR77*100</f>
        <v>0</v>
      </c>
      <c r="AO63" s="198">
        <f>'NKC2'!AS77*100</f>
        <v>0</v>
      </c>
      <c r="AP63" s="198">
        <f>'NKC2'!AT77*100</f>
        <v>0</v>
      </c>
      <c r="AQ63" s="198">
        <f>'NKC2'!AU77*100</f>
        <v>0</v>
      </c>
      <c r="AR63" s="198">
        <f>'NKC2'!AV77*100</f>
        <v>0</v>
      </c>
      <c r="AS63" s="198">
        <f>'NKC2'!AW77*100</f>
        <v>0</v>
      </c>
      <c r="AT63" s="198">
        <f>'NKC2'!AX77*100</f>
        <v>0</v>
      </c>
      <c r="AU63" s="198">
        <f>'NKC2'!AY77*100</f>
        <v>0</v>
      </c>
      <c r="AV63" s="198">
        <f>'NKC2'!AZ77*100</f>
        <v>0</v>
      </c>
      <c r="AW63" s="198">
        <f>'NKC2'!BA77*100</f>
        <v>0</v>
      </c>
      <c r="AX63" s="198">
        <f>'NKC2'!BB77*100</f>
        <v>0</v>
      </c>
      <c r="AY63" s="198">
        <f>'NKC2'!BC77*100</f>
        <v>0</v>
      </c>
      <c r="AZ63" s="198">
        <f>'NKC2'!BD77*100</f>
        <v>0</v>
      </c>
      <c r="BA63" s="198">
        <f>'NKC2'!BE77*100</f>
        <v>0</v>
      </c>
      <c r="BB63" s="198">
        <f>'NKC2'!BF77*100</f>
        <v>0</v>
      </c>
      <c r="BC63" s="198">
        <f>'NKC2'!BG77*100</f>
        <v>0</v>
      </c>
      <c r="BD63" s="198">
        <f>'NKC2'!BH77*100</f>
        <v>0</v>
      </c>
      <c r="BE63" s="198">
        <f>'NKC2'!BI77*100</f>
        <v>0</v>
      </c>
      <c r="BF63" s="198">
        <f>'NKC2'!BJ77*100</f>
        <v>0</v>
      </c>
      <c r="BG63" s="198">
        <f>'NKC2'!BK77*100</f>
        <v>0</v>
      </c>
      <c r="BH63" s="198">
        <f>'NKC2'!BL77*100</f>
        <v>0</v>
      </c>
      <c r="BI63" s="198">
        <f>'NKC2'!BM77*100</f>
        <v>0</v>
      </c>
      <c r="BJ63" s="198">
        <f>'NKC2'!BN77*100</f>
        <v>0</v>
      </c>
      <c r="BK63" s="198">
        <f>'NKC2'!BO77*100</f>
        <v>0</v>
      </c>
      <c r="BL63" s="198">
        <f>'NKC2'!BP77*100</f>
        <v>0</v>
      </c>
      <c r="BM63" s="198">
        <f>'NKC2'!BQ77*100</f>
        <v>0</v>
      </c>
      <c r="BN63" s="198">
        <f>'NKC2'!BR77*100</f>
        <v>0</v>
      </c>
      <c r="BO63" s="198">
        <f>'NKC2'!BS77*100</f>
        <v>0</v>
      </c>
      <c r="BP63" s="198">
        <f>'NKC2'!BT77*100</f>
        <v>0</v>
      </c>
      <c r="BQ63" s="198">
        <f>'NKC2'!BU77*100</f>
        <v>0</v>
      </c>
      <c r="BR63" s="198">
        <f>'NKC2'!BV77*100</f>
        <v>0</v>
      </c>
      <c r="BS63" s="198">
        <f>'NKC2'!BW77*100</f>
        <v>0</v>
      </c>
      <c r="BT63" s="198">
        <f>'NKC2'!BX77*100</f>
        <v>0</v>
      </c>
      <c r="BU63" s="198">
        <f>'NKC2'!BY77*100</f>
        <v>0</v>
      </c>
      <c r="BV63" s="198">
        <f>'NKC2'!BZ77*100</f>
        <v>0</v>
      </c>
      <c r="BW63" s="198">
        <f>'NKC2'!CA77*100</f>
        <v>0</v>
      </c>
      <c r="BX63" s="198">
        <f>'NKC2'!CB77*100</f>
        <v>0</v>
      </c>
      <c r="BY63" s="198">
        <f>'NKC2'!CC77*100</f>
        <v>0</v>
      </c>
      <c r="BZ63" s="198">
        <f>'NKC2'!CD77*100</f>
        <v>0</v>
      </c>
      <c r="CA63" s="198">
        <f>'NKC2'!CE77*100</f>
        <v>0</v>
      </c>
      <c r="CB63" s="198">
        <f>'NKC2'!CF77*100</f>
        <v>0</v>
      </c>
      <c r="CC63" s="198">
        <f>'NKC2'!CG77*100</f>
        <v>0</v>
      </c>
      <c r="CD63" s="198">
        <f>'NKC2'!CH77*100</f>
        <v>0</v>
      </c>
      <c r="CE63" s="198">
        <f>'NKC2'!CI77*100</f>
        <v>0</v>
      </c>
      <c r="CF63" s="198">
        <f>'NKC2'!CJ77*100</f>
        <v>0</v>
      </c>
      <c r="CG63" s="198">
        <f>'NKC2'!CK77*100</f>
        <v>0</v>
      </c>
      <c r="CH63" s="198">
        <f>'NKC2'!CL77*100</f>
        <v>0</v>
      </c>
      <c r="CI63" s="198">
        <f>'NKC2'!CM77*100</f>
        <v>0</v>
      </c>
    </row>
    <row r="64" spans="1:87" x14ac:dyDescent="0.45">
      <c r="A64" s="403" t="str">
        <f>'NKC2'!B78</f>
        <v>1.4.5</v>
      </c>
      <c r="B64" s="403" t="str">
        <f>'NKC2'!D78</f>
        <v xml:space="preserve">         งานตกแต่งโถงลิฟต์</v>
      </c>
      <c r="C64" s="404">
        <f>'NKC2'!F78</f>
        <v>3147687.0413000002</v>
      </c>
      <c r="D64" s="407" t="str">
        <f>'NKC2'!G76</f>
        <v>P</v>
      </c>
      <c r="E64" s="405">
        <f>'NKC2'!H78*100</f>
        <v>100</v>
      </c>
      <c r="F64" s="405">
        <f>'NKC2'!J78*100</f>
        <v>0</v>
      </c>
      <c r="G64" s="405">
        <f>'NKC2'!K78*100</f>
        <v>0</v>
      </c>
      <c r="H64" s="405">
        <f>'NKC2'!L78*100</f>
        <v>0</v>
      </c>
      <c r="I64" s="405">
        <f>'NKC2'!M78*100</f>
        <v>0</v>
      </c>
      <c r="J64" s="405">
        <f>'NKC2'!N78*100</f>
        <v>0</v>
      </c>
      <c r="K64" s="405">
        <f>'NKC2'!O78*100</f>
        <v>0</v>
      </c>
      <c r="L64" s="405">
        <f>'NKC2'!P78*100</f>
        <v>0</v>
      </c>
      <c r="M64" s="405">
        <f>'NKC2'!Q78*100</f>
        <v>0</v>
      </c>
      <c r="N64" s="405">
        <f>'NKC2'!R78*100</f>
        <v>0</v>
      </c>
      <c r="O64" s="405">
        <f>'NKC2'!S78*100</f>
        <v>0</v>
      </c>
      <c r="P64" s="405">
        <f>'NKC2'!T78*100</f>
        <v>0</v>
      </c>
      <c r="Q64" s="405">
        <f>'NKC2'!U78*100</f>
        <v>0</v>
      </c>
      <c r="R64" s="405">
        <f>'NKC2'!V78*100</f>
        <v>0</v>
      </c>
      <c r="S64" s="405">
        <f>'NKC2'!W78*100</f>
        <v>0</v>
      </c>
      <c r="T64" s="405">
        <f>'NKC2'!X78*100</f>
        <v>0</v>
      </c>
      <c r="U64" s="405">
        <f>'NKC2'!Y78*100</f>
        <v>0</v>
      </c>
      <c r="V64" s="405">
        <f>'NKC2'!Z78*100</f>
        <v>0</v>
      </c>
      <c r="W64" s="405">
        <f>'NKC2'!AA78*100</f>
        <v>0</v>
      </c>
      <c r="X64" s="405">
        <f>'NKC2'!AB78*100</f>
        <v>0</v>
      </c>
      <c r="Y64" s="405">
        <f>'NKC2'!AC78*100</f>
        <v>0</v>
      </c>
      <c r="Z64" s="405">
        <f>'NKC2'!AD78*100</f>
        <v>0</v>
      </c>
      <c r="AA64" s="405">
        <f>'NKC2'!AE78*100</f>
        <v>0</v>
      </c>
      <c r="AB64" s="405">
        <f>'NKC2'!AF78*100</f>
        <v>0</v>
      </c>
      <c r="AC64" s="405">
        <f>'NKC2'!AG78*100</f>
        <v>0</v>
      </c>
      <c r="AD64" s="405">
        <f>'NKC2'!AH78*100</f>
        <v>0</v>
      </c>
      <c r="AE64" s="405">
        <f>'NKC2'!AI78*100</f>
        <v>0</v>
      </c>
      <c r="AF64" s="405">
        <f>'NKC2'!AJ78*100</f>
        <v>0</v>
      </c>
      <c r="AG64" s="405">
        <f>'NKC2'!AK78*100</f>
        <v>0</v>
      </c>
      <c r="AH64" s="405">
        <f>'NKC2'!AL78*100</f>
        <v>0</v>
      </c>
      <c r="AI64" s="405">
        <f>'NKC2'!AM78*100</f>
        <v>0</v>
      </c>
      <c r="AJ64" s="405">
        <f>'NKC2'!AN78*100</f>
        <v>0</v>
      </c>
      <c r="AK64" s="405">
        <f>'NKC2'!AO78*100</f>
        <v>0</v>
      </c>
      <c r="AL64" s="405">
        <f>'NKC2'!AP78*100</f>
        <v>0</v>
      </c>
      <c r="AM64" s="405">
        <f>'NKC2'!AQ78*100</f>
        <v>0</v>
      </c>
      <c r="AN64" s="405">
        <f>'NKC2'!AR78*100</f>
        <v>0</v>
      </c>
      <c r="AO64" s="405">
        <f>'NKC2'!AS78*100</f>
        <v>0</v>
      </c>
      <c r="AP64" s="405">
        <f>'NKC2'!AT78*100</f>
        <v>4</v>
      </c>
      <c r="AQ64" s="405">
        <f>'NKC2'!AU78*100</f>
        <v>4</v>
      </c>
      <c r="AR64" s="405">
        <f>'NKC2'!AV78*100</f>
        <v>8</v>
      </c>
      <c r="AS64" s="405">
        <f>'NKC2'!AW78*100</f>
        <v>10</v>
      </c>
      <c r="AT64" s="405">
        <f>'NKC2'!AX78*100</f>
        <v>10</v>
      </c>
      <c r="AU64" s="405">
        <f>'NKC2'!AY78*100</f>
        <v>10</v>
      </c>
      <c r="AV64" s="405">
        <f>'NKC2'!AZ78*100</f>
        <v>15</v>
      </c>
      <c r="AW64" s="405">
        <f>'NKC2'!BA78*100</f>
        <v>15</v>
      </c>
      <c r="AX64" s="405">
        <f>'NKC2'!BB78*100</f>
        <v>10</v>
      </c>
      <c r="AY64" s="405">
        <f>'NKC2'!BC78*100</f>
        <v>5</v>
      </c>
      <c r="AZ64" s="405">
        <f>'NKC2'!BD78*100</f>
        <v>5</v>
      </c>
      <c r="BA64" s="405">
        <f>'NKC2'!BE78*100</f>
        <v>4</v>
      </c>
      <c r="BB64" s="405">
        <f>'NKC2'!BF78*100</f>
        <v>0</v>
      </c>
      <c r="BC64" s="405">
        <f>'NKC2'!BG78*100</f>
        <v>0</v>
      </c>
      <c r="BD64" s="405">
        <f>'NKC2'!BH78*100</f>
        <v>0</v>
      </c>
      <c r="BE64" s="405">
        <f>'NKC2'!BI78*100</f>
        <v>0</v>
      </c>
      <c r="BF64" s="405">
        <f>'NKC2'!BJ78*100</f>
        <v>0</v>
      </c>
      <c r="BG64" s="405">
        <f>'NKC2'!BK78*100</f>
        <v>0</v>
      </c>
      <c r="BH64" s="405">
        <f>'NKC2'!BL78*100</f>
        <v>0</v>
      </c>
      <c r="BI64" s="405">
        <f>'NKC2'!BM78*100</f>
        <v>0</v>
      </c>
      <c r="BJ64" s="405">
        <f>'NKC2'!BN78*100</f>
        <v>0</v>
      </c>
      <c r="BK64" s="405">
        <f>'NKC2'!BO78*100</f>
        <v>0</v>
      </c>
      <c r="BL64" s="405">
        <f>'NKC2'!BP78*100</f>
        <v>0</v>
      </c>
      <c r="BM64" s="405">
        <f>'NKC2'!BQ78*100</f>
        <v>0</v>
      </c>
      <c r="BN64" s="405">
        <f>'NKC2'!BR78*100</f>
        <v>0</v>
      </c>
      <c r="BO64" s="405">
        <f>'NKC2'!BS78*100</f>
        <v>0</v>
      </c>
      <c r="BP64" s="405">
        <f>'NKC2'!BT78*100</f>
        <v>0</v>
      </c>
      <c r="BQ64" s="405">
        <f>'NKC2'!BU78*100</f>
        <v>0</v>
      </c>
      <c r="BR64" s="405">
        <f>'NKC2'!BV78*100</f>
        <v>0</v>
      </c>
      <c r="BS64" s="405">
        <f>'NKC2'!BW78*100</f>
        <v>0</v>
      </c>
      <c r="BT64" s="405">
        <f>'NKC2'!BX78*100</f>
        <v>0</v>
      </c>
      <c r="BU64" s="405">
        <f>'NKC2'!BY78*100</f>
        <v>0</v>
      </c>
      <c r="BV64" s="405">
        <f>'NKC2'!BZ78*100</f>
        <v>0</v>
      </c>
      <c r="BW64" s="405">
        <f>'NKC2'!CA78*100</f>
        <v>0</v>
      </c>
      <c r="BX64" s="405">
        <f>'NKC2'!CB78*100</f>
        <v>0</v>
      </c>
      <c r="BY64" s="405">
        <f>'NKC2'!CC78*100</f>
        <v>0</v>
      </c>
      <c r="BZ64" s="405">
        <f>'NKC2'!CD78*100</f>
        <v>0</v>
      </c>
      <c r="CA64" s="405">
        <f>'NKC2'!CE78*100</f>
        <v>0</v>
      </c>
      <c r="CB64" s="405">
        <f>'NKC2'!CF78*100</f>
        <v>0</v>
      </c>
      <c r="CC64" s="405">
        <f>'NKC2'!CG78*100</f>
        <v>0</v>
      </c>
      <c r="CD64" s="405">
        <f>'NKC2'!CH78*100</f>
        <v>0</v>
      </c>
      <c r="CE64" s="405">
        <f>'NKC2'!CI78*100</f>
        <v>0</v>
      </c>
      <c r="CF64" s="405">
        <f>'NKC2'!CJ78*100</f>
        <v>0</v>
      </c>
      <c r="CG64" s="405">
        <f>'NKC2'!CK78*100</f>
        <v>0</v>
      </c>
      <c r="CH64" s="405">
        <f>'NKC2'!CL78*100</f>
        <v>0</v>
      </c>
      <c r="CI64" s="405">
        <f>'NKC2'!CM78*100</f>
        <v>0</v>
      </c>
    </row>
    <row r="65" spans="1:87" x14ac:dyDescent="0.45">
      <c r="A65" t="str">
        <f>'NKC2'!B79</f>
        <v>1.4.5</v>
      </c>
      <c r="B65" t="str">
        <f>'NKC2'!D79</f>
        <v xml:space="preserve">         งานตกแต่งโถงลิฟต์</v>
      </c>
      <c r="C65" s="193">
        <f>'NKC2'!F79</f>
        <v>3147687.0413000002</v>
      </c>
      <c r="D65" s="140" t="str">
        <f>'NKC2'!G77</f>
        <v>A</v>
      </c>
      <c r="E65" s="198">
        <f>'NKC2'!H79*100</f>
        <v>0</v>
      </c>
      <c r="F65" s="198">
        <f>'NKC2'!J79*100</f>
        <v>0</v>
      </c>
      <c r="G65" s="198">
        <f>'NKC2'!K79*100</f>
        <v>0</v>
      </c>
      <c r="H65" s="198">
        <f>'NKC2'!L79*100</f>
        <v>0</v>
      </c>
      <c r="I65" s="198">
        <f>'NKC2'!M79*100</f>
        <v>0</v>
      </c>
      <c r="J65" s="198">
        <f>'NKC2'!N79*100</f>
        <v>0</v>
      </c>
      <c r="K65" s="198">
        <f>'NKC2'!O79*100</f>
        <v>0</v>
      </c>
      <c r="L65" s="198">
        <f>'NKC2'!P79*100</f>
        <v>0</v>
      </c>
      <c r="M65" s="198">
        <f>'NKC2'!Q79*100</f>
        <v>0</v>
      </c>
      <c r="N65" s="198">
        <f>'NKC2'!R79*100</f>
        <v>0</v>
      </c>
      <c r="O65" s="198">
        <f>'NKC2'!S79*100</f>
        <v>0</v>
      </c>
      <c r="P65" s="198">
        <f>'NKC2'!T79*100</f>
        <v>0</v>
      </c>
      <c r="Q65" s="198">
        <f>'NKC2'!U79*100</f>
        <v>0</v>
      </c>
      <c r="R65" s="198">
        <f>'NKC2'!V79*100</f>
        <v>0</v>
      </c>
      <c r="S65" s="198">
        <f>'NKC2'!W79*100</f>
        <v>0</v>
      </c>
      <c r="T65" s="198">
        <f>'NKC2'!X79*100</f>
        <v>0</v>
      </c>
      <c r="U65" s="198">
        <f>'NKC2'!Y79*100</f>
        <v>0</v>
      </c>
      <c r="V65" s="198">
        <f>'NKC2'!Z79*100</f>
        <v>0</v>
      </c>
      <c r="W65" s="198">
        <f>'NKC2'!AA79*100</f>
        <v>0</v>
      </c>
      <c r="X65" s="198">
        <f>'NKC2'!AB79*100</f>
        <v>0</v>
      </c>
      <c r="Y65" s="198">
        <f>'NKC2'!AC79*100</f>
        <v>0</v>
      </c>
      <c r="Z65" s="198">
        <f>'NKC2'!AD79*100</f>
        <v>0</v>
      </c>
      <c r="AA65" s="198">
        <f>'NKC2'!AE79*100</f>
        <v>0</v>
      </c>
      <c r="AB65" s="198">
        <f>'NKC2'!AF79*100</f>
        <v>0</v>
      </c>
      <c r="AC65" s="198">
        <f>'NKC2'!AG79*100</f>
        <v>0</v>
      </c>
      <c r="AD65" s="198">
        <f>'NKC2'!AH79*100</f>
        <v>0</v>
      </c>
      <c r="AE65" s="198">
        <f>'NKC2'!AI79*100</f>
        <v>0</v>
      </c>
      <c r="AF65" s="198">
        <f>'NKC2'!AJ79*100</f>
        <v>0</v>
      </c>
      <c r="AG65" s="198">
        <f>'NKC2'!AK79*100</f>
        <v>0</v>
      </c>
      <c r="AH65" s="198">
        <f>'NKC2'!AL79*100</f>
        <v>0</v>
      </c>
      <c r="AI65" s="198">
        <f>'NKC2'!AM79*100</f>
        <v>0</v>
      </c>
      <c r="AJ65" s="198">
        <f>'NKC2'!AN79*100</f>
        <v>0</v>
      </c>
      <c r="AK65" s="198">
        <f>'NKC2'!AO79*100</f>
        <v>0</v>
      </c>
      <c r="AL65" s="198">
        <f>'NKC2'!AP79*100</f>
        <v>0</v>
      </c>
      <c r="AM65" s="198">
        <f>'NKC2'!AQ79*100</f>
        <v>0</v>
      </c>
      <c r="AN65" s="198">
        <f>'NKC2'!AR79*100</f>
        <v>0</v>
      </c>
      <c r="AO65" s="198">
        <f>'NKC2'!AS79*100</f>
        <v>0</v>
      </c>
      <c r="AP65" s="198">
        <f>'NKC2'!AT79*100</f>
        <v>0</v>
      </c>
      <c r="AQ65" s="198">
        <f>'NKC2'!AU79*100</f>
        <v>0</v>
      </c>
      <c r="AR65" s="198">
        <f>'NKC2'!AV79*100</f>
        <v>0</v>
      </c>
      <c r="AS65" s="198">
        <f>'NKC2'!AW79*100</f>
        <v>0</v>
      </c>
      <c r="AT65" s="198">
        <f>'NKC2'!AX79*100</f>
        <v>0</v>
      </c>
      <c r="AU65" s="198">
        <f>'NKC2'!AY79*100</f>
        <v>0</v>
      </c>
      <c r="AV65" s="198">
        <f>'NKC2'!AZ79*100</f>
        <v>0</v>
      </c>
      <c r="AW65" s="198">
        <f>'NKC2'!BA79*100</f>
        <v>0</v>
      </c>
      <c r="AX65" s="198">
        <f>'NKC2'!BB79*100</f>
        <v>0</v>
      </c>
      <c r="AY65" s="198">
        <f>'NKC2'!BC79*100</f>
        <v>0</v>
      </c>
      <c r="AZ65" s="198">
        <f>'NKC2'!BD79*100</f>
        <v>0</v>
      </c>
      <c r="BA65" s="198">
        <f>'NKC2'!BE79*100</f>
        <v>0</v>
      </c>
      <c r="BB65" s="198">
        <f>'NKC2'!BF79*100</f>
        <v>0</v>
      </c>
      <c r="BC65" s="198">
        <f>'NKC2'!BG79*100</f>
        <v>0</v>
      </c>
      <c r="BD65" s="198">
        <f>'NKC2'!BH79*100</f>
        <v>0</v>
      </c>
      <c r="BE65" s="198">
        <f>'NKC2'!BI79*100</f>
        <v>0</v>
      </c>
      <c r="BF65" s="198">
        <f>'NKC2'!BJ79*100</f>
        <v>0</v>
      </c>
      <c r="BG65" s="198">
        <f>'NKC2'!BK79*100</f>
        <v>0</v>
      </c>
      <c r="BH65" s="198">
        <f>'NKC2'!BL79*100</f>
        <v>0</v>
      </c>
      <c r="BI65" s="198">
        <f>'NKC2'!BM79*100</f>
        <v>0</v>
      </c>
      <c r="BJ65" s="198">
        <f>'NKC2'!BN79*100</f>
        <v>0</v>
      </c>
      <c r="BK65" s="198">
        <f>'NKC2'!BO79*100</f>
        <v>0</v>
      </c>
      <c r="BL65" s="198">
        <f>'NKC2'!BP79*100</f>
        <v>0</v>
      </c>
      <c r="BM65" s="198">
        <f>'NKC2'!BQ79*100</f>
        <v>0</v>
      </c>
      <c r="BN65" s="198">
        <f>'NKC2'!BR79*100</f>
        <v>0</v>
      </c>
      <c r="BO65" s="198">
        <f>'NKC2'!BS79*100</f>
        <v>0</v>
      </c>
      <c r="BP65" s="198">
        <f>'NKC2'!BT79*100</f>
        <v>0</v>
      </c>
      <c r="BQ65" s="198">
        <f>'NKC2'!BU79*100</f>
        <v>0</v>
      </c>
      <c r="BR65" s="198">
        <f>'NKC2'!BV79*100</f>
        <v>0</v>
      </c>
      <c r="BS65" s="198">
        <f>'NKC2'!BW79*100</f>
        <v>0</v>
      </c>
      <c r="BT65" s="198">
        <f>'NKC2'!BX79*100</f>
        <v>0</v>
      </c>
      <c r="BU65" s="198">
        <f>'NKC2'!BY79*100</f>
        <v>0</v>
      </c>
      <c r="BV65" s="198">
        <f>'NKC2'!BZ79*100</f>
        <v>0</v>
      </c>
      <c r="BW65" s="198">
        <f>'NKC2'!CA79*100</f>
        <v>0</v>
      </c>
      <c r="BX65" s="198">
        <f>'NKC2'!CB79*100</f>
        <v>0</v>
      </c>
      <c r="BY65" s="198">
        <f>'NKC2'!CC79*100</f>
        <v>0</v>
      </c>
      <c r="BZ65" s="198">
        <f>'NKC2'!CD79*100</f>
        <v>0</v>
      </c>
      <c r="CA65" s="198">
        <f>'NKC2'!CE79*100</f>
        <v>0</v>
      </c>
      <c r="CB65" s="198">
        <f>'NKC2'!CF79*100</f>
        <v>0</v>
      </c>
      <c r="CC65" s="198">
        <f>'NKC2'!CG79*100</f>
        <v>0</v>
      </c>
      <c r="CD65" s="198">
        <f>'NKC2'!CH79*100</f>
        <v>0</v>
      </c>
      <c r="CE65" s="198">
        <f>'NKC2'!CI79*100</f>
        <v>0</v>
      </c>
      <c r="CF65" s="198">
        <f>'NKC2'!CJ79*100</f>
        <v>0</v>
      </c>
      <c r="CG65" s="198">
        <f>'NKC2'!CK79*100</f>
        <v>0</v>
      </c>
      <c r="CH65" s="198">
        <f>'NKC2'!CL79*100</f>
        <v>0</v>
      </c>
      <c r="CI65" s="198">
        <f>'NKC2'!CM79*100</f>
        <v>0</v>
      </c>
    </row>
    <row r="66" spans="1:87" x14ac:dyDescent="0.45">
      <c r="A66" s="403">
        <f>'NKC2'!B80</f>
        <v>1.5</v>
      </c>
      <c r="B66" s="403" t="str">
        <f>'NKC2'!D80</f>
        <v xml:space="preserve">   งานติดตั้ง Lightning Protection System ชั้น Roof</v>
      </c>
      <c r="C66" s="404">
        <f>'NKC2'!F80</f>
        <v>349251.90543837298</v>
      </c>
      <c r="D66" s="407" t="str">
        <f>'NKC2'!G78</f>
        <v>P</v>
      </c>
      <c r="E66" s="405">
        <f>'NKC2'!H80*100</f>
        <v>99.999999999999986</v>
      </c>
      <c r="F66" s="405">
        <f>'NKC2'!J80*100</f>
        <v>0</v>
      </c>
      <c r="G66" s="405">
        <f>'NKC2'!K80*100</f>
        <v>0</v>
      </c>
      <c r="H66" s="405">
        <f>'NKC2'!L80*100</f>
        <v>0</v>
      </c>
      <c r="I66" s="405">
        <f>'NKC2'!M80*100</f>
        <v>0</v>
      </c>
      <c r="J66" s="405">
        <f>'NKC2'!N80*100</f>
        <v>0</v>
      </c>
      <c r="K66" s="405">
        <f>'NKC2'!O80*100</f>
        <v>0</v>
      </c>
      <c r="L66" s="405">
        <f>'NKC2'!P80*100</f>
        <v>0</v>
      </c>
      <c r="M66" s="405">
        <f>'NKC2'!Q80*100</f>
        <v>0</v>
      </c>
      <c r="N66" s="405">
        <f>'NKC2'!R80*100</f>
        <v>0</v>
      </c>
      <c r="O66" s="405">
        <f>'NKC2'!S80*100</f>
        <v>0</v>
      </c>
      <c r="P66" s="405">
        <f>'NKC2'!T80*100</f>
        <v>0</v>
      </c>
      <c r="Q66" s="405">
        <f>'NKC2'!U80*100</f>
        <v>0</v>
      </c>
      <c r="R66" s="405">
        <f>'NKC2'!V80*100</f>
        <v>0</v>
      </c>
      <c r="S66" s="405">
        <f>'NKC2'!W80*100</f>
        <v>0</v>
      </c>
      <c r="T66" s="405">
        <f>'NKC2'!X80*100</f>
        <v>0</v>
      </c>
      <c r="U66" s="405">
        <f>'NKC2'!Y80*100</f>
        <v>0</v>
      </c>
      <c r="V66" s="405">
        <f>'NKC2'!Z80*100</f>
        <v>0</v>
      </c>
      <c r="W66" s="405">
        <f>'NKC2'!AA80*100</f>
        <v>0</v>
      </c>
      <c r="X66" s="405">
        <f>'NKC2'!AB80*100</f>
        <v>0</v>
      </c>
      <c r="Y66" s="405">
        <f>'NKC2'!AC80*100</f>
        <v>0</v>
      </c>
      <c r="Z66" s="405">
        <f>'NKC2'!AD80*100</f>
        <v>0</v>
      </c>
      <c r="AA66" s="405">
        <f>'NKC2'!AE80*100</f>
        <v>0</v>
      </c>
      <c r="AB66" s="405">
        <f>'NKC2'!AF80*100</f>
        <v>0</v>
      </c>
      <c r="AC66" s="405">
        <f>'NKC2'!AG80*100</f>
        <v>0</v>
      </c>
      <c r="AD66" s="405">
        <f>'NKC2'!AH80*100</f>
        <v>0</v>
      </c>
      <c r="AE66" s="405">
        <f>'NKC2'!AI80*100</f>
        <v>0</v>
      </c>
      <c r="AF66" s="405">
        <f>'NKC2'!AJ80*100</f>
        <v>0</v>
      </c>
      <c r="AG66" s="405">
        <f>'NKC2'!AK80*100</f>
        <v>0</v>
      </c>
      <c r="AH66" s="405">
        <f>'NKC2'!AL80*100</f>
        <v>0</v>
      </c>
      <c r="AI66" s="405">
        <f>'NKC2'!AM80*100</f>
        <v>0</v>
      </c>
      <c r="AJ66" s="405">
        <f>'NKC2'!AN80*100</f>
        <v>0</v>
      </c>
      <c r="AK66" s="405">
        <f>'NKC2'!AO80*100</f>
        <v>0</v>
      </c>
      <c r="AL66" s="405">
        <f>'NKC2'!AP80*100</f>
        <v>0</v>
      </c>
      <c r="AM66" s="405">
        <f>'NKC2'!AQ80*100</f>
        <v>0</v>
      </c>
      <c r="AN66" s="405">
        <f>'NKC2'!AR80*100</f>
        <v>0</v>
      </c>
      <c r="AO66" s="405">
        <f>'NKC2'!AS80*100</f>
        <v>0</v>
      </c>
      <c r="AP66" s="405">
        <f>'NKC2'!AT80*100</f>
        <v>0</v>
      </c>
      <c r="AQ66" s="405">
        <f>'NKC2'!AU80*100</f>
        <v>0</v>
      </c>
      <c r="AR66" s="405">
        <f>'NKC2'!AV80*100</f>
        <v>0</v>
      </c>
      <c r="AS66" s="405">
        <f>'NKC2'!AW80*100</f>
        <v>0</v>
      </c>
      <c r="AT66" s="405">
        <f>'NKC2'!AX80*100</f>
        <v>0</v>
      </c>
      <c r="AU66" s="405">
        <f>'NKC2'!AY80*100</f>
        <v>0</v>
      </c>
      <c r="AV66" s="405">
        <f>'NKC2'!AZ80*100</f>
        <v>0</v>
      </c>
      <c r="AW66" s="405">
        <f>'NKC2'!BA80*100</f>
        <v>0</v>
      </c>
      <c r="AX66" s="405">
        <f>'NKC2'!BB80*100</f>
        <v>0</v>
      </c>
      <c r="AY66" s="405">
        <f>'NKC2'!BC80*100</f>
        <v>0</v>
      </c>
      <c r="AZ66" s="405">
        <f>'NKC2'!BD80*100</f>
        <v>0</v>
      </c>
      <c r="BA66" s="405">
        <f>'NKC2'!BE80*100</f>
        <v>0</v>
      </c>
      <c r="BB66" s="405">
        <f>'NKC2'!BF80*100</f>
        <v>0</v>
      </c>
      <c r="BC66" s="405">
        <f>'NKC2'!BG80*100</f>
        <v>0</v>
      </c>
      <c r="BD66" s="405">
        <f>'NKC2'!BH80*100</f>
        <v>0</v>
      </c>
      <c r="BE66" s="405">
        <f>'NKC2'!BI80*100</f>
        <v>0</v>
      </c>
      <c r="BF66" s="405">
        <f>'NKC2'!BJ80*100</f>
        <v>15</v>
      </c>
      <c r="BG66" s="405">
        <f>'NKC2'!BK80*100</f>
        <v>15</v>
      </c>
      <c r="BH66" s="405">
        <f>'NKC2'!BL80*100</f>
        <v>15</v>
      </c>
      <c r="BI66" s="405">
        <f>'NKC2'!BM80*100</f>
        <v>15</v>
      </c>
      <c r="BJ66" s="405">
        <f>'NKC2'!BN80*100</f>
        <v>10</v>
      </c>
      <c r="BK66" s="405">
        <f>'NKC2'!BO80*100</f>
        <v>10</v>
      </c>
      <c r="BL66" s="405">
        <f>'NKC2'!BP80*100</f>
        <v>10</v>
      </c>
      <c r="BM66" s="405">
        <f>'NKC2'!BQ80*100</f>
        <v>10</v>
      </c>
      <c r="BN66" s="405">
        <f>'NKC2'!BR80*100</f>
        <v>0</v>
      </c>
      <c r="BO66" s="405">
        <f>'NKC2'!BS80*100</f>
        <v>0</v>
      </c>
      <c r="BP66" s="405">
        <f>'NKC2'!BT80*100</f>
        <v>0</v>
      </c>
      <c r="BQ66" s="405">
        <f>'NKC2'!BU80*100</f>
        <v>0</v>
      </c>
      <c r="BR66" s="405">
        <f>'NKC2'!BV80*100</f>
        <v>0</v>
      </c>
      <c r="BS66" s="405">
        <f>'NKC2'!BW80*100</f>
        <v>0</v>
      </c>
      <c r="BT66" s="405">
        <f>'NKC2'!BX80*100</f>
        <v>0</v>
      </c>
      <c r="BU66" s="405">
        <f>'NKC2'!BY80*100</f>
        <v>0</v>
      </c>
      <c r="BV66" s="405">
        <f>'NKC2'!BZ80*100</f>
        <v>0</v>
      </c>
      <c r="BW66" s="405">
        <f>'NKC2'!CA80*100</f>
        <v>0</v>
      </c>
      <c r="BX66" s="405">
        <f>'NKC2'!CB80*100</f>
        <v>0</v>
      </c>
      <c r="BY66" s="405">
        <f>'NKC2'!CC80*100</f>
        <v>0</v>
      </c>
      <c r="BZ66" s="405">
        <f>'NKC2'!CD80*100</f>
        <v>0</v>
      </c>
      <c r="CA66" s="405">
        <f>'NKC2'!CE80*100</f>
        <v>0</v>
      </c>
      <c r="CB66" s="405">
        <f>'NKC2'!CF80*100</f>
        <v>0</v>
      </c>
      <c r="CC66" s="405">
        <f>'NKC2'!CG80*100</f>
        <v>0</v>
      </c>
      <c r="CD66" s="405">
        <f>'NKC2'!CH80*100</f>
        <v>0</v>
      </c>
      <c r="CE66" s="405">
        <f>'NKC2'!CI80*100</f>
        <v>0</v>
      </c>
      <c r="CF66" s="405">
        <f>'NKC2'!CJ80*100</f>
        <v>0</v>
      </c>
      <c r="CG66" s="405">
        <f>'NKC2'!CK80*100</f>
        <v>0</v>
      </c>
      <c r="CH66" s="405">
        <f>'NKC2'!CL80*100</f>
        <v>0</v>
      </c>
      <c r="CI66" s="405">
        <f>'NKC2'!CM80*100</f>
        <v>0</v>
      </c>
    </row>
    <row r="67" spans="1:87" x14ac:dyDescent="0.45">
      <c r="A67">
        <f>'NKC2'!B81</f>
        <v>1.5</v>
      </c>
      <c r="B67" t="str">
        <f>'NKC2'!D81</f>
        <v xml:space="preserve">   งานติดตั้ง Lightning Protection System ชั้น Roof</v>
      </c>
      <c r="C67" s="193">
        <f>'NKC2'!F81</f>
        <v>349251.90543837298</v>
      </c>
      <c r="D67" s="140" t="str">
        <f>'NKC2'!G79</f>
        <v>A</v>
      </c>
      <c r="E67" s="198">
        <f>'NKC2'!H81*100</f>
        <v>0</v>
      </c>
      <c r="F67" s="198">
        <f>'NKC2'!J81*100</f>
        <v>0</v>
      </c>
      <c r="G67" s="198">
        <f>'NKC2'!K81*100</f>
        <v>0</v>
      </c>
      <c r="H67" s="198">
        <f>'NKC2'!L81*100</f>
        <v>0</v>
      </c>
      <c r="I67" s="198">
        <f>'NKC2'!M81*100</f>
        <v>0</v>
      </c>
      <c r="J67" s="198">
        <f>'NKC2'!N81*100</f>
        <v>0</v>
      </c>
      <c r="K67" s="198">
        <f>'NKC2'!O81*100</f>
        <v>0</v>
      </c>
      <c r="L67" s="198">
        <f>'NKC2'!P81*100</f>
        <v>0</v>
      </c>
      <c r="M67" s="198">
        <f>'NKC2'!Q81*100</f>
        <v>0</v>
      </c>
      <c r="N67" s="198">
        <f>'NKC2'!R81*100</f>
        <v>0</v>
      </c>
      <c r="O67" s="198">
        <f>'NKC2'!S81*100</f>
        <v>0</v>
      </c>
      <c r="P67" s="198">
        <f>'NKC2'!T81*100</f>
        <v>0</v>
      </c>
      <c r="Q67" s="198">
        <f>'NKC2'!U81*100</f>
        <v>0</v>
      </c>
      <c r="R67" s="198">
        <f>'NKC2'!V81*100</f>
        <v>0</v>
      </c>
      <c r="S67" s="198">
        <f>'NKC2'!W81*100</f>
        <v>0</v>
      </c>
      <c r="T67" s="198">
        <f>'NKC2'!X81*100</f>
        <v>0</v>
      </c>
      <c r="U67" s="198">
        <f>'NKC2'!Y81*100</f>
        <v>0</v>
      </c>
      <c r="V67" s="198">
        <f>'NKC2'!Z81*100</f>
        <v>0</v>
      </c>
      <c r="W67" s="198">
        <f>'NKC2'!AA81*100</f>
        <v>0</v>
      </c>
      <c r="X67" s="198">
        <f>'NKC2'!AB81*100</f>
        <v>0</v>
      </c>
      <c r="Y67" s="198">
        <f>'NKC2'!AC81*100</f>
        <v>0</v>
      </c>
      <c r="Z67" s="198">
        <f>'NKC2'!AD81*100</f>
        <v>0</v>
      </c>
      <c r="AA67" s="198">
        <f>'NKC2'!AE81*100</f>
        <v>0</v>
      </c>
      <c r="AB67" s="198">
        <f>'NKC2'!AF81*100</f>
        <v>0</v>
      </c>
      <c r="AC67" s="198">
        <f>'NKC2'!AG81*100</f>
        <v>0</v>
      </c>
      <c r="AD67" s="198">
        <f>'NKC2'!AH81*100</f>
        <v>0</v>
      </c>
      <c r="AE67" s="198">
        <f>'NKC2'!AI81*100</f>
        <v>0</v>
      </c>
      <c r="AF67" s="198">
        <f>'NKC2'!AJ81*100</f>
        <v>0</v>
      </c>
      <c r="AG67" s="198">
        <f>'NKC2'!AK81*100</f>
        <v>0</v>
      </c>
      <c r="AH67" s="198">
        <f>'NKC2'!AL81*100</f>
        <v>0</v>
      </c>
      <c r="AI67" s="198">
        <f>'NKC2'!AM81*100</f>
        <v>0</v>
      </c>
      <c r="AJ67" s="198">
        <f>'NKC2'!AN81*100</f>
        <v>0</v>
      </c>
      <c r="AK67" s="198">
        <f>'NKC2'!AO81*100</f>
        <v>0</v>
      </c>
      <c r="AL67" s="198">
        <f>'NKC2'!AP81*100</f>
        <v>0</v>
      </c>
      <c r="AM67" s="198">
        <f>'NKC2'!AQ81*100</f>
        <v>0</v>
      </c>
      <c r="AN67" s="198">
        <f>'NKC2'!AR81*100</f>
        <v>0</v>
      </c>
      <c r="AO67" s="198">
        <f>'NKC2'!AS81*100</f>
        <v>0</v>
      </c>
      <c r="AP67" s="198">
        <f>'NKC2'!AT81*100</f>
        <v>0</v>
      </c>
      <c r="AQ67" s="198">
        <f>'NKC2'!AU81*100</f>
        <v>0</v>
      </c>
      <c r="AR67" s="198">
        <f>'NKC2'!AV81*100</f>
        <v>0</v>
      </c>
      <c r="AS67" s="198">
        <f>'NKC2'!AW81*100</f>
        <v>0</v>
      </c>
      <c r="AT67" s="198">
        <f>'NKC2'!AX81*100</f>
        <v>0</v>
      </c>
      <c r="AU67" s="198">
        <f>'NKC2'!AY81*100</f>
        <v>0</v>
      </c>
      <c r="AV67" s="198">
        <f>'NKC2'!AZ81*100</f>
        <v>0</v>
      </c>
      <c r="AW67" s="198">
        <f>'NKC2'!BA81*100</f>
        <v>0</v>
      </c>
      <c r="AX67" s="198">
        <f>'NKC2'!BB81*100</f>
        <v>0</v>
      </c>
      <c r="AY67" s="198">
        <f>'NKC2'!BC81*100</f>
        <v>0</v>
      </c>
      <c r="AZ67" s="198">
        <f>'NKC2'!BD81*100</f>
        <v>0</v>
      </c>
      <c r="BA67" s="198">
        <f>'NKC2'!BE81*100</f>
        <v>0</v>
      </c>
      <c r="BB67" s="198">
        <f>'NKC2'!BF81*100</f>
        <v>0</v>
      </c>
      <c r="BC67" s="198">
        <f>'NKC2'!BG81*100</f>
        <v>0</v>
      </c>
      <c r="BD67" s="198">
        <f>'NKC2'!BH81*100</f>
        <v>0</v>
      </c>
      <c r="BE67" s="198">
        <f>'NKC2'!BI81*100</f>
        <v>0</v>
      </c>
      <c r="BF67" s="198">
        <f>'NKC2'!BJ81*100</f>
        <v>0</v>
      </c>
      <c r="BG67" s="198">
        <f>'NKC2'!BK81*100</f>
        <v>0</v>
      </c>
      <c r="BH67" s="198">
        <f>'NKC2'!BL81*100</f>
        <v>0</v>
      </c>
      <c r="BI67" s="198">
        <f>'NKC2'!BM81*100</f>
        <v>0</v>
      </c>
      <c r="BJ67" s="198">
        <f>'NKC2'!BN81*100</f>
        <v>0</v>
      </c>
      <c r="BK67" s="198">
        <f>'NKC2'!BO81*100</f>
        <v>0</v>
      </c>
      <c r="BL67" s="198">
        <f>'NKC2'!BP81*100</f>
        <v>0</v>
      </c>
      <c r="BM67" s="198">
        <f>'NKC2'!BQ81*100</f>
        <v>0</v>
      </c>
      <c r="BN67" s="198">
        <f>'NKC2'!BR81*100</f>
        <v>0</v>
      </c>
      <c r="BO67" s="198">
        <f>'NKC2'!BS81*100</f>
        <v>0</v>
      </c>
      <c r="BP67" s="198">
        <f>'NKC2'!BT81*100</f>
        <v>0</v>
      </c>
      <c r="BQ67" s="198">
        <f>'NKC2'!BU81*100</f>
        <v>0</v>
      </c>
      <c r="BR67" s="198">
        <f>'NKC2'!BV81*100</f>
        <v>0</v>
      </c>
      <c r="BS67" s="198">
        <f>'NKC2'!BW81*100</f>
        <v>0</v>
      </c>
      <c r="BT67" s="198">
        <f>'NKC2'!BX81*100</f>
        <v>0</v>
      </c>
      <c r="BU67" s="198">
        <f>'NKC2'!BY81*100</f>
        <v>0</v>
      </c>
      <c r="BV67" s="198">
        <f>'NKC2'!BZ81*100</f>
        <v>0</v>
      </c>
      <c r="BW67" s="198">
        <f>'NKC2'!CA81*100</f>
        <v>0</v>
      </c>
      <c r="BX67" s="198">
        <f>'NKC2'!CB81*100</f>
        <v>0</v>
      </c>
      <c r="BY67" s="198">
        <f>'NKC2'!CC81*100</f>
        <v>0</v>
      </c>
      <c r="BZ67" s="198">
        <f>'NKC2'!CD81*100</f>
        <v>0</v>
      </c>
      <c r="CA67" s="198">
        <f>'NKC2'!CE81*100</f>
        <v>0</v>
      </c>
      <c r="CB67" s="198">
        <f>'NKC2'!CF81*100</f>
        <v>0</v>
      </c>
      <c r="CC67" s="198">
        <f>'NKC2'!CG81*100</f>
        <v>0</v>
      </c>
      <c r="CD67" s="198">
        <f>'NKC2'!CH81*100</f>
        <v>0</v>
      </c>
      <c r="CE67" s="198">
        <f>'NKC2'!CI81*100</f>
        <v>0</v>
      </c>
      <c r="CF67" s="198">
        <f>'NKC2'!CJ81*100</f>
        <v>0</v>
      </c>
      <c r="CG67" s="198">
        <f>'NKC2'!CK81*100</f>
        <v>0</v>
      </c>
      <c r="CH67" s="198">
        <f>'NKC2'!CL81*100</f>
        <v>0</v>
      </c>
      <c r="CI67" s="198">
        <f>'NKC2'!CM81*100</f>
        <v>0</v>
      </c>
    </row>
    <row r="68" spans="1:87" x14ac:dyDescent="0.45">
      <c r="A68" s="403">
        <f>'NKC2'!B82</f>
        <v>1.6</v>
      </c>
      <c r="B68" s="403" t="str">
        <f>'NKC2'!D82</f>
        <v xml:space="preserve">      งานถนนและผังบริเวณ</v>
      </c>
      <c r="C68" s="404">
        <f>'NKC2'!F82</f>
        <v>7134397.0247208467</v>
      </c>
      <c r="D68" s="407" t="str">
        <f>'NKC2'!G80</f>
        <v>P</v>
      </c>
      <c r="E68" s="405">
        <f>'NKC2'!H82*100</f>
        <v>0</v>
      </c>
      <c r="F68" s="405">
        <f>'NKC2'!J82*100</f>
        <v>0</v>
      </c>
      <c r="G68" s="405">
        <f>'NKC2'!K82*100</f>
        <v>0</v>
      </c>
      <c r="H68" s="405">
        <f>'NKC2'!L82*100</f>
        <v>0</v>
      </c>
      <c r="I68" s="405">
        <f>'NKC2'!M82*100</f>
        <v>0</v>
      </c>
      <c r="J68" s="405">
        <f>'NKC2'!N82*100</f>
        <v>0</v>
      </c>
      <c r="K68" s="405">
        <f>'NKC2'!O82*100</f>
        <v>0</v>
      </c>
      <c r="L68" s="405">
        <f>'NKC2'!P82*100</f>
        <v>0</v>
      </c>
      <c r="M68" s="405">
        <f>'NKC2'!Q82*100</f>
        <v>0</v>
      </c>
      <c r="N68" s="405">
        <f>'NKC2'!R82*100</f>
        <v>0</v>
      </c>
      <c r="O68" s="405">
        <f>'NKC2'!S82*100</f>
        <v>0</v>
      </c>
      <c r="P68" s="405">
        <f>'NKC2'!T82*100</f>
        <v>0</v>
      </c>
      <c r="Q68" s="405">
        <f>'NKC2'!U82*100</f>
        <v>0</v>
      </c>
      <c r="R68" s="405">
        <f>'NKC2'!V82*100</f>
        <v>0</v>
      </c>
      <c r="S68" s="405">
        <f>'NKC2'!W82*100</f>
        <v>0</v>
      </c>
      <c r="T68" s="405">
        <f>'NKC2'!X82*100</f>
        <v>0</v>
      </c>
      <c r="U68" s="405">
        <f>'NKC2'!Y82*100</f>
        <v>0</v>
      </c>
      <c r="V68" s="405">
        <f>'NKC2'!Z82*100</f>
        <v>0</v>
      </c>
      <c r="W68" s="405">
        <f>'NKC2'!AA82*100</f>
        <v>0</v>
      </c>
      <c r="X68" s="405">
        <f>'NKC2'!AB82*100</f>
        <v>0</v>
      </c>
      <c r="Y68" s="405">
        <f>'NKC2'!AC82*100</f>
        <v>0</v>
      </c>
      <c r="Z68" s="405">
        <f>'NKC2'!AD82*100</f>
        <v>0</v>
      </c>
      <c r="AA68" s="405">
        <f>'NKC2'!AE82*100</f>
        <v>0</v>
      </c>
      <c r="AB68" s="405">
        <f>'NKC2'!AF82*100</f>
        <v>0</v>
      </c>
      <c r="AC68" s="405">
        <f>'NKC2'!AG82*100</f>
        <v>0</v>
      </c>
      <c r="AD68" s="405">
        <f>'NKC2'!AH82*100</f>
        <v>0</v>
      </c>
      <c r="AE68" s="405">
        <f>'NKC2'!AI82*100</f>
        <v>0</v>
      </c>
      <c r="AF68" s="405">
        <f>'NKC2'!AJ82*100</f>
        <v>0</v>
      </c>
      <c r="AG68" s="405">
        <f>'NKC2'!AK82*100</f>
        <v>0</v>
      </c>
      <c r="AH68" s="405">
        <f>'NKC2'!AL82*100</f>
        <v>0</v>
      </c>
      <c r="AI68" s="405">
        <f>'NKC2'!AM82*100</f>
        <v>0</v>
      </c>
      <c r="AJ68" s="405">
        <f>'NKC2'!AN82*100</f>
        <v>0</v>
      </c>
      <c r="AK68" s="405">
        <f>'NKC2'!AO82*100</f>
        <v>0</v>
      </c>
      <c r="AL68" s="405">
        <f>'NKC2'!AP82*100</f>
        <v>0</v>
      </c>
      <c r="AM68" s="405">
        <f>'NKC2'!AQ82*100</f>
        <v>0</v>
      </c>
      <c r="AN68" s="405">
        <f>'NKC2'!AR82*100</f>
        <v>0</v>
      </c>
      <c r="AO68" s="405">
        <f>'NKC2'!AS82*100</f>
        <v>0</v>
      </c>
      <c r="AP68" s="405">
        <f>'NKC2'!AT82*100</f>
        <v>0</v>
      </c>
      <c r="AQ68" s="405">
        <f>'NKC2'!AU82*100</f>
        <v>0</v>
      </c>
      <c r="AR68" s="405">
        <f>'NKC2'!AV82*100</f>
        <v>0</v>
      </c>
      <c r="AS68" s="405">
        <f>'NKC2'!AW82*100</f>
        <v>0</v>
      </c>
      <c r="AT68" s="405">
        <f>'NKC2'!AX82*100</f>
        <v>0</v>
      </c>
      <c r="AU68" s="405">
        <f>'NKC2'!AY82*100</f>
        <v>0</v>
      </c>
      <c r="AV68" s="405">
        <f>'NKC2'!AZ82*100</f>
        <v>0</v>
      </c>
      <c r="AW68" s="405">
        <f>'NKC2'!BA82*100</f>
        <v>0</v>
      </c>
      <c r="AX68" s="405">
        <f>'NKC2'!BB82*100</f>
        <v>0</v>
      </c>
      <c r="AY68" s="405">
        <f>'NKC2'!BC82*100</f>
        <v>0</v>
      </c>
      <c r="AZ68" s="405">
        <f>'NKC2'!BD82*100</f>
        <v>0</v>
      </c>
      <c r="BA68" s="405">
        <f>'NKC2'!BE82*100</f>
        <v>0</v>
      </c>
      <c r="BB68" s="405">
        <f>'NKC2'!BF82*100</f>
        <v>0</v>
      </c>
      <c r="BC68" s="405">
        <f>'NKC2'!BG82*100</f>
        <v>0</v>
      </c>
      <c r="BD68" s="405">
        <f>'NKC2'!BH82*100</f>
        <v>0</v>
      </c>
      <c r="BE68" s="405">
        <f>'NKC2'!BI82*100</f>
        <v>0</v>
      </c>
      <c r="BF68" s="405">
        <f>'NKC2'!BJ82*100</f>
        <v>0</v>
      </c>
      <c r="BG68" s="405">
        <f>'NKC2'!BK82*100</f>
        <v>0</v>
      </c>
      <c r="BH68" s="405">
        <f>'NKC2'!BL82*100</f>
        <v>0</v>
      </c>
      <c r="BI68" s="405">
        <f>'NKC2'!BM82*100</f>
        <v>0</v>
      </c>
      <c r="BJ68" s="405">
        <f>'NKC2'!BN82*100</f>
        <v>0</v>
      </c>
      <c r="BK68" s="405">
        <f>'NKC2'!BO82*100</f>
        <v>0</v>
      </c>
      <c r="BL68" s="405">
        <f>'NKC2'!BP82*100</f>
        <v>0</v>
      </c>
      <c r="BM68" s="405">
        <f>'NKC2'!BQ82*100</f>
        <v>0</v>
      </c>
      <c r="BN68" s="405">
        <f>'NKC2'!BR82*100</f>
        <v>0</v>
      </c>
      <c r="BO68" s="405">
        <f>'NKC2'!BS82*100</f>
        <v>0</v>
      </c>
      <c r="BP68" s="405">
        <f>'NKC2'!BT82*100</f>
        <v>0</v>
      </c>
      <c r="BQ68" s="405">
        <f>'NKC2'!BU82*100</f>
        <v>0</v>
      </c>
      <c r="BR68" s="405">
        <f>'NKC2'!BV82*100</f>
        <v>0</v>
      </c>
      <c r="BS68" s="405">
        <f>'NKC2'!BW82*100</f>
        <v>0</v>
      </c>
      <c r="BT68" s="405">
        <f>'NKC2'!BX82*100</f>
        <v>0</v>
      </c>
      <c r="BU68" s="405">
        <f>'NKC2'!BY82*100</f>
        <v>0</v>
      </c>
      <c r="BV68" s="405">
        <f>'NKC2'!BZ82*100</f>
        <v>0</v>
      </c>
      <c r="BW68" s="405">
        <f>'NKC2'!CA82*100</f>
        <v>0</v>
      </c>
      <c r="BX68" s="405">
        <f>'NKC2'!CB82*100</f>
        <v>0</v>
      </c>
      <c r="BY68" s="405">
        <f>'NKC2'!CC82*100</f>
        <v>0</v>
      </c>
      <c r="BZ68" s="405">
        <f>'NKC2'!CD82*100</f>
        <v>0</v>
      </c>
      <c r="CA68" s="405">
        <f>'NKC2'!CE82*100</f>
        <v>0</v>
      </c>
      <c r="CB68" s="405">
        <f>'NKC2'!CF82*100</f>
        <v>0</v>
      </c>
      <c r="CC68" s="405">
        <f>'NKC2'!CG82*100</f>
        <v>0</v>
      </c>
      <c r="CD68" s="405">
        <f>'NKC2'!CH82*100</f>
        <v>0</v>
      </c>
      <c r="CE68" s="405">
        <f>'NKC2'!CI82*100</f>
        <v>0</v>
      </c>
      <c r="CF68" s="405">
        <f>'NKC2'!CJ82*100</f>
        <v>0</v>
      </c>
      <c r="CG68" s="405">
        <f>'NKC2'!CK82*100</f>
        <v>0</v>
      </c>
      <c r="CH68" s="405">
        <f>'NKC2'!CL82*100</f>
        <v>0</v>
      </c>
      <c r="CI68" s="405">
        <f>'NKC2'!CM82*100</f>
        <v>0</v>
      </c>
    </row>
    <row r="69" spans="1:87" x14ac:dyDescent="0.45">
      <c r="A69">
        <f>'NKC2'!B83</f>
        <v>1.6</v>
      </c>
      <c r="B69" t="str">
        <f>'NKC2'!D83</f>
        <v xml:space="preserve">      งานถนนและผังบริเวณ</v>
      </c>
      <c r="C69" s="193">
        <f>'NKC2'!F83</f>
        <v>7134397.0247208467</v>
      </c>
      <c r="D69" s="140" t="str">
        <f>'NKC2'!G81</f>
        <v>A</v>
      </c>
      <c r="E69" s="198">
        <f>'NKC2'!H83*100</f>
        <v>0</v>
      </c>
      <c r="F69" s="198">
        <f>'NKC2'!J83*100</f>
        <v>0</v>
      </c>
      <c r="G69" s="198">
        <f>'NKC2'!K83*100</f>
        <v>0</v>
      </c>
      <c r="H69" s="198">
        <f>'NKC2'!L83*100</f>
        <v>0</v>
      </c>
      <c r="I69" s="198">
        <f>'NKC2'!M83*100</f>
        <v>0</v>
      </c>
      <c r="J69" s="198">
        <f>'NKC2'!N83*100</f>
        <v>0</v>
      </c>
      <c r="K69" s="198">
        <f>'NKC2'!O83*100</f>
        <v>0</v>
      </c>
      <c r="L69" s="198">
        <f>'NKC2'!P83*100</f>
        <v>0</v>
      </c>
      <c r="M69" s="198">
        <f>'NKC2'!Q83*100</f>
        <v>0</v>
      </c>
      <c r="N69" s="198">
        <f>'NKC2'!R83*100</f>
        <v>0</v>
      </c>
      <c r="O69" s="198">
        <f>'NKC2'!S83*100</f>
        <v>0</v>
      </c>
      <c r="P69" s="198">
        <f>'NKC2'!T83*100</f>
        <v>0</v>
      </c>
      <c r="Q69" s="198">
        <f>'NKC2'!U83*100</f>
        <v>0</v>
      </c>
      <c r="R69" s="198">
        <f>'NKC2'!V83*100</f>
        <v>0</v>
      </c>
      <c r="S69" s="198">
        <f>'NKC2'!W83*100</f>
        <v>0</v>
      </c>
      <c r="T69" s="198">
        <f>'NKC2'!X83*100</f>
        <v>0</v>
      </c>
      <c r="U69" s="198">
        <f>'NKC2'!Y83*100</f>
        <v>0</v>
      </c>
      <c r="V69" s="198">
        <f>'NKC2'!Z83*100</f>
        <v>0</v>
      </c>
      <c r="W69" s="198">
        <f>'NKC2'!AA83*100</f>
        <v>0</v>
      </c>
      <c r="X69" s="198">
        <f>'NKC2'!AB83*100</f>
        <v>0</v>
      </c>
      <c r="Y69" s="198">
        <f>'NKC2'!AC83*100</f>
        <v>0</v>
      </c>
      <c r="Z69" s="198">
        <f>'NKC2'!AD83*100</f>
        <v>0</v>
      </c>
      <c r="AA69" s="198">
        <f>'NKC2'!AE83*100</f>
        <v>0</v>
      </c>
      <c r="AB69" s="198">
        <f>'NKC2'!AF83*100</f>
        <v>0</v>
      </c>
      <c r="AC69" s="198">
        <f>'NKC2'!AG83*100</f>
        <v>0</v>
      </c>
      <c r="AD69" s="198">
        <f>'NKC2'!AH83*100</f>
        <v>0</v>
      </c>
      <c r="AE69" s="198">
        <f>'NKC2'!AI83*100</f>
        <v>0</v>
      </c>
      <c r="AF69" s="198">
        <f>'NKC2'!AJ83*100</f>
        <v>0</v>
      </c>
      <c r="AG69" s="198">
        <f>'NKC2'!AK83*100</f>
        <v>0</v>
      </c>
      <c r="AH69" s="198">
        <f>'NKC2'!AL83*100</f>
        <v>0</v>
      </c>
      <c r="AI69" s="198">
        <f>'NKC2'!AM83*100</f>
        <v>0</v>
      </c>
      <c r="AJ69" s="198">
        <f>'NKC2'!AN83*100</f>
        <v>0</v>
      </c>
      <c r="AK69" s="198">
        <f>'NKC2'!AO83*100</f>
        <v>0</v>
      </c>
      <c r="AL69" s="198">
        <f>'NKC2'!AP83*100</f>
        <v>0</v>
      </c>
      <c r="AM69" s="198">
        <f>'NKC2'!AQ83*100</f>
        <v>0</v>
      </c>
      <c r="AN69" s="198">
        <f>'NKC2'!AR83*100</f>
        <v>0</v>
      </c>
      <c r="AO69" s="198">
        <f>'NKC2'!AS83*100</f>
        <v>0</v>
      </c>
      <c r="AP69" s="198">
        <f>'NKC2'!AT83*100</f>
        <v>0</v>
      </c>
      <c r="AQ69" s="198">
        <f>'NKC2'!AU83*100</f>
        <v>0</v>
      </c>
      <c r="AR69" s="198">
        <f>'NKC2'!AV83*100</f>
        <v>0</v>
      </c>
      <c r="AS69" s="198">
        <f>'NKC2'!AW83*100</f>
        <v>0</v>
      </c>
      <c r="AT69" s="198">
        <f>'NKC2'!AX83*100</f>
        <v>0</v>
      </c>
      <c r="AU69" s="198">
        <f>'NKC2'!AY83*100</f>
        <v>0</v>
      </c>
      <c r="AV69" s="198">
        <f>'NKC2'!AZ83*100</f>
        <v>0</v>
      </c>
      <c r="AW69" s="198">
        <f>'NKC2'!BA83*100</f>
        <v>0</v>
      </c>
      <c r="AX69" s="198">
        <f>'NKC2'!BB83*100</f>
        <v>0</v>
      </c>
      <c r="AY69" s="198">
        <f>'NKC2'!BC83*100</f>
        <v>0</v>
      </c>
      <c r="AZ69" s="198">
        <f>'NKC2'!BD83*100</f>
        <v>0</v>
      </c>
      <c r="BA69" s="198">
        <f>'NKC2'!BE83*100</f>
        <v>0</v>
      </c>
      <c r="BB69" s="198">
        <f>'NKC2'!BF83*100</f>
        <v>0</v>
      </c>
      <c r="BC69" s="198">
        <f>'NKC2'!BG83*100</f>
        <v>0</v>
      </c>
      <c r="BD69" s="198">
        <f>'NKC2'!BH83*100</f>
        <v>0</v>
      </c>
      <c r="BE69" s="198">
        <f>'NKC2'!BI83*100</f>
        <v>0</v>
      </c>
      <c r="BF69" s="198">
        <f>'NKC2'!BJ83*100</f>
        <v>0</v>
      </c>
      <c r="BG69" s="198">
        <f>'NKC2'!BK83*100</f>
        <v>0</v>
      </c>
      <c r="BH69" s="198">
        <f>'NKC2'!BL83*100</f>
        <v>0</v>
      </c>
      <c r="BI69" s="198">
        <f>'NKC2'!BM83*100</f>
        <v>0</v>
      </c>
      <c r="BJ69" s="198">
        <f>'NKC2'!BN83*100</f>
        <v>0</v>
      </c>
      <c r="BK69" s="198">
        <f>'NKC2'!BO83*100</f>
        <v>0</v>
      </c>
      <c r="BL69" s="198">
        <f>'NKC2'!BP83*100</f>
        <v>0</v>
      </c>
      <c r="BM69" s="198">
        <f>'NKC2'!BQ83*100</f>
        <v>0</v>
      </c>
      <c r="BN69" s="198">
        <f>'NKC2'!BR83*100</f>
        <v>0</v>
      </c>
      <c r="BO69" s="198">
        <f>'NKC2'!BS83*100</f>
        <v>0</v>
      </c>
      <c r="BP69" s="198">
        <f>'NKC2'!BT83*100</f>
        <v>0</v>
      </c>
      <c r="BQ69" s="198">
        <f>'NKC2'!BU83*100</f>
        <v>0</v>
      </c>
      <c r="BR69" s="198">
        <f>'NKC2'!BV83*100</f>
        <v>0</v>
      </c>
      <c r="BS69" s="198">
        <f>'NKC2'!BW83*100</f>
        <v>0</v>
      </c>
      <c r="BT69" s="198">
        <f>'NKC2'!BX83*100</f>
        <v>0</v>
      </c>
      <c r="BU69" s="198">
        <f>'NKC2'!BY83*100</f>
        <v>0</v>
      </c>
      <c r="BV69" s="198">
        <f>'NKC2'!BZ83*100</f>
        <v>0</v>
      </c>
      <c r="BW69" s="198">
        <f>'NKC2'!CA83*100</f>
        <v>0</v>
      </c>
      <c r="BX69" s="198">
        <f>'NKC2'!CB83*100</f>
        <v>0</v>
      </c>
      <c r="BY69" s="198">
        <f>'NKC2'!CC83*100</f>
        <v>0</v>
      </c>
      <c r="BZ69" s="198">
        <f>'NKC2'!CD83*100</f>
        <v>0</v>
      </c>
      <c r="CA69" s="198">
        <f>'NKC2'!CE83*100</f>
        <v>0</v>
      </c>
      <c r="CB69" s="198">
        <f>'NKC2'!CF83*100</f>
        <v>0</v>
      </c>
      <c r="CC69" s="198">
        <f>'NKC2'!CG83*100</f>
        <v>0</v>
      </c>
      <c r="CD69" s="198">
        <f>'NKC2'!CH83*100</f>
        <v>0</v>
      </c>
      <c r="CE69" s="198">
        <f>'NKC2'!CI83*100</f>
        <v>0</v>
      </c>
      <c r="CF69" s="198">
        <f>'NKC2'!CJ83*100</f>
        <v>0</v>
      </c>
      <c r="CG69" s="198">
        <f>'NKC2'!CK83*100</f>
        <v>0</v>
      </c>
      <c r="CH69" s="198">
        <f>'NKC2'!CL83*100</f>
        <v>0</v>
      </c>
      <c r="CI69" s="198">
        <f>'NKC2'!CM83*100</f>
        <v>0</v>
      </c>
    </row>
    <row r="70" spans="1:87" x14ac:dyDescent="0.45">
      <c r="A70" s="403" t="str">
        <f>'NKC2'!B84</f>
        <v>1.6.1</v>
      </c>
      <c r="B70" s="403" t="str">
        <f>'NKC2'!D84</f>
        <v xml:space="preserve">             ติดตั้งถังบำบัดน้ำเสีย ( WWTP )</v>
      </c>
      <c r="C70" s="404">
        <f>'NKC2'!F84</f>
        <v>592429.84990668099</v>
      </c>
      <c r="D70" s="407" t="str">
        <f>'NKC2'!G82</f>
        <v>P</v>
      </c>
      <c r="E70" s="405">
        <f>'NKC2'!H84*100</f>
        <v>100</v>
      </c>
      <c r="F70" s="405">
        <f>'NKC2'!J84*100</f>
        <v>0</v>
      </c>
      <c r="G70" s="405">
        <f>'NKC2'!K84*100</f>
        <v>0</v>
      </c>
      <c r="H70" s="405">
        <f>'NKC2'!L84*100</f>
        <v>0</v>
      </c>
      <c r="I70" s="405">
        <f>'NKC2'!M84*100</f>
        <v>0</v>
      </c>
      <c r="J70" s="405">
        <f>'NKC2'!N84*100</f>
        <v>0</v>
      </c>
      <c r="K70" s="405">
        <f>'NKC2'!O84*100</f>
        <v>0</v>
      </c>
      <c r="L70" s="405">
        <f>'NKC2'!P84*100</f>
        <v>0</v>
      </c>
      <c r="M70" s="405">
        <f>'NKC2'!Q84*100</f>
        <v>0</v>
      </c>
      <c r="N70" s="405">
        <f>'NKC2'!R84*100</f>
        <v>0</v>
      </c>
      <c r="O70" s="405">
        <f>'NKC2'!S84*100</f>
        <v>0</v>
      </c>
      <c r="P70" s="405">
        <f>'NKC2'!T84*100</f>
        <v>0</v>
      </c>
      <c r="Q70" s="405">
        <f>'NKC2'!U84*100</f>
        <v>0</v>
      </c>
      <c r="R70" s="405">
        <f>'NKC2'!V84*100</f>
        <v>0</v>
      </c>
      <c r="S70" s="405">
        <f>'NKC2'!W84*100</f>
        <v>0</v>
      </c>
      <c r="T70" s="405">
        <f>'NKC2'!X84*100</f>
        <v>0</v>
      </c>
      <c r="U70" s="405">
        <f>'NKC2'!Y84*100</f>
        <v>0</v>
      </c>
      <c r="V70" s="405">
        <f>'NKC2'!Z84*100</f>
        <v>0</v>
      </c>
      <c r="W70" s="405">
        <f>'NKC2'!AA84*100</f>
        <v>0</v>
      </c>
      <c r="X70" s="405">
        <f>'NKC2'!AB84*100</f>
        <v>0</v>
      </c>
      <c r="Y70" s="405">
        <f>'NKC2'!AC84*100</f>
        <v>0</v>
      </c>
      <c r="Z70" s="405">
        <f>'NKC2'!AD84*100</f>
        <v>0</v>
      </c>
      <c r="AA70" s="405">
        <f>'NKC2'!AE84*100</f>
        <v>25</v>
      </c>
      <c r="AB70" s="405">
        <f>'NKC2'!AF84*100</f>
        <v>25</v>
      </c>
      <c r="AC70" s="405">
        <f>'NKC2'!AG84*100</f>
        <v>25</v>
      </c>
      <c r="AD70" s="405">
        <f>'NKC2'!AH84*100</f>
        <v>25</v>
      </c>
      <c r="AE70" s="405">
        <f>'NKC2'!AI84*100</f>
        <v>0</v>
      </c>
      <c r="AF70" s="405">
        <f>'NKC2'!AJ84*100</f>
        <v>0</v>
      </c>
      <c r="AG70" s="405">
        <f>'NKC2'!AK84*100</f>
        <v>0</v>
      </c>
      <c r="AH70" s="405">
        <f>'NKC2'!AL84*100</f>
        <v>0</v>
      </c>
      <c r="AI70" s="405">
        <f>'NKC2'!AM84*100</f>
        <v>0</v>
      </c>
      <c r="AJ70" s="405">
        <f>'NKC2'!AN84*100</f>
        <v>0</v>
      </c>
      <c r="AK70" s="405">
        <f>'NKC2'!AO84*100</f>
        <v>0</v>
      </c>
      <c r="AL70" s="405">
        <f>'NKC2'!AP84*100</f>
        <v>0</v>
      </c>
      <c r="AM70" s="405">
        <f>'NKC2'!AQ84*100</f>
        <v>0</v>
      </c>
      <c r="AN70" s="405">
        <f>'NKC2'!AR84*100</f>
        <v>0</v>
      </c>
      <c r="AO70" s="405">
        <f>'NKC2'!AS84*100</f>
        <v>0</v>
      </c>
      <c r="AP70" s="405">
        <f>'NKC2'!AT84*100</f>
        <v>0</v>
      </c>
      <c r="AQ70" s="405">
        <f>'NKC2'!AU84*100</f>
        <v>0</v>
      </c>
      <c r="AR70" s="405">
        <f>'NKC2'!AV84*100</f>
        <v>0</v>
      </c>
      <c r="AS70" s="405">
        <f>'NKC2'!AW84*100</f>
        <v>0</v>
      </c>
      <c r="AT70" s="405">
        <f>'NKC2'!AX84*100</f>
        <v>0</v>
      </c>
      <c r="AU70" s="405">
        <f>'NKC2'!AY84*100</f>
        <v>0</v>
      </c>
      <c r="AV70" s="405">
        <f>'NKC2'!AZ84*100</f>
        <v>0</v>
      </c>
      <c r="AW70" s="405">
        <f>'NKC2'!BA84*100</f>
        <v>0</v>
      </c>
      <c r="AX70" s="405">
        <f>'NKC2'!BB84*100</f>
        <v>0</v>
      </c>
      <c r="AY70" s="405">
        <f>'NKC2'!BC84*100</f>
        <v>0</v>
      </c>
      <c r="AZ70" s="405">
        <f>'NKC2'!BD84*100</f>
        <v>0</v>
      </c>
      <c r="BA70" s="405">
        <f>'NKC2'!BE84*100</f>
        <v>0</v>
      </c>
      <c r="BB70" s="405">
        <f>'NKC2'!BF84*100</f>
        <v>0</v>
      </c>
      <c r="BC70" s="405">
        <f>'NKC2'!BG84*100</f>
        <v>0</v>
      </c>
      <c r="BD70" s="405">
        <f>'NKC2'!BH84*100</f>
        <v>0</v>
      </c>
      <c r="BE70" s="405">
        <f>'NKC2'!BI84*100</f>
        <v>0</v>
      </c>
      <c r="BF70" s="405">
        <f>'NKC2'!BJ84*100</f>
        <v>0</v>
      </c>
      <c r="BG70" s="405">
        <f>'NKC2'!BK84*100</f>
        <v>0</v>
      </c>
      <c r="BH70" s="405">
        <f>'NKC2'!BL84*100</f>
        <v>0</v>
      </c>
      <c r="BI70" s="405">
        <f>'NKC2'!BM84*100</f>
        <v>0</v>
      </c>
      <c r="BJ70" s="405">
        <f>'NKC2'!BN84*100</f>
        <v>0</v>
      </c>
      <c r="BK70" s="405">
        <f>'NKC2'!BO84*100</f>
        <v>0</v>
      </c>
      <c r="BL70" s="405">
        <f>'NKC2'!BP84*100</f>
        <v>0</v>
      </c>
      <c r="BM70" s="405">
        <f>'NKC2'!BQ84*100</f>
        <v>0</v>
      </c>
      <c r="BN70" s="405">
        <f>'NKC2'!BR84*100</f>
        <v>0</v>
      </c>
      <c r="BO70" s="405">
        <f>'NKC2'!BS84*100</f>
        <v>0</v>
      </c>
      <c r="BP70" s="405">
        <f>'NKC2'!BT84*100</f>
        <v>0</v>
      </c>
      <c r="BQ70" s="405">
        <f>'NKC2'!BU84*100</f>
        <v>0</v>
      </c>
      <c r="BR70" s="405">
        <f>'NKC2'!BV84*100</f>
        <v>0</v>
      </c>
      <c r="BS70" s="405">
        <f>'NKC2'!BW84*100</f>
        <v>0</v>
      </c>
      <c r="BT70" s="405">
        <f>'NKC2'!BX84*100</f>
        <v>0</v>
      </c>
      <c r="BU70" s="405">
        <f>'NKC2'!BY84*100</f>
        <v>0</v>
      </c>
      <c r="BV70" s="405">
        <f>'NKC2'!BZ84*100</f>
        <v>0</v>
      </c>
      <c r="BW70" s="405">
        <f>'NKC2'!CA84*100</f>
        <v>0</v>
      </c>
      <c r="BX70" s="405">
        <f>'NKC2'!CB84*100</f>
        <v>0</v>
      </c>
      <c r="BY70" s="405">
        <f>'NKC2'!CC84*100</f>
        <v>0</v>
      </c>
      <c r="BZ70" s="405">
        <f>'NKC2'!CD84*100</f>
        <v>0</v>
      </c>
      <c r="CA70" s="405">
        <f>'NKC2'!CE84*100</f>
        <v>0</v>
      </c>
      <c r="CB70" s="405">
        <f>'NKC2'!CF84*100</f>
        <v>0</v>
      </c>
      <c r="CC70" s="405">
        <f>'NKC2'!CG84*100</f>
        <v>0</v>
      </c>
      <c r="CD70" s="405">
        <f>'NKC2'!CH84*100</f>
        <v>0</v>
      </c>
      <c r="CE70" s="405">
        <f>'NKC2'!CI84*100</f>
        <v>0</v>
      </c>
      <c r="CF70" s="405">
        <f>'NKC2'!CJ84*100</f>
        <v>0</v>
      </c>
      <c r="CG70" s="405">
        <f>'NKC2'!CK84*100</f>
        <v>0</v>
      </c>
      <c r="CH70" s="405">
        <f>'NKC2'!CL84*100</f>
        <v>0</v>
      </c>
      <c r="CI70" s="405">
        <f>'NKC2'!CM84*100</f>
        <v>0</v>
      </c>
    </row>
    <row r="71" spans="1:87" x14ac:dyDescent="0.45">
      <c r="A71" t="str">
        <f>'NKC2'!B85</f>
        <v>1.6.1</v>
      </c>
      <c r="B71" t="str">
        <f>'NKC2'!D85</f>
        <v xml:space="preserve">             ติดตั้งถังบำบัดน้ำเสีย ( WWTP )</v>
      </c>
      <c r="C71" s="193">
        <f>'NKC2'!F85</f>
        <v>592429.84990668099</v>
      </c>
      <c r="D71" s="140" t="str">
        <f>'NKC2'!G83</f>
        <v>A</v>
      </c>
      <c r="E71" s="198">
        <f>'NKC2'!H85*100</f>
        <v>0</v>
      </c>
      <c r="F71" s="198">
        <f>'NKC2'!J85*100</f>
        <v>0</v>
      </c>
      <c r="G71" s="198">
        <f>'NKC2'!K85*100</f>
        <v>0</v>
      </c>
      <c r="H71" s="198">
        <f>'NKC2'!L85*100</f>
        <v>0</v>
      </c>
      <c r="I71" s="198">
        <f>'NKC2'!M85*100</f>
        <v>0</v>
      </c>
      <c r="J71" s="198">
        <f>'NKC2'!N85*100</f>
        <v>0</v>
      </c>
      <c r="K71" s="198">
        <f>'NKC2'!O85*100</f>
        <v>0</v>
      </c>
      <c r="L71" s="198">
        <f>'NKC2'!P85*100</f>
        <v>0</v>
      </c>
      <c r="M71" s="198">
        <f>'NKC2'!Q85*100</f>
        <v>0</v>
      </c>
      <c r="N71" s="198">
        <f>'NKC2'!R85*100</f>
        <v>0</v>
      </c>
      <c r="O71" s="198">
        <f>'NKC2'!S85*100</f>
        <v>0</v>
      </c>
      <c r="P71" s="198">
        <f>'NKC2'!T85*100</f>
        <v>0</v>
      </c>
      <c r="Q71" s="198">
        <f>'NKC2'!U85*100</f>
        <v>0</v>
      </c>
      <c r="R71" s="198">
        <f>'NKC2'!V85*100</f>
        <v>0</v>
      </c>
      <c r="S71" s="198">
        <f>'NKC2'!W85*100</f>
        <v>0</v>
      </c>
      <c r="T71" s="198">
        <f>'NKC2'!X85*100</f>
        <v>0</v>
      </c>
      <c r="U71" s="198">
        <f>'NKC2'!Y85*100</f>
        <v>0</v>
      </c>
      <c r="V71" s="198">
        <f>'NKC2'!Z85*100</f>
        <v>0</v>
      </c>
      <c r="W71" s="198">
        <f>'NKC2'!AA85*100</f>
        <v>0</v>
      </c>
      <c r="X71" s="198">
        <f>'NKC2'!AB85*100</f>
        <v>0</v>
      </c>
      <c r="Y71" s="198">
        <f>'NKC2'!AC85*100</f>
        <v>0</v>
      </c>
      <c r="Z71" s="198">
        <f>'NKC2'!AD85*100</f>
        <v>0</v>
      </c>
      <c r="AA71" s="198">
        <f>'NKC2'!AE85*100</f>
        <v>0</v>
      </c>
      <c r="AB71" s="198">
        <f>'NKC2'!AF85*100</f>
        <v>0</v>
      </c>
      <c r="AC71" s="198">
        <f>'NKC2'!AG85*100</f>
        <v>0</v>
      </c>
      <c r="AD71" s="198">
        <f>'NKC2'!AH85*100</f>
        <v>0</v>
      </c>
      <c r="AE71" s="198">
        <f>'NKC2'!AI85*100</f>
        <v>0</v>
      </c>
      <c r="AF71" s="198">
        <f>'NKC2'!AJ85*100</f>
        <v>0</v>
      </c>
      <c r="AG71" s="198">
        <f>'NKC2'!AK85*100</f>
        <v>0</v>
      </c>
      <c r="AH71" s="198">
        <f>'NKC2'!AL85*100</f>
        <v>0</v>
      </c>
      <c r="AI71" s="198">
        <f>'NKC2'!AM85*100</f>
        <v>0</v>
      </c>
      <c r="AJ71" s="198">
        <f>'NKC2'!AN85*100</f>
        <v>0</v>
      </c>
      <c r="AK71" s="198">
        <f>'NKC2'!AO85*100</f>
        <v>0</v>
      </c>
      <c r="AL71" s="198">
        <f>'NKC2'!AP85*100</f>
        <v>0</v>
      </c>
      <c r="AM71" s="198">
        <f>'NKC2'!AQ85*100</f>
        <v>0</v>
      </c>
      <c r="AN71" s="198">
        <f>'NKC2'!AR85*100</f>
        <v>0</v>
      </c>
      <c r="AO71" s="198">
        <f>'NKC2'!AS85*100</f>
        <v>0</v>
      </c>
      <c r="AP71" s="198">
        <f>'NKC2'!AT85*100</f>
        <v>0</v>
      </c>
      <c r="AQ71" s="198">
        <f>'NKC2'!AU85*100</f>
        <v>0</v>
      </c>
      <c r="AR71" s="198">
        <f>'NKC2'!AV85*100</f>
        <v>0</v>
      </c>
      <c r="AS71" s="198">
        <f>'NKC2'!AW85*100</f>
        <v>0</v>
      </c>
      <c r="AT71" s="198">
        <f>'NKC2'!AX85*100</f>
        <v>0</v>
      </c>
      <c r="AU71" s="198">
        <f>'NKC2'!AY85*100</f>
        <v>0</v>
      </c>
      <c r="AV71" s="198">
        <f>'NKC2'!AZ85*100</f>
        <v>0</v>
      </c>
      <c r="AW71" s="198">
        <f>'NKC2'!BA85*100</f>
        <v>0</v>
      </c>
      <c r="AX71" s="198">
        <f>'NKC2'!BB85*100</f>
        <v>0</v>
      </c>
      <c r="AY71" s="198">
        <f>'NKC2'!BC85*100</f>
        <v>0</v>
      </c>
      <c r="AZ71" s="198">
        <f>'NKC2'!BD85*100</f>
        <v>0</v>
      </c>
      <c r="BA71" s="198">
        <f>'NKC2'!BE85*100</f>
        <v>0</v>
      </c>
      <c r="BB71" s="198">
        <f>'NKC2'!BF85*100</f>
        <v>0</v>
      </c>
      <c r="BC71" s="198">
        <f>'NKC2'!BG85*100</f>
        <v>0</v>
      </c>
      <c r="BD71" s="198">
        <f>'NKC2'!BH85*100</f>
        <v>0</v>
      </c>
      <c r="BE71" s="198">
        <f>'NKC2'!BI85*100</f>
        <v>0</v>
      </c>
      <c r="BF71" s="198">
        <f>'NKC2'!BJ85*100</f>
        <v>0</v>
      </c>
      <c r="BG71" s="198">
        <f>'NKC2'!BK85*100</f>
        <v>0</v>
      </c>
      <c r="BH71" s="198">
        <f>'NKC2'!BL85*100</f>
        <v>0</v>
      </c>
      <c r="BI71" s="198">
        <f>'NKC2'!BM85*100</f>
        <v>0</v>
      </c>
      <c r="BJ71" s="198">
        <f>'NKC2'!BN85*100</f>
        <v>0</v>
      </c>
      <c r="BK71" s="198">
        <f>'NKC2'!BO85*100</f>
        <v>0</v>
      </c>
      <c r="BL71" s="198">
        <f>'NKC2'!BP85*100</f>
        <v>0</v>
      </c>
      <c r="BM71" s="198">
        <f>'NKC2'!BQ85*100</f>
        <v>0</v>
      </c>
      <c r="BN71" s="198">
        <f>'NKC2'!BR85*100</f>
        <v>0</v>
      </c>
      <c r="BO71" s="198">
        <f>'NKC2'!BS85*100</f>
        <v>0</v>
      </c>
      <c r="BP71" s="198">
        <f>'NKC2'!BT85*100</f>
        <v>0</v>
      </c>
      <c r="BQ71" s="198">
        <f>'NKC2'!BU85*100</f>
        <v>0</v>
      </c>
      <c r="BR71" s="198">
        <f>'NKC2'!BV85*100</f>
        <v>0</v>
      </c>
      <c r="BS71" s="198">
        <f>'NKC2'!BW85*100</f>
        <v>0</v>
      </c>
      <c r="BT71" s="198">
        <f>'NKC2'!BX85*100</f>
        <v>0</v>
      </c>
      <c r="BU71" s="198">
        <f>'NKC2'!BY85*100</f>
        <v>0</v>
      </c>
      <c r="BV71" s="198">
        <f>'NKC2'!BZ85*100</f>
        <v>0</v>
      </c>
      <c r="BW71" s="198">
        <f>'NKC2'!CA85*100</f>
        <v>0</v>
      </c>
      <c r="BX71" s="198">
        <f>'NKC2'!CB85*100</f>
        <v>0</v>
      </c>
      <c r="BY71" s="198">
        <f>'NKC2'!CC85*100</f>
        <v>0</v>
      </c>
      <c r="BZ71" s="198">
        <f>'NKC2'!CD85*100</f>
        <v>0</v>
      </c>
      <c r="CA71" s="198">
        <f>'NKC2'!CE85*100</f>
        <v>0</v>
      </c>
      <c r="CB71" s="198">
        <f>'NKC2'!CF85*100</f>
        <v>0</v>
      </c>
      <c r="CC71" s="198">
        <f>'NKC2'!CG85*100</f>
        <v>0</v>
      </c>
      <c r="CD71" s="198">
        <f>'NKC2'!CH85*100</f>
        <v>0</v>
      </c>
      <c r="CE71" s="198">
        <f>'NKC2'!CI85*100</f>
        <v>0</v>
      </c>
      <c r="CF71" s="198">
        <f>'NKC2'!CJ85*100</f>
        <v>0</v>
      </c>
      <c r="CG71" s="198">
        <f>'NKC2'!CK85*100</f>
        <v>0</v>
      </c>
      <c r="CH71" s="198">
        <f>'NKC2'!CL85*100</f>
        <v>0</v>
      </c>
      <c r="CI71" s="198">
        <f>'NKC2'!CM85*100</f>
        <v>0</v>
      </c>
    </row>
    <row r="72" spans="1:87" x14ac:dyDescent="0.45">
      <c r="A72" s="403" t="str">
        <f>'NKC2'!B86</f>
        <v>1.6.2</v>
      </c>
      <c r="B72" s="403" t="str">
        <f>'NKC2'!D86</f>
        <v xml:space="preserve">             ติดตั้งถังดักไขมัน</v>
      </c>
      <c r="C72" s="404">
        <f>'NKC2'!F86</f>
        <v>42272.622750806899</v>
      </c>
      <c r="D72" s="407" t="str">
        <f>'NKC2'!G84</f>
        <v>P</v>
      </c>
      <c r="E72" s="405">
        <f>'NKC2'!H86*100</f>
        <v>99.999999999999986</v>
      </c>
      <c r="F72" s="405">
        <f>'NKC2'!J86*100</f>
        <v>0</v>
      </c>
      <c r="G72" s="405">
        <f>'NKC2'!K86*100</f>
        <v>0</v>
      </c>
      <c r="H72" s="405">
        <f>'NKC2'!L86*100</f>
        <v>0</v>
      </c>
      <c r="I72" s="405">
        <f>'NKC2'!M86*100</f>
        <v>0</v>
      </c>
      <c r="J72" s="405">
        <f>'NKC2'!N86*100</f>
        <v>0</v>
      </c>
      <c r="K72" s="405">
        <f>'NKC2'!O86*100</f>
        <v>0</v>
      </c>
      <c r="L72" s="405">
        <f>'NKC2'!P86*100</f>
        <v>0</v>
      </c>
      <c r="M72" s="405">
        <f>'NKC2'!Q86*100</f>
        <v>0</v>
      </c>
      <c r="N72" s="405">
        <f>'NKC2'!R86*100</f>
        <v>0</v>
      </c>
      <c r="O72" s="405">
        <f>'NKC2'!S86*100</f>
        <v>0</v>
      </c>
      <c r="P72" s="405">
        <f>'NKC2'!T86*100</f>
        <v>0</v>
      </c>
      <c r="Q72" s="405">
        <f>'NKC2'!U86*100</f>
        <v>0</v>
      </c>
      <c r="R72" s="405">
        <f>'NKC2'!V86*100</f>
        <v>0</v>
      </c>
      <c r="S72" s="405">
        <f>'NKC2'!W86*100</f>
        <v>0</v>
      </c>
      <c r="T72" s="405">
        <f>'NKC2'!X86*100</f>
        <v>0</v>
      </c>
      <c r="U72" s="405">
        <f>'NKC2'!Y86*100</f>
        <v>0</v>
      </c>
      <c r="V72" s="405">
        <f>'NKC2'!Z86*100</f>
        <v>0</v>
      </c>
      <c r="W72" s="405">
        <f>'NKC2'!AA86*100</f>
        <v>15</v>
      </c>
      <c r="X72" s="405">
        <f>'NKC2'!AB86*100</f>
        <v>15</v>
      </c>
      <c r="Y72" s="405">
        <f>'NKC2'!AC86*100</f>
        <v>15</v>
      </c>
      <c r="Z72" s="405">
        <f>'NKC2'!AD86*100</f>
        <v>15</v>
      </c>
      <c r="AA72" s="405">
        <f>'NKC2'!AE86*100</f>
        <v>10</v>
      </c>
      <c r="AB72" s="405">
        <f>'NKC2'!AF86*100</f>
        <v>10</v>
      </c>
      <c r="AC72" s="405">
        <f>'NKC2'!AG86*100</f>
        <v>10</v>
      </c>
      <c r="AD72" s="405">
        <f>'NKC2'!AH86*100</f>
        <v>10</v>
      </c>
      <c r="AE72" s="405">
        <f>'NKC2'!AI86*100</f>
        <v>0</v>
      </c>
      <c r="AF72" s="405">
        <f>'NKC2'!AJ86*100</f>
        <v>0</v>
      </c>
      <c r="AG72" s="405">
        <f>'NKC2'!AK86*100</f>
        <v>0</v>
      </c>
      <c r="AH72" s="405">
        <f>'NKC2'!AL86*100</f>
        <v>0</v>
      </c>
      <c r="AI72" s="405">
        <f>'NKC2'!AM86*100</f>
        <v>0</v>
      </c>
      <c r="AJ72" s="405">
        <f>'NKC2'!AN86*100</f>
        <v>0</v>
      </c>
      <c r="AK72" s="405">
        <f>'NKC2'!AO86*100</f>
        <v>0</v>
      </c>
      <c r="AL72" s="405">
        <f>'NKC2'!AP86*100</f>
        <v>0</v>
      </c>
      <c r="AM72" s="405">
        <f>'NKC2'!AQ86*100</f>
        <v>0</v>
      </c>
      <c r="AN72" s="405">
        <f>'NKC2'!AR86*100</f>
        <v>0</v>
      </c>
      <c r="AO72" s="405">
        <f>'NKC2'!AS86*100</f>
        <v>0</v>
      </c>
      <c r="AP72" s="405">
        <f>'NKC2'!AT86*100</f>
        <v>0</v>
      </c>
      <c r="AQ72" s="405">
        <f>'NKC2'!AU86*100</f>
        <v>0</v>
      </c>
      <c r="AR72" s="405">
        <f>'NKC2'!AV86*100</f>
        <v>0</v>
      </c>
      <c r="AS72" s="405">
        <f>'NKC2'!AW86*100</f>
        <v>0</v>
      </c>
      <c r="AT72" s="405">
        <f>'NKC2'!AX86*100</f>
        <v>0</v>
      </c>
      <c r="AU72" s="405">
        <f>'NKC2'!AY86*100</f>
        <v>0</v>
      </c>
      <c r="AV72" s="405">
        <f>'NKC2'!AZ86*100</f>
        <v>0</v>
      </c>
      <c r="AW72" s="405">
        <f>'NKC2'!BA86*100</f>
        <v>0</v>
      </c>
      <c r="AX72" s="405">
        <f>'NKC2'!BB86*100</f>
        <v>0</v>
      </c>
      <c r="AY72" s="405">
        <f>'NKC2'!BC86*100</f>
        <v>0</v>
      </c>
      <c r="AZ72" s="405">
        <f>'NKC2'!BD86*100</f>
        <v>0</v>
      </c>
      <c r="BA72" s="405">
        <f>'NKC2'!BE86*100</f>
        <v>0</v>
      </c>
      <c r="BB72" s="405">
        <f>'NKC2'!BF86*100</f>
        <v>0</v>
      </c>
      <c r="BC72" s="405">
        <f>'NKC2'!BG86*100</f>
        <v>0</v>
      </c>
      <c r="BD72" s="405">
        <f>'NKC2'!BH86*100</f>
        <v>0</v>
      </c>
      <c r="BE72" s="405">
        <f>'NKC2'!BI86*100</f>
        <v>0</v>
      </c>
      <c r="BF72" s="405">
        <f>'NKC2'!BJ86*100</f>
        <v>0</v>
      </c>
      <c r="BG72" s="405">
        <f>'NKC2'!BK86*100</f>
        <v>0</v>
      </c>
      <c r="BH72" s="405">
        <f>'NKC2'!BL86*100</f>
        <v>0</v>
      </c>
      <c r="BI72" s="405">
        <f>'NKC2'!BM86*100</f>
        <v>0</v>
      </c>
      <c r="BJ72" s="405">
        <f>'NKC2'!BN86*100</f>
        <v>0</v>
      </c>
      <c r="BK72" s="405">
        <f>'NKC2'!BO86*100</f>
        <v>0</v>
      </c>
      <c r="BL72" s="405">
        <f>'NKC2'!BP86*100</f>
        <v>0</v>
      </c>
      <c r="BM72" s="405">
        <f>'NKC2'!BQ86*100</f>
        <v>0</v>
      </c>
      <c r="BN72" s="405">
        <f>'NKC2'!BR86*100</f>
        <v>0</v>
      </c>
      <c r="BO72" s="405">
        <f>'NKC2'!BS86*100</f>
        <v>0</v>
      </c>
      <c r="BP72" s="405">
        <f>'NKC2'!BT86*100</f>
        <v>0</v>
      </c>
      <c r="BQ72" s="405">
        <f>'NKC2'!BU86*100</f>
        <v>0</v>
      </c>
      <c r="BR72" s="405">
        <f>'NKC2'!BV86*100</f>
        <v>0</v>
      </c>
      <c r="BS72" s="405">
        <f>'NKC2'!BW86*100</f>
        <v>0</v>
      </c>
      <c r="BT72" s="405">
        <f>'NKC2'!BX86*100</f>
        <v>0</v>
      </c>
      <c r="BU72" s="405">
        <f>'NKC2'!BY86*100</f>
        <v>0</v>
      </c>
      <c r="BV72" s="405">
        <f>'NKC2'!BZ86*100</f>
        <v>0</v>
      </c>
      <c r="BW72" s="405">
        <f>'NKC2'!CA86*100</f>
        <v>0</v>
      </c>
      <c r="BX72" s="405">
        <f>'NKC2'!CB86*100</f>
        <v>0</v>
      </c>
      <c r="BY72" s="405">
        <f>'NKC2'!CC86*100</f>
        <v>0</v>
      </c>
      <c r="BZ72" s="405">
        <f>'NKC2'!CD86*100</f>
        <v>0</v>
      </c>
      <c r="CA72" s="405">
        <f>'NKC2'!CE86*100</f>
        <v>0</v>
      </c>
      <c r="CB72" s="405">
        <f>'NKC2'!CF86*100</f>
        <v>0</v>
      </c>
      <c r="CC72" s="405">
        <f>'NKC2'!CG86*100</f>
        <v>0</v>
      </c>
      <c r="CD72" s="405">
        <f>'NKC2'!CH86*100</f>
        <v>0</v>
      </c>
      <c r="CE72" s="405">
        <f>'NKC2'!CI86*100</f>
        <v>0</v>
      </c>
      <c r="CF72" s="405">
        <f>'NKC2'!CJ86*100</f>
        <v>0</v>
      </c>
      <c r="CG72" s="405">
        <f>'NKC2'!CK86*100</f>
        <v>0</v>
      </c>
      <c r="CH72" s="405">
        <f>'NKC2'!CL86*100</f>
        <v>0</v>
      </c>
      <c r="CI72" s="405">
        <f>'NKC2'!CM86*100</f>
        <v>0</v>
      </c>
    </row>
    <row r="73" spans="1:87" x14ac:dyDescent="0.45">
      <c r="A73" t="str">
        <f>'NKC2'!B87</f>
        <v>1.6.2</v>
      </c>
      <c r="B73" t="str">
        <f>'NKC2'!D87</f>
        <v xml:space="preserve">             ติดตั้งถังดักไขมัน</v>
      </c>
      <c r="C73" s="193">
        <f>'NKC2'!F87</f>
        <v>42272.622750806899</v>
      </c>
      <c r="D73" s="140" t="str">
        <f>'NKC2'!G85</f>
        <v>A</v>
      </c>
      <c r="E73" s="198">
        <f>'NKC2'!H87*100</f>
        <v>0</v>
      </c>
      <c r="F73" s="198">
        <f>'NKC2'!J87*100</f>
        <v>0</v>
      </c>
      <c r="G73" s="198">
        <f>'NKC2'!K87*100</f>
        <v>0</v>
      </c>
      <c r="H73" s="198">
        <f>'NKC2'!L87*100</f>
        <v>0</v>
      </c>
      <c r="I73" s="198">
        <f>'NKC2'!M87*100</f>
        <v>0</v>
      </c>
      <c r="J73" s="198">
        <f>'NKC2'!N87*100</f>
        <v>0</v>
      </c>
      <c r="K73" s="198">
        <f>'NKC2'!O87*100</f>
        <v>0</v>
      </c>
      <c r="L73" s="198">
        <f>'NKC2'!P87*100</f>
        <v>0</v>
      </c>
      <c r="M73" s="198">
        <f>'NKC2'!Q87*100</f>
        <v>0</v>
      </c>
      <c r="N73" s="198">
        <f>'NKC2'!R87*100</f>
        <v>0</v>
      </c>
      <c r="O73" s="198">
        <f>'NKC2'!S87*100</f>
        <v>0</v>
      </c>
      <c r="P73" s="198">
        <f>'NKC2'!T87*100</f>
        <v>0</v>
      </c>
      <c r="Q73" s="198">
        <f>'NKC2'!U87*100</f>
        <v>0</v>
      </c>
      <c r="R73" s="198">
        <f>'NKC2'!V87*100</f>
        <v>0</v>
      </c>
      <c r="S73" s="198">
        <f>'NKC2'!W87*100</f>
        <v>0</v>
      </c>
      <c r="T73" s="198">
        <f>'NKC2'!X87*100</f>
        <v>0</v>
      </c>
      <c r="U73" s="198">
        <f>'NKC2'!Y87*100</f>
        <v>0</v>
      </c>
      <c r="V73" s="198">
        <f>'NKC2'!Z87*100</f>
        <v>0</v>
      </c>
      <c r="W73" s="198">
        <f>'NKC2'!AA87*100</f>
        <v>0</v>
      </c>
      <c r="X73" s="198">
        <f>'NKC2'!AB87*100</f>
        <v>0</v>
      </c>
      <c r="Y73" s="198">
        <f>'NKC2'!AC87*100</f>
        <v>0</v>
      </c>
      <c r="Z73" s="198">
        <f>'NKC2'!AD87*100</f>
        <v>0</v>
      </c>
      <c r="AA73" s="198">
        <f>'NKC2'!AE87*100</f>
        <v>0</v>
      </c>
      <c r="AB73" s="198">
        <f>'NKC2'!AF87*100</f>
        <v>0</v>
      </c>
      <c r="AC73" s="198">
        <f>'NKC2'!AG87*100</f>
        <v>0</v>
      </c>
      <c r="AD73" s="198">
        <f>'NKC2'!AH87*100</f>
        <v>0</v>
      </c>
      <c r="AE73" s="198">
        <f>'NKC2'!AI87*100</f>
        <v>0</v>
      </c>
      <c r="AF73" s="198">
        <f>'NKC2'!AJ87*100</f>
        <v>0</v>
      </c>
      <c r="AG73" s="198">
        <f>'NKC2'!AK87*100</f>
        <v>0</v>
      </c>
      <c r="AH73" s="198">
        <f>'NKC2'!AL87*100</f>
        <v>0</v>
      </c>
      <c r="AI73" s="198">
        <f>'NKC2'!AM87*100</f>
        <v>0</v>
      </c>
      <c r="AJ73" s="198">
        <f>'NKC2'!AN87*100</f>
        <v>0</v>
      </c>
      <c r="AK73" s="198">
        <f>'NKC2'!AO87*100</f>
        <v>0</v>
      </c>
      <c r="AL73" s="198">
        <f>'NKC2'!AP87*100</f>
        <v>0</v>
      </c>
      <c r="AM73" s="198">
        <f>'NKC2'!AQ87*100</f>
        <v>0</v>
      </c>
      <c r="AN73" s="198">
        <f>'NKC2'!AR87*100</f>
        <v>0</v>
      </c>
      <c r="AO73" s="198">
        <f>'NKC2'!AS87*100</f>
        <v>0</v>
      </c>
      <c r="AP73" s="198">
        <f>'NKC2'!AT87*100</f>
        <v>0</v>
      </c>
      <c r="AQ73" s="198">
        <f>'NKC2'!AU87*100</f>
        <v>0</v>
      </c>
      <c r="AR73" s="198">
        <f>'NKC2'!AV87*100</f>
        <v>0</v>
      </c>
      <c r="AS73" s="198">
        <f>'NKC2'!AW87*100</f>
        <v>0</v>
      </c>
      <c r="AT73" s="198">
        <f>'NKC2'!AX87*100</f>
        <v>0</v>
      </c>
      <c r="AU73" s="198">
        <f>'NKC2'!AY87*100</f>
        <v>0</v>
      </c>
      <c r="AV73" s="198">
        <f>'NKC2'!AZ87*100</f>
        <v>0</v>
      </c>
      <c r="AW73" s="198">
        <f>'NKC2'!BA87*100</f>
        <v>0</v>
      </c>
      <c r="AX73" s="198">
        <f>'NKC2'!BB87*100</f>
        <v>0</v>
      </c>
      <c r="AY73" s="198">
        <f>'NKC2'!BC87*100</f>
        <v>0</v>
      </c>
      <c r="AZ73" s="198">
        <f>'NKC2'!BD87*100</f>
        <v>0</v>
      </c>
      <c r="BA73" s="198">
        <f>'NKC2'!BE87*100</f>
        <v>0</v>
      </c>
      <c r="BB73" s="198">
        <f>'NKC2'!BF87*100</f>
        <v>0</v>
      </c>
      <c r="BC73" s="198">
        <f>'NKC2'!BG87*100</f>
        <v>0</v>
      </c>
      <c r="BD73" s="198">
        <f>'NKC2'!BH87*100</f>
        <v>0</v>
      </c>
      <c r="BE73" s="198">
        <f>'NKC2'!BI87*100</f>
        <v>0</v>
      </c>
      <c r="BF73" s="198">
        <f>'NKC2'!BJ87*100</f>
        <v>0</v>
      </c>
      <c r="BG73" s="198">
        <f>'NKC2'!BK87*100</f>
        <v>0</v>
      </c>
      <c r="BH73" s="198">
        <f>'NKC2'!BL87*100</f>
        <v>0</v>
      </c>
      <c r="BI73" s="198">
        <f>'NKC2'!BM87*100</f>
        <v>0</v>
      </c>
      <c r="BJ73" s="198">
        <f>'NKC2'!BN87*100</f>
        <v>0</v>
      </c>
      <c r="BK73" s="198">
        <f>'NKC2'!BO87*100</f>
        <v>0</v>
      </c>
      <c r="BL73" s="198">
        <f>'NKC2'!BP87*100</f>
        <v>0</v>
      </c>
      <c r="BM73" s="198">
        <f>'NKC2'!BQ87*100</f>
        <v>0</v>
      </c>
      <c r="BN73" s="198">
        <f>'NKC2'!BR87*100</f>
        <v>0</v>
      </c>
      <c r="BO73" s="198">
        <f>'NKC2'!BS87*100</f>
        <v>0</v>
      </c>
      <c r="BP73" s="198">
        <f>'NKC2'!BT87*100</f>
        <v>0</v>
      </c>
      <c r="BQ73" s="198">
        <f>'NKC2'!BU87*100</f>
        <v>0</v>
      </c>
      <c r="BR73" s="198">
        <f>'NKC2'!BV87*100</f>
        <v>0</v>
      </c>
      <c r="BS73" s="198">
        <f>'NKC2'!BW87*100</f>
        <v>0</v>
      </c>
      <c r="BT73" s="198">
        <f>'NKC2'!BX87*100</f>
        <v>0</v>
      </c>
      <c r="BU73" s="198">
        <f>'NKC2'!BY87*100</f>
        <v>0</v>
      </c>
      <c r="BV73" s="198">
        <f>'NKC2'!BZ87*100</f>
        <v>0</v>
      </c>
      <c r="BW73" s="198">
        <f>'NKC2'!CA87*100</f>
        <v>0</v>
      </c>
      <c r="BX73" s="198">
        <f>'NKC2'!CB87*100</f>
        <v>0</v>
      </c>
      <c r="BY73" s="198">
        <f>'NKC2'!CC87*100</f>
        <v>0</v>
      </c>
      <c r="BZ73" s="198">
        <f>'NKC2'!CD87*100</f>
        <v>0</v>
      </c>
      <c r="CA73" s="198">
        <f>'NKC2'!CE87*100</f>
        <v>0</v>
      </c>
      <c r="CB73" s="198">
        <f>'NKC2'!CF87*100</f>
        <v>0</v>
      </c>
      <c r="CC73" s="198">
        <f>'NKC2'!CG87*100</f>
        <v>0</v>
      </c>
      <c r="CD73" s="198">
        <f>'NKC2'!CH87*100</f>
        <v>0</v>
      </c>
      <c r="CE73" s="198">
        <f>'NKC2'!CI87*100</f>
        <v>0</v>
      </c>
      <c r="CF73" s="198">
        <f>'NKC2'!CJ87*100</f>
        <v>0</v>
      </c>
      <c r="CG73" s="198">
        <f>'NKC2'!CK87*100</f>
        <v>0</v>
      </c>
      <c r="CH73" s="198">
        <f>'NKC2'!CL87*100</f>
        <v>0</v>
      </c>
      <c r="CI73" s="198">
        <f>'NKC2'!CM87*100</f>
        <v>0</v>
      </c>
    </row>
    <row r="74" spans="1:87" x14ac:dyDescent="0.45">
      <c r="A74" s="403" t="str">
        <f>'NKC2'!B88</f>
        <v>1.6.3</v>
      </c>
      <c r="B74" s="403" t="str">
        <f>'NKC2'!D88</f>
        <v xml:space="preserve">             ติดตั้งถังเก็บน้ำประปา ( Water Tank ) และ Cold Water Booster Pump</v>
      </c>
      <c r="C74" s="404">
        <f>'NKC2'!F88</f>
        <v>927578.61846687598</v>
      </c>
      <c r="D74" s="407" t="str">
        <f>'NKC2'!G86</f>
        <v>P</v>
      </c>
      <c r="E74" s="405">
        <f>'NKC2'!H88*100</f>
        <v>99.999999999999986</v>
      </c>
      <c r="F74" s="405">
        <f>'NKC2'!J88*100</f>
        <v>0</v>
      </c>
      <c r="G74" s="405">
        <f>'NKC2'!K88*100</f>
        <v>0</v>
      </c>
      <c r="H74" s="405">
        <f>'NKC2'!L88*100</f>
        <v>0</v>
      </c>
      <c r="I74" s="405">
        <f>'NKC2'!M88*100</f>
        <v>0</v>
      </c>
      <c r="J74" s="405">
        <f>'NKC2'!N88*100</f>
        <v>0</v>
      </c>
      <c r="K74" s="405">
        <f>'NKC2'!O88*100</f>
        <v>0</v>
      </c>
      <c r="L74" s="405">
        <f>'NKC2'!P88*100</f>
        <v>0</v>
      </c>
      <c r="M74" s="405">
        <f>'NKC2'!Q88*100</f>
        <v>0</v>
      </c>
      <c r="N74" s="405">
        <f>'NKC2'!R88*100</f>
        <v>0</v>
      </c>
      <c r="O74" s="405">
        <f>'NKC2'!S88*100</f>
        <v>0</v>
      </c>
      <c r="P74" s="405">
        <f>'NKC2'!T88*100</f>
        <v>0</v>
      </c>
      <c r="Q74" s="405">
        <f>'NKC2'!U88*100</f>
        <v>0</v>
      </c>
      <c r="R74" s="405">
        <f>'NKC2'!V88*100</f>
        <v>0</v>
      </c>
      <c r="S74" s="405">
        <f>'NKC2'!W88*100</f>
        <v>0</v>
      </c>
      <c r="T74" s="405">
        <f>'NKC2'!X88*100</f>
        <v>0</v>
      </c>
      <c r="U74" s="405">
        <f>'NKC2'!Y88*100</f>
        <v>0</v>
      </c>
      <c r="V74" s="405">
        <f>'NKC2'!Z88*100</f>
        <v>0</v>
      </c>
      <c r="W74" s="405">
        <f>'NKC2'!AA88*100</f>
        <v>10</v>
      </c>
      <c r="X74" s="405">
        <f>'NKC2'!AB88*100</f>
        <v>25</v>
      </c>
      <c r="Y74" s="405">
        <f>'NKC2'!AC88*100</f>
        <v>35</v>
      </c>
      <c r="Z74" s="405">
        <f>'NKC2'!AD88*100</f>
        <v>20</v>
      </c>
      <c r="AA74" s="405">
        <f>'NKC2'!AE88*100</f>
        <v>10</v>
      </c>
      <c r="AB74" s="405">
        <f>'NKC2'!AF88*100</f>
        <v>0</v>
      </c>
      <c r="AC74" s="405">
        <f>'NKC2'!AG88*100</f>
        <v>0</v>
      </c>
      <c r="AD74" s="405">
        <f>'NKC2'!AH88*100</f>
        <v>0</v>
      </c>
      <c r="AE74" s="405">
        <f>'NKC2'!AI88*100</f>
        <v>0</v>
      </c>
      <c r="AF74" s="405">
        <f>'NKC2'!AJ88*100</f>
        <v>0</v>
      </c>
      <c r="AG74" s="405">
        <f>'NKC2'!AK88*100</f>
        <v>0</v>
      </c>
      <c r="AH74" s="405">
        <f>'NKC2'!AL88*100</f>
        <v>0</v>
      </c>
      <c r="AI74" s="405">
        <f>'NKC2'!AM88*100</f>
        <v>0</v>
      </c>
      <c r="AJ74" s="405">
        <f>'NKC2'!AN88*100</f>
        <v>0</v>
      </c>
      <c r="AK74" s="405">
        <f>'NKC2'!AO88*100</f>
        <v>0</v>
      </c>
      <c r="AL74" s="405">
        <f>'NKC2'!AP88*100</f>
        <v>0</v>
      </c>
      <c r="AM74" s="405">
        <f>'NKC2'!AQ88*100</f>
        <v>0</v>
      </c>
      <c r="AN74" s="405">
        <f>'NKC2'!AR88*100</f>
        <v>0</v>
      </c>
      <c r="AO74" s="405">
        <f>'NKC2'!AS88*100</f>
        <v>0</v>
      </c>
      <c r="AP74" s="405">
        <f>'NKC2'!AT88*100</f>
        <v>0</v>
      </c>
      <c r="AQ74" s="405">
        <f>'NKC2'!AU88*100</f>
        <v>0</v>
      </c>
      <c r="AR74" s="405">
        <f>'NKC2'!AV88*100</f>
        <v>0</v>
      </c>
      <c r="AS74" s="405">
        <f>'NKC2'!AW88*100</f>
        <v>0</v>
      </c>
      <c r="AT74" s="405">
        <f>'NKC2'!AX88*100</f>
        <v>0</v>
      </c>
      <c r="AU74" s="405">
        <f>'NKC2'!AY88*100</f>
        <v>0</v>
      </c>
      <c r="AV74" s="405">
        <f>'NKC2'!AZ88*100</f>
        <v>0</v>
      </c>
      <c r="AW74" s="405">
        <f>'NKC2'!BA88*100</f>
        <v>0</v>
      </c>
      <c r="AX74" s="405">
        <f>'NKC2'!BB88*100</f>
        <v>0</v>
      </c>
      <c r="AY74" s="405">
        <f>'NKC2'!BC88*100</f>
        <v>0</v>
      </c>
      <c r="AZ74" s="405">
        <f>'NKC2'!BD88*100</f>
        <v>0</v>
      </c>
      <c r="BA74" s="405">
        <f>'NKC2'!BE88*100</f>
        <v>0</v>
      </c>
      <c r="BB74" s="405">
        <f>'NKC2'!BF88*100</f>
        <v>0</v>
      </c>
      <c r="BC74" s="405">
        <f>'NKC2'!BG88*100</f>
        <v>0</v>
      </c>
      <c r="BD74" s="405">
        <f>'NKC2'!BH88*100</f>
        <v>0</v>
      </c>
      <c r="BE74" s="405">
        <f>'NKC2'!BI88*100</f>
        <v>0</v>
      </c>
      <c r="BF74" s="405">
        <f>'NKC2'!BJ88*100</f>
        <v>0</v>
      </c>
      <c r="BG74" s="405">
        <f>'NKC2'!BK88*100</f>
        <v>0</v>
      </c>
      <c r="BH74" s="405">
        <f>'NKC2'!BL88*100</f>
        <v>0</v>
      </c>
      <c r="BI74" s="405">
        <f>'NKC2'!BM88*100</f>
        <v>0</v>
      </c>
      <c r="BJ74" s="405">
        <f>'NKC2'!BN88*100</f>
        <v>0</v>
      </c>
      <c r="BK74" s="405">
        <f>'NKC2'!BO88*100</f>
        <v>0</v>
      </c>
      <c r="BL74" s="405">
        <f>'NKC2'!BP88*100</f>
        <v>0</v>
      </c>
      <c r="BM74" s="405">
        <f>'NKC2'!BQ88*100</f>
        <v>0</v>
      </c>
      <c r="BN74" s="405">
        <f>'NKC2'!BR88*100</f>
        <v>0</v>
      </c>
      <c r="BO74" s="405">
        <f>'NKC2'!BS88*100</f>
        <v>0</v>
      </c>
      <c r="BP74" s="405">
        <f>'NKC2'!BT88*100</f>
        <v>0</v>
      </c>
      <c r="BQ74" s="405">
        <f>'NKC2'!BU88*100</f>
        <v>0</v>
      </c>
      <c r="BR74" s="405">
        <f>'NKC2'!BV88*100</f>
        <v>0</v>
      </c>
      <c r="BS74" s="405">
        <f>'NKC2'!BW88*100</f>
        <v>0</v>
      </c>
      <c r="BT74" s="405">
        <f>'NKC2'!BX88*100</f>
        <v>0</v>
      </c>
      <c r="BU74" s="405">
        <f>'NKC2'!BY88*100</f>
        <v>0</v>
      </c>
      <c r="BV74" s="405">
        <f>'NKC2'!BZ88*100</f>
        <v>0</v>
      </c>
      <c r="BW74" s="405">
        <f>'NKC2'!CA88*100</f>
        <v>0</v>
      </c>
      <c r="BX74" s="405">
        <f>'NKC2'!CB88*100</f>
        <v>0</v>
      </c>
      <c r="BY74" s="405">
        <f>'NKC2'!CC88*100</f>
        <v>0</v>
      </c>
      <c r="BZ74" s="405">
        <f>'NKC2'!CD88*100</f>
        <v>0</v>
      </c>
      <c r="CA74" s="405">
        <f>'NKC2'!CE88*100</f>
        <v>0</v>
      </c>
      <c r="CB74" s="405">
        <f>'NKC2'!CF88*100</f>
        <v>0</v>
      </c>
      <c r="CC74" s="405">
        <f>'NKC2'!CG88*100</f>
        <v>0</v>
      </c>
      <c r="CD74" s="405">
        <f>'NKC2'!CH88*100</f>
        <v>0</v>
      </c>
      <c r="CE74" s="405">
        <f>'NKC2'!CI88*100</f>
        <v>0</v>
      </c>
      <c r="CF74" s="405">
        <f>'NKC2'!CJ88*100</f>
        <v>0</v>
      </c>
      <c r="CG74" s="405">
        <f>'NKC2'!CK88*100</f>
        <v>0</v>
      </c>
      <c r="CH74" s="405">
        <f>'NKC2'!CL88*100</f>
        <v>0</v>
      </c>
      <c r="CI74" s="405">
        <f>'NKC2'!CM88*100</f>
        <v>0</v>
      </c>
    </row>
    <row r="75" spans="1:87" x14ac:dyDescent="0.45">
      <c r="A75" t="str">
        <f>'NKC2'!B89</f>
        <v>1.6.3</v>
      </c>
      <c r="B75" t="str">
        <f>'NKC2'!D89</f>
        <v xml:space="preserve">             ติดตั้งถังเก็บน้ำประปา ( Water Tank ) และ Cold Water Booster Pump</v>
      </c>
      <c r="C75" s="193">
        <f>'NKC2'!F89</f>
        <v>927578.61846687598</v>
      </c>
      <c r="D75" s="140" t="str">
        <f>'NKC2'!G87</f>
        <v>A</v>
      </c>
      <c r="E75" s="198">
        <f>'NKC2'!H89*100</f>
        <v>0</v>
      </c>
      <c r="F75" s="198">
        <f>'NKC2'!J89*100</f>
        <v>0</v>
      </c>
      <c r="G75" s="198">
        <f>'NKC2'!K89*100</f>
        <v>0</v>
      </c>
      <c r="H75" s="198">
        <f>'NKC2'!L89*100</f>
        <v>0</v>
      </c>
      <c r="I75" s="198">
        <f>'NKC2'!M89*100</f>
        <v>0</v>
      </c>
      <c r="J75" s="198">
        <f>'NKC2'!N89*100</f>
        <v>0</v>
      </c>
      <c r="K75" s="198">
        <f>'NKC2'!O89*100</f>
        <v>0</v>
      </c>
      <c r="L75" s="198">
        <f>'NKC2'!P89*100</f>
        <v>0</v>
      </c>
      <c r="M75" s="198">
        <f>'NKC2'!Q89*100</f>
        <v>0</v>
      </c>
      <c r="N75" s="198">
        <f>'NKC2'!R89*100</f>
        <v>0</v>
      </c>
      <c r="O75" s="198">
        <f>'NKC2'!S89*100</f>
        <v>0</v>
      </c>
      <c r="P75" s="198">
        <f>'NKC2'!T89*100</f>
        <v>0</v>
      </c>
      <c r="Q75" s="198">
        <f>'NKC2'!U89*100</f>
        <v>0</v>
      </c>
      <c r="R75" s="198">
        <f>'NKC2'!V89*100</f>
        <v>0</v>
      </c>
      <c r="S75" s="198">
        <f>'NKC2'!W89*100</f>
        <v>0</v>
      </c>
      <c r="T75" s="198">
        <f>'NKC2'!X89*100</f>
        <v>0</v>
      </c>
      <c r="U75" s="198">
        <f>'NKC2'!Y89*100</f>
        <v>0</v>
      </c>
      <c r="V75" s="198">
        <f>'NKC2'!Z89*100</f>
        <v>0</v>
      </c>
      <c r="W75" s="198">
        <f>'NKC2'!AA89*100</f>
        <v>0</v>
      </c>
      <c r="X75" s="198">
        <f>'NKC2'!AB89*100</f>
        <v>0</v>
      </c>
      <c r="Y75" s="198">
        <f>'NKC2'!AC89*100</f>
        <v>0</v>
      </c>
      <c r="Z75" s="198">
        <f>'NKC2'!AD89*100</f>
        <v>0</v>
      </c>
      <c r="AA75" s="198">
        <f>'NKC2'!AE89*100</f>
        <v>0</v>
      </c>
      <c r="AB75" s="198">
        <f>'NKC2'!AF89*100</f>
        <v>0</v>
      </c>
      <c r="AC75" s="198">
        <f>'NKC2'!AG89*100</f>
        <v>0</v>
      </c>
      <c r="AD75" s="198">
        <f>'NKC2'!AH89*100</f>
        <v>0</v>
      </c>
      <c r="AE75" s="198">
        <f>'NKC2'!AI89*100</f>
        <v>0</v>
      </c>
      <c r="AF75" s="198">
        <f>'NKC2'!AJ89*100</f>
        <v>0</v>
      </c>
      <c r="AG75" s="198">
        <f>'NKC2'!AK89*100</f>
        <v>0</v>
      </c>
      <c r="AH75" s="198">
        <f>'NKC2'!AL89*100</f>
        <v>0</v>
      </c>
      <c r="AI75" s="198">
        <f>'NKC2'!AM89*100</f>
        <v>0</v>
      </c>
      <c r="AJ75" s="198">
        <f>'NKC2'!AN89*100</f>
        <v>0</v>
      </c>
      <c r="AK75" s="198">
        <f>'NKC2'!AO89*100</f>
        <v>0</v>
      </c>
      <c r="AL75" s="198">
        <f>'NKC2'!AP89*100</f>
        <v>0</v>
      </c>
      <c r="AM75" s="198">
        <f>'NKC2'!AQ89*100</f>
        <v>0</v>
      </c>
      <c r="AN75" s="198">
        <f>'NKC2'!AR89*100</f>
        <v>0</v>
      </c>
      <c r="AO75" s="198">
        <f>'NKC2'!AS89*100</f>
        <v>0</v>
      </c>
      <c r="AP75" s="198">
        <f>'NKC2'!AT89*100</f>
        <v>0</v>
      </c>
      <c r="AQ75" s="198">
        <f>'NKC2'!AU89*100</f>
        <v>0</v>
      </c>
      <c r="AR75" s="198">
        <f>'NKC2'!AV89*100</f>
        <v>0</v>
      </c>
      <c r="AS75" s="198">
        <f>'NKC2'!AW89*100</f>
        <v>0</v>
      </c>
      <c r="AT75" s="198">
        <f>'NKC2'!AX89*100</f>
        <v>0</v>
      </c>
      <c r="AU75" s="198">
        <f>'NKC2'!AY89*100</f>
        <v>0</v>
      </c>
      <c r="AV75" s="198">
        <f>'NKC2'!AZ89*100</f>
        <v>0</v>
      </c>
      <c r="AW75" s="198">
        <f>'NKC2'!BA89*100</f>
        <v>0</v>
      </c>
      <c r="AX75" s="198">
        <f>'NKC2'!BB89*100</f>
        <v>0</v>
      </c>
      <c r="AY75" s="198">
        <f>'NKC2'!BC89*100</f>
        <v>0</v>
      </c>
      <c r="AZ75" s="198">
        <f>'NKC2'!BD89*100</f>
        <v>0</v>
      </c>
      <c r="BA75" s="198">
        <f>'NKC2'!BE89*100</f>
        <v>0</v>
      </c>
      <c r="BB75" s="198">
        <f>'NKC2'!BF89*100</f>
        <v>0</v>
      </c>
      <c r="BC75" s="198">
        <f>'NKC2'!BG89*100</f>
        <v>0</v>
      </c>
      <c r="BD75" s="198">
        <f>'NKC2'!BH89*100</f>
        <v>0</v>
      </c>
      <c r="BE75" s="198">
        <f>'NKC2'!BI89*100</f>
        <v>0</v>
      </c>
      <c r="BF75" s="198">
        <f>'NKC2'!BJ89*100</f>
        <v>0</v>
      </c>
      <c r="BG75" s="198">
        <f>'NKC2'!BK89*100</f>
        <v>0</v>
      </c>
      <c r="BH75" s="198">
        <f>'NKC2'!BL89*100</f>
        <v>0</v>
      </c>
      <c r="BI75" s="198">
        <f>'NKC2'!BM89*100</f>
        <v>0</v>
      </c>
      <c r="BJ75" s="198">
        <f>'NKC2'!BN89*100</f>
        <v>0</v>
      </c>
      <c r="BK75" s="198">
        <f>'NKC2'!BO89*100</f>
        <v>0</v>
      </c>
      <c r="BL75" s="198">
        <f>'NKC2'!BP89*100</f>
        <v>0</v>
      </c>
      <c r="BM75" s="198">
        <f>'NKC2'!BQ89*100</f>
        <v>0</v>
      </c>
      <c r="BN75" s="198">
        <f>'NKC2'!BR89*100</f>
        <v>0</v>
      </c>
      <c r="BO75" s="198">
        <f>'NKC2'!BS89*100</f>
        <v>0</v>
      </c>
      <c r="BP75" s="198">
        <f>'NKC2'!BT89*100</f>
        <v>0</v>
      </c>
      <c r="BQ75" s="198">
        <f>'NKC2'!BU89*100</f>
        <v>0</v>
      </c>
      <c r="BR75" s="198">
        <f>'NKC2'!BV89*100</f>
        <v>0</v>
      </c>
      <c r="BS75" s="198">
        <f>'NKC2'!BW89*100</f>
        <v>0</v>
      </c>
      <c r="BT75" s="198">
        <f>'NKC2'!BX89*100</f>
        <v>0</v>
      </c>
      <c r="BU75" s="198">
        <f>'NKC2'!BY89*100</f>
        <v>0</v>
      </c>
      <c r="BV75" s="198">
        <f>'NKC2'!BZ89*100</f>
        <v>0</v>
      </c>
      <c r="BW75" s="198">
        <f>'NKC2'!CA89*100</f>
        <v>0</v>
      </c>
      <c r="BX75" s="198">
        <f>'NKC2'!CB89*100</f>
        <v>0</v>
      </c>
      <c r="BY75" s="198">
        <f>'NKC2'!CC89*100</f>
        <v>0</v>
      </c>
      <c r="BZ75" s="198">
        <f>'NKC2'!CD89*100</f>
        <v>0</v>
      </c>
      <c r="CA75" s="198">
        <f>'NKC2'!CE89*100</f>
        <v>0</v>
      </c>
      <c r="CB75" s="198">
        <f>'NKC2'!CF89*100</f>
        <v>0</v>
      </c>
      <c r="CC75" s="198">
        <f>'NKC2'!CG89*100</f>
        <v>0</v>
      </c>
      <c r="CD75" s="198">
        <f>'NKC2'!CH89*100</f>
        <v>0</v>
      </c>
      <c r="CE75" s="198">
        <f>'NKC2'!CI89*100</f>
        <v>0</v>
      </c>
      <c r="CF75" s="198">
        <f>'NKC2'!CJ89*100</f>
        <v>0</v>
      </c>
      <c r="CG75" s="198">
        <f>'NKC2'!CK89*100</f>
        <v>0</v>
      </c>
      <c r="CH75" s="198">
        <f>'NKC2'!CL89*100</f>
        <v>0</v>
      </c>
      <c r="CI75" s="198">
        <f>'NKC2'!CM89*100</f>
        <v>0</v>
      </c>
    </row>
    <row r="76" spans="1:87" x14ac:dyDescent="0.45">
      <c r="A76" s="403" t="str">
        <f>'NKC2'!B90</f>
        <v>1.6.4</v>
      </c>
      <c r="B76" s="403">
        <f>'NKC2'!D90</f>
        <v>0</v>
      </c>
      <c r="C76" s="404">
        <f>'NKC2'!F90</f>
        <v>0</v>
      </c>
      <c r="D76" s="407" t="str">
        <f>'NKC2'!G88</f>
        <v>P</v>
      </c>
      <c r="E76" s="405">
        <f>'NKC2'!H90*100</f>
        <v>0</v>
      </c>
      <c r="F76" s="405">
        <f>'NKC2'!J90*100</f>
        <v>0</v>
      </c>
      <c r="G76" s="405">
        <f>'NKC2'!K90*100</f>
        <v>0</v>
      </c>
      <c r="H76" s="405">
        <f>'NKC2'!L90*100</f>
        <v>0</v>
      </c>
      <c r="I76" s="405">
        <f>'NKC2'!M90*100</f>
        <v>0</v>
      </c>
      <c r="J76" s="405">
        <f>'NKC2'!N90*100</f>
        <v>0</v>
      </c>
      <c r="K76" s="405">
        <f>'NKC2'!O90*100</f>
        <v>0</v>
      </c>
      <c r="L76" s="405">
        <f>'NKC2'!P90*100</f>
        <v>0</v>
      </c>
      <c r="M76" s="405">
        <f>'NKC2'!Q90*100</f>
        <v>0</v>
      </c>
      <c r="N76" s="405">
        <f>'NKC2'!R90*100</f>
        <v>0</v>
      </c>
      <c r="O76" s="405">
        <f>'NKC2'!S90*100</f>
        <v>0</v>
      </c>
      <c r="P76" s="405">
        <f>'NKC2'!T90*100</f>
        <v>0</v>
      </c>
      <c r="Q76" s="405">
        <f>'NKC2'!U90*100</f>
        <v>0</v>
      </c>
      <c r="R76" s="405">
        <f>'NKC2'!V90*100</f>
        <v>0</v>
      </c>
      <c r="S76" s="405">
        <f>'NKC2'!W90*100</f>
        <v>0</v>
      </c>
      <c r="T76" s="405">
        <f>'NKC2'!X90*100</f>
        <v>0</v>
      </c>
      <c r="U76" s="405">
        <f>'NKC2'!Y90*100</f>
        <v>0</v>
      </c>
      <c r="V76" s="405">
        <f>'NKC2'!Z90*100</f>
        <v>0</v>
      </c>
      <c r="W76" s="405">
        <f>'NKC2'!AA90*100</f>
        <v>0</v>
      </c>
      <c r="X76" s="405">
        <f>'NKC2'!AB90*100</f>
        <v>0</v>
      </c>
      <c r="Y76" s="405">
        <f>'NKC2'!AC90*100</f>
        <v>0</v>
      </c>
      <c r="Z76" s="405">
        <f>'NKC2'!AD90*100</f>
        <v>0</v>
      </c>
      <c r="AA76" s="405">
        <f>'NKC2'!AE90*100</f>
        <v>0</v>
      </c>
      <c r="AB76" s="405">
        <f>'NKC2'!AF90*100</f>
        <v>0</v>
      </c>
      <c r="AC76" s="405">
        <f>'NKC2'!AG90*100</f>
        <v>0</v>
      </c>
      <c r="AD76" s="405">
        <f>'NKC2'!AH90*100</f>
        <v>0</v>
      </c>
      <c r="AE76" s="405">
        <f>'NKC2'!AI90*100</f>
        <v>0</v>
      </c>
      <c r="AF76" s="405">
        <f>'NKC2'!AJ90*100</f>
        <v>0</v>
      </c>
      <c r="AG76" s="405">
        <f>'NKC2'!AK90*100</f>
        <v>0</v>
      </c>
      <c r="AH76" s="405">
        <f>'NKC2'!AL90*100</f>
        <v>0</v>
      </c>
      <c r="AI76" s="405">
        <f>'NKC2'!AM90*100</f>
        <v>0</v>
      </c>
      <c r="AJ76" s="405">
        <f>'NKC2'!AN90*100</f>
        <v>0</v>
      </c>
      <c r="AK76" s="405">
        <f>'NKC2'!AO90*100</f>
        <v>0</v>
      </c>
      <c r="AL76" s="405">
        <f>'NKC2'!AP90*100</f>
        <v>0</v>
      </c>
      <c r="AM76" s="405">
        <f>'NKC2'!AQ90*100</f>
        <v>0</v>
      </c>
      <c r="AN76" s="405">
        <f>'NKC2'!AR90*100</f>
        <v>0</v>
      </c>
      <c r="AO76" s="405">
        <f>'NKC2'!AS90*100</f>
        <v>0</v>
      </c>
      <c r="AP76" s="405">
        <f>'NKC2'!AT90*100</f>
        <v>0</v>
      </c>
      <c r="AQ76" s="405">
        <f>'NKC2'!AU90*100</f>
        <v>0</v>
      </c>
      <c r="AR76" s="405">
        <f>'NKC2'!AV90*100</f>
        <v>0</v>
      </c>
      <c r="AS76" s="405">
        <f>'NKC2'!AW90*100</f>
        <v>0</v>
      </c>
      <c r="AT76" s="405">
        <f>'NKC2'!AX90*100</f>
        <v>0</v>
      </c>
      <c r="AU76" s="405">
        <f>'NKC2'!AY90*100</f>
        <v>0</v>
      </c>
      <c r="AV76" s="405">
        <f>'NKC2'!AZ90*100</f>
        <v>0</v>
      </c>
      <c r="AW76" s="405">
        <f>'NKC2'!BA90*100</f>
        <v>0</v>
      </c>
      <c r="AX76" s="405">
        <f>'NKC2'!BB90*100</f>
        <v>0</v>
      </c>
      <c r="AY76" s="405">
        <f>'NKC2'!BC90*100</f>
        <v>0</v>
      </c>
      <c r="AZ76" s="405">
        <f>'NKC2'!BD90*100</f>
        <v>0</v>
      </c>
      <c r="BA76" s="405">
        <f>'NKC2'!BE90*100</f>
        <v>0</v>
      </c>
      <c r="BB76" s="405">
        <f>'NKC2'!BF90*100</f>
        <v>0</v>
      </c>
      <c r="BC76" s="405">
        <f>'NKC2'!BG90*100</f>
        <v>0</v>
      </c>
      <c r="BD76" s="405">
        <f>'NKC2'!BH90*100</f>
        <v>0</v>
      </c>
      <c r="BE76" s="405">
        <f>'NKC2'!BI90*100</f>
        <v>0</v>
      </c>
      <c r="BF76" s="405">
        <f>'NKC2'!BJ90*100</f>
        <v>0</v>
      </c>
      <c r="BG76" s="405">
        <f>'NKC2'!BK90*100</f>
        <v>0</v>
      </c>
      <c r="BH76" s="405">
        <f>'NKC2'!BL90*100</f>
        <v>0</v>
      </c>
      <c r="BI76" s="405">
        <f>'NKC2'!BM90*100</f>
        <v>0</v>
      </c>
      <c r="BJ76" s="405">
        <f>'NKC2'!BN90*100</f>
        <v>0</v>
      </c>
      <c r="BK76" s="405">
        <f>'NKC2'!BO90*100</f>
        <v>0</v>
      </c>
      <c r="BL76" s="405">
        <f>'NKC2'!BP90*100</f>
        <v>0</v>
      </c>
      <c r="BM76" s="405">
        <f>'NKC2'!BQ90*100</f>
        <v>0</v>
      </c>
      <c r="BN76" s="405">
        <f>'NKC2'!BR90*100</f>
        <v>0</v>
      </c>
      <c r="BO76" s="405">
        <f>'NKC2'!BS90*100</f>
        <v>0</v>
      </c>
      <c r="BP76" s="405">
        <f>'NKC2'!BT90*100</f>
        <v>0</v>
      </c>
      <c r="BQ76" s="405">
        <f>'NKC2'!BU90*100</f>
        <v>0</v>
      </c>
      <c r="BR76" s="405">
        <f>'NKC2'!BV90*100</f>
        <v>0</v>
      </c>
      <c r="BS76" s="405">
        <f>'NKC2'!BW90*100</f>
        <v>0</v>
      </c>
      <c r="BT76" s="405">
        <f>'NKC2'!BX90*100</f>
        <v>0</v>
      </c>
      <c r="BU76" s="405">
        <f>'NKC2'!BY90*100</f>
        <v>0</v>
      </c>
      <c r="BV76" s="405">
        <f>'NKC2'!BZ90*100</f>
        <v>0</v>
      </c>
      <c r="BW76" s="405">
        <f>'NKC2'!CA90*100</f>
        <v>0</v>
      </c>
      <c r="BX76" s="405">
        <f>'NKC2'!CB90*100</f>
        <v>0</v>
      </c>
      <c r="BY76" s="405">
        <f>'NKC2'!CC90*100</f>
        <v>0</v>
      </c>
      <c r="BZ76" s="405">
        <f>'NKC2'!CD90*100</f>
        <v>0</v>
      </c>
      <c r="CA76" s="405">
        <f>'NKC2'!CE90*100</f>
        <v>0</v>
      </c>
      <c r="CB76" s="405">
        <f>'NKC2'!CF90*100</f>
        <v>0</v>
      </c>
      <c r="CC76" s="405">
        <f>'NKC2'!CG90*100</f>
        <v>0</v>
      </c>
      <c r="CD76" s="405">
        <f>'NKC2'!CH90*100</f>
        <v>0</v>
      </c>
      <c r="CE76" s="405">
        <f>'NKC2'!CI90*100</f>
        <v>0</v>
      </c>
      <c r="CF76" s="405">
        <f>'NKC2'!CJ90*100</f>
        <v>0</v>
      </c>
      <c r="CG76" s="405">
        <f>'NKC2'!CK90*100</f>
        <v>0</v>
      </c>
      <c r="CH76" s="405">
        <f>'NKC2'!CL90*100</f>
        <v>0</v>
      </c>
      <c r="CI76" s="405">
        <f>'NKC2'!CM90*100</f>
        <v>0</v>
      </c>
    </row>
    <row r="77" spans="1:87" x14ac:dyDescent="0.45">
      <c r="A77" t="str">
        <f>'NKC2'!B91</f>
        <v>1.6.4</v>
      </c>
      <c r="B77">
        <f>'NKC2'!D91</f>
        <v>0</v>
      </c>
      <c r="C77" s="193">
        <f>'NKC2'!F91</f>
        <v>0</v>
      </c>
      <c r="D77" s="140" t="str">
        <f>'NKC2'!G89</f>
        <v>A</v>
      </c>
      <c r="E77" s="198">
        <f>'NKC2'!H91*100</f>
        <v>0</v>
      </c>
      <c r="F77" s="198">
        <f>'NKC2'!J91*100</f>
        <v>0</v>
      </c>
      <c r="G77" s="198">
        <f>'NKC2'!K91*100</f>
        <v>0</v>
      </c>
      <c r="H77" s="198">
        <f>'NKC2'!L91*100</f>
        <v>0</v>
      </c>
      <c r="I77" s="198">
        <f>'NKC2'!M91*100</f>
        <v>0</v>
      </c>
      <c r="J77" s="198">
        <f>'NKC2'!N91*100</f>
        <v>0</v>
      </c>
      <c r="K77" s="198">
        <f>'NKC2'!O91*100</f>
        <v>0</v>
      </c>
      <c r="L77" s="198">
        <f>'NKC2'!P91*100</f>
        <v>0</v>
      </c>
      <c r="M77" s="198">
        <f>'NKC2'!Q91*100</f>
        <v>0</v>
      </c>
      <c r="N77" s="198">
        <f>'NKC2'!R91*100</f>
        <v>0</v>
      </c>
      <c r="O77" s="198">
        <f>'NKC2'!S91*100</f>
        <v>0</v>
      </c>
      <c r="P77" s="198">
        <f>'NKC2'!T91*100</f>
        <v>0</v>
      </c>
      <c r="Q77" s="198">
        <f>'NKC2'!U91*100</f>
        <v>0</v>
      </c>
      <c r="R77" s="198">
        <f>'NKC2'!V91*100</f>
        <v>0</v>
      </c>
      <c r="S77" s="198">
        <f>'NKC2'!W91*100</f>
        <v>0</v>
      </c>
      <c r="T77" s="198">
        <f>'NKC2'!X91*100</f>
        <v>0</v>
      </c>
      <c r="U77" s="198">
        <f>'NKC2'!Y91*100</f>
        <v>0</v>
      </c>
      <c r="V77" s="198">
        <f>'NKC2'!Z91*100</f>
        <v>0</v>
      </c>
      <c r="W77" s="198">
        <f>'NKC2'!AA91*100</f>
        <v>0</v>
      </c>
      <c r="X77" s="198">
        <f>'NKC2'!AB91*100</f>
        <v>0</v>
      </c>
      <c r="Y77" s="198">
        <f>'NKC2'!AC91*100</f>
        <v>0</v>
      </c>
      <c r="Z77" s="198">
        <f>'NKC2'!AD91*100</f>
        <v>0</v>
      </c>
      <c r="AA77" s="198">
        <f>'NKC2'!AE91*100</f>
        <v>0</v>
      </c>
      <c r="AB77" s="198">
        <f>'NKC2'!AF91*100</f>
        <v>0</v>
      </c>
      <c r="AC77" s="198">
        <f>'NKC2'!AG91*100</f>
        <v>0</v>
      </c>
      <c r="AD77" s="198">
        <f>'NKC2'!AH91*100</f>
        <v>0</v>
      </c>
      <c r="AE77" s="198">
        <f>'NKC2'!AI91*100</f>
        <v>0</v>
      </c>
      <c r="AF77" s="198">
        <f>'NKC2'!AJ91*100</f>
        <v>0</v>
      </c>
      <c r="AG77" s="198">
        <f>'NKC2'!AK91*100</f>
        <v>0</v>
      </c>
      <c r="AH77" s="198">
        <f>'NKC2'!AL91*100</f>
        <v>0</v>
      </c>
      <c r="AI77" s="198">
        <f>'NKC2'!AM91*100</f>
        <v>0</v>
      </c>
      <c r="AJ77" s="198">
        <f>'NKC2'!AN91*100</f>
        <v>0</v>
      </c>
      <c r="AK77" s="198">
        <f>'NKC2'!AO91*100</f>
        <v>0</v>
      </c>
      <c r="AL77" s="198">
        <f>'NKC2'!AP91*100</f>
        <v>0</v>
      </c>
      <c r="AM77" s="198">
        <f>'NKC2'!AQ91*100</f>
        <v>0</v>
      </c>
      <c r="AN77" s="198">
        <f>'NKC2'!AR91*100</f>
        <v>0</v>
      </c>
      <c r="AO77" s="198">
        <f>'NKC2'!AS91*100</f>
        <v>0</v>
      </c>
      <c r="AP77" s="198">
        <f>'NKC2'!AT91*100</f>
        <v>0</v>
      </c>
      <c r="AQ77" s="198">
        <f>'NKC2'!AU91*100</f>
        <v>0</v>
      </c>
      <c r="AR77" s="198">
        <f>'NKC2'!AV91*100</f>
        <v>0</v>
      </c>
      <c r="AS77" s="198">
        <f>'NKC2'!AW91*100</f>
        <v>0</v>
      </c>
      <c r="AT77" s="198">
        <f>'NKC2'!AX91*100</f>
        <v>0</v>
      </c>
      <c r="AU77" s="198">
        <f>'NKC2'!AY91*100</f>
        <v>0</v>
      </c>
      <c r="AV77" s="198">
        <f>'NKC2'!AZ91*100</f>
        <v>0</v>
      </c>
      <c r="AW77" s="198">
        <f>'NKC2'!BA91*100</f>
        <v>0</v>
      </c>
      <c r="AX77" s="198">
        <f>'NKC2'!BB91*100</f>
        <v>0</v>
      </c>
      <c r="AY77" s="198">
        <f>'NKC2'!BC91*100</f>
        <v>0</v>
      </c>
      <c r="AZ77" s="198">
        <f>'NKC2'!BD91*100</f>
        <v>0</v>
      </c>
      <c r="BA77" s="198">
        <f>'NKC2'!BE91*100</f>
        <v>0</v>
      </c>
      <c r="BB77" s="198">
        <f>'NKC2'!BF91*100</f>
        <v>0</v>
      </c>
      <c r="BC77" s="198">
        <f>'NKC2'!BG91*100</f>
        <v>0</v>
      </c>
      <c r="BD77" s="198">
        <f>'NKC2'!BH91*100</f>
        <v>0</v>
      </c>
      <c r="BE77" s="198">
        <f>'NKC2'!BI91*100</f>
        <v>0</v>
      </c>
      <c r="BF77" s="198">
        <f>'NKC2'!BJ91*100</f>
        <v>0</v>
      </c>
      <c r="BG77" s="198">
        <f>'NKC2'!BK91*100</f>
        <v>0</v>
      </c>
      <c r="BH77" s="198">
        <f>'NKC2'!BL91*100</f>
        <v>0</v>
      </c>
      <c r="BI77" s="198">
        <f>'NKC2'!BM91*100</f>
        <v>0</v>
      </c>
      <c r="BJ77" s="198">
        <f>'NKC2'!BN91*100</f>
        <v>0</v>
      </c>
      <c r="BK77" s="198">
        <f>'NKC2'!BO91*100</f>
        <v>0</v>
      </c>
      <c r="BL77" s="198">
        <f>'NKC2'!BP91*100</f>
        <v>0</v>
      </c>
      <c r="BM77" s="198">
        <f>'NKC2'!BQ91*100</f>
        <v>0</v>
      </c>
      <c r="BN77" s="198">
        <f>'NKC2'!BR91*100</f>
        <v>0</v>
      </c>
      <c r="BO77" s="198">
        <f>'NKC2'!BS91*100</f>
        <v>0</v>
      </c>
      <c r="BP77" s="198">
        <f>'NKC2'!BT91*100</f>
        <v>0</v>
      </c>
      <c r="BQ77" s="198">
        <f>'NKC2'!BU91*100</f>
        <v>0</v>
      </c>
      <c r="BR77" s="198">
        <f>'NKC2'!BV91*100</f>
        <v>0</v>
      </c>
      <c r="BS77" s="198">
        <f>'NKC2'!BW91*100</f>
        <v>0</v>
      </c>
      <c r="BT77" s="198">
        <f>'NKC2'!BX91*100</f>
        <v>0</v>
      </c>
      <c r="BU77" s="198">
        <f>'NKC2'!BY91*100</f>
        <v>0</v>
      </c>
      <c r="BV77" s="198">
        <f>'NKC2'!BZ91*100</f>
        <v>0</v>
      </c>
      <c r="BW77" s="198">
        <f>'NKC2'!CA91*100</f>
        <v>0</v>
      </c>
      <c r="BX77" s="198">
        <f>'NKC2'!CB91*100</f>
        <v>0</v>
      </c>
      <c r="BY77" s="198">
        <f>'NKC2'!CC91*100</f>
        <v>0</v>
      </c>
      <c r="BZ77" s="198">
        <f>'NKC2'!CD91*100</f>
        <v>0</v>
      </c>
      <c r="CA77" s="198">
        <f>'NKC2'!CE91*100</f>
        <v>0</v>
      </c>
      <c r="CB77" s="198">
        <f>'NKC2'!CF91*100</f>
        <v>0</v>
      </c>
      <c r="CC77" s="198">
        <f>'NKC2'!CG91*100</f>
        <v>0</v>
      </c>
      <c r="CD77" s="198">
        <f>'NKC2'!CH91*100</f>
        <v>0</v>
      </c>
      <c r="CE77" s="198">
        <f>'NKC2'!CI91*100</f>
        <v>0</v>
      </c>
      <c r="CF77" s="198">
        <f>'NKC2'!CJ91*100</f>
        <v>0</v>
      </c>
      <c r="CG77" s="198">
        <f>'NKC2'!CK91*100</f>
        <v>0</v>
      </c>
      <c r="CH77" s="198">
        <f>'NKC2'!CL91*100</f>
        <v>0</v>
      </c>
      <c r="CI77" s="198">
        <f>'NKC2'!CM91*100</f>
        <v>0</v>
      </c>
    </row>
    <row r="78" spans="1:87" x14ac:dyDescent="0.45">
      <c r="A78" s="403" t="str">
        <f>'NKC2'!B92</f>
        <v>1.6.5</v>
      </c>
      <c r="B78" s="403" t="str">
        <f>'NKC2'!D92</f>
        <v xml:space="preserve">              Drainage Work</v>
      </c>
      <c r="C78" s="404">
        <f>'NKC2'!F92</f>
        <v>336808.7939435874</v>
      </c>
      <c r="D78" s="407" t="str">
        <f>'NKC2'!G90</f>
        <v>P</v>
      </c>
      <c r="E78" s="405">
        <f>'NKC2'!H92*100</f>
        <v>99.999999999999986</v>
      </c>
      <c r="F78" s="405">
        <f>'NKC2'!J92*100</f>
        <v>0</v>
      </c>
      <c r="G78" s="405">
        <f>'NKC2'!K92*100</f>
        <v>0</v>
      </c>
      <c r="H78" s="405">
        <f>'NKC2'!L92*100</f>
        <v>0</v>
      </c>
      <c r="I78" s="405">
        <f>'NKC2'!M92*100</f>
        <v>0</v>
      </c>
      <c r="J78" s="405">
        <f>'NKC2'!N92*100</f>
        <v>0</v>
      </c>
      <c r="K78" s="405">
        <f>'NKC2'!O92*100</f>
        <v>0</v>
      </c>
      <c r="L78" s="405">
        <f>'NKC2'!P92*100</f>
        <v>0</v>
      </c>
      <c r="M78" s="405">
        <f>'NKC2'!Q92*100</f>
        <v>0</v>
      </c>
      <c r="N78" s="405">
        <f>'NKC2'!R92*100</f>
        <v>0</v>
      </c>
      <c r="O78" s="405">
        <f>'NKC2'!S92*100</f>
        <v>0</v>
      </c>
      <c r="P78" s="405">
        <f>'NKC2'!T92*100</f>
        <v>0</v>
      </c>
      <c r="Q78" s="405">
        <f>'NKC2'!U92*100</f>
        <v>0</v>
      </c>
      <c r="R78" s="405">
        <f>'NKC2'!V92*100</f>
        <v>0</v>
      </c>
      <c r="S78" s="405">
        <f>'NKC2'!W92*100</f>
        <v>0</v>
      </c>
      <c r="T78" s="405">
        <f>'NKC2'!X92*100</f>
        <v>0</v>
      </c>
      <c r="U78" s="405">
        <f>'NKC2'!Y92*100</f>
        <v>0</v>
      </c>
      <c r="V78" s="405">
        <f>'NKC2'!Z92*100</f>
        <v>0</v>
      </c>
      <c r="W78" s="405">
        <f>'NKC2'!AA92*100</f>
        <v>0</v>
      </c>
      <c r="X78" s="405">
        <f>'NKC2'!AB92*100</f>
        <v>0</v>
      </c>
      <c r="Y78" s="405">
        <f>'NKC2'!AC92*100</f>
        <v>0</v>
      </c>
      <c r="Z78" s="405">
        <f>'NKC2'!AD92*100</f>
        <v>0</v>
      </c>
      <c r="AA78" s="405">
        <f>'NKC2'!AE92*100</f>
        <v>0</v>
      </c>
      <c r="AB78" s="405">
        <f>'NKC2'!AF92*100</f>
        <v>0</v>
      </c>
      <c r="AC78" s="405">
        <f>'NKC2'!AG92*100</f>
        <v>0</v>
      </c>
      <c r="AD78" s="405">
        <f>'NKC2'!AH92*100</f>
        <v>0</v>
      </c>
      <c r="AE78" s="405">
        <f>'NKC2'!AI92*100</f>
        <v>0</v>
      </c>
      <c r="AF78" s="405">
        <f>'NKC2'!AJ92*100</f>
        <v>0</v>
      </c>
      <c r="AG78" s="405">
        <f>'NKC2'!AK92*100</f>
        <v>0</v>
      </c>
      <c r="AH78" s="405">
        <f>'NKC2'!AL92*100</f>
        <v>0</v>
      </c>
      <c r="AI78" s="405">
        <f>'NKC2'!AM92*100</f>
        <v>0</v>
      </c>
      <c r="AJ78" s="405">
        <f>'NKC2'!AN92*100</f>
        <v>0</v>
      </c>
      <c r="AK78" s="405">
        <f>'NKC2'!AO92*100</f>
        <v>0</v>
      </c>
      <c r="AL78" s="405">
        <f>'NKC2'!AP92*100</f>
        <v>0</v>
      </c>
      <c r="AM78" s="405">
        <f>'NKC2'!AQ92*100</f>
        <v>0</v>
      </c>
      <c r="AN78" s="405">
        <f>'NKC2'!AR92*100</f>
        <v>5</v>
      </c>
      <c r="AO78" s="405">
        <f>'NKC2'!AS92*100</f>
        <v>10</v>
      </c>
      <c r="AP78" s="405">
        <f>'NKC2'!AT92*100</f>
        <v>10</v>
      </c>
      <c r="AQ78" s="405">
        <f>'NKC2'!AU92*100</f>
        <v>10</v>
      </c>
      <c r="AR78" s="405">
        <f>'NKC2'!AV92*100</f>
        <v>10</v>
      </c>
      <c r="AS78" s="405">
        <f>'NKC2'!AW92*100</f>
        <v>25</v>
      </c>
      <c r="AT78" s="405">
        <f>'NKC2'!AX92*100</f>
        <v>20</v>
      </c>
      <c r="AU78" s="405">
        <f>'NKC2'!AY92*100</f>
        <v>10</v>
      </c>
      <c r="AV78" s="405">
        <f>'NKC2'!AZ92*100</f>
        <v>0</v>
      </c>
      <c r="AW78" s="405">
        <f>'NKC2'!BA92*100</f>
        <v>0</v>
      </c>
      <c r="AX78" s="405">
        <f>'NKC2'!BB92*100</f>
        <v>0</v>
      </c>
      <c r="AY78" s="405">
        <f>'NKC2'!BC92*100</f>
        <v>0</v>
      </c>
      <c r="AZ78" s="405">
        <f>'NKC2'!BD92*100</f>
        <v>0</v>
      </c>
      <c r="BA78" s="405">
        <f>'NKC2'!BE92*100</f>
        <v>0</v>
      </c>
      <c r="BB78" s="405">
        <f>'NKC2'!BF92*100</f>
        <v>0</v>
      </c>
      <c r="BC78" s="405">
        <f>'NKC2'!BG92*100</f>
        <v>0</v>
      </c>
      <c r="BD78" s="405">
        <f>'NKC2'!BH92*100</f>
        <v>0</v>
      </c>
      <c r="BE78" s="405">
        <f>'NKC2'!BI92*100</f>
        <v>0</v>
      </c>
      <c r="BF78" s="405">
        <f>'NKC2'!BJ92*100</f>
        <v>0</v>
      </c>
      <c r="BG78" s="405">
        <f>'NKC2'!BK92*100</f>
        <v>0</v>
      </c>
      <c r="BH78" s="405">
        <f>'NKC2'!BL92*100</f>
        <v>0</v>
      </c>
      <c r="BI78" s="405">
        <f>'NKC2'!BM92*100</f>
        <v>0</v>
      </c>
      <c r="BJ78" s="405">
        <f>'NKC2'!BN92*100</f>
        <v>0</v>
      </c>
      <c r="BK78" s="405">
        <f>'NKC2'!BO92*100</f>
        <v>0</v>
      </c>
      <c r="BL78" s="405">
        <f>'NKC2'!BP92*100</f>
        <v>0</v>
      </c>
      <c r="BM78" s="405">
        <f>'NKC2'!BQ92*100</f>
        <v>0</v>
      </c>
      <c r="BN78" s="405">
        <f>'NKC2'!BR92*100</f>
        <v>0</v>
      </c>
      <c r="BO78" s="405">
        <f>'NKC2'!BS92*100</f>
        <v>0</v>
      </c>
      <c r="BP78" s="405">
        <f>'NKC2'!BT92*100</f>
        <v>0</v>
      </c>
      <c r="BQ78" s="405">
        <f>'NKC2'!BU92*100</f>
        <v>0</v>
      </c>
      <c r="BR78" s="405">
        <f>'NKC2'!BV92*100</f>
        <v>0</v>
      </c>
      <c r="BS78" s="405">
        <f>'NKC2'!BW92*100</f>
        <v>0</v>
      </c>
      <c r="BT78" s="405">
        <f>'NKC2'!BX92*100</f>
        <v>0</v>
      </c>
      <c r="BU78" s="405">
        <f>'NKC2'!BY92*100</f>
        <v>0</v>
      </c>
      <c r="BV78" s="405">
        <f>'NKC2'!BZ92*100</f>
        <v>0</v>
      </c>
      <c r="BW78" s="405">
        <f>'NKC2'!CA92*100</f>
        <v>0</v>
      </c>
      <c r="BX78" s="405">
        <f>'NKC2'!CB92*100</f>
        <v>0</v>
      </c>
      <c r="BY78" s="405">
        <f>'NKC2'!CC92*100</f>
        <v>0</v>
      </c>
      <c r="BZ78" s="405">
        <f>'NKC2'!CD92*100</f>
        <v>0</v>
      </c>
      <c r="CA78" s="405">
        <f>'NKC2'!CE92*100</f>
        <v>0</v>
      </c>
      <c r="CB78" s="405">
        <f>'NKC2'!CF92*100</f>
        <v>0</v>
      </c>
      <c r="CC78" s="405">
        <f>'NKC2'!CG92*100</f>
        <v>0</v>
      </c>
      <c r="CD78" s="405">
        <f>'NKC2'!CH92*100</f>
        <v>0</v>
      </c>
      <c r="CE78" s="405">
        <f>'NKC2'!CI92*100</f>
        <v>0</v>
      </c>
      <c r="CF78" s="405">
        <f>'NKC2'!CJ92*100</f>
        <v>0</v>
      </c>
      <c r="CG78" s="405">
        <f>'NKC2'!CK92*100</f>
        <v>0</v>
      </c>
      <c r="CH78" s="405">
        <f>'NKC2'!CL92*100</f>
        <v>0</v>
      </c>
      <c r="CI78" s="405">
        <f>'NKC2'!CM92*100</f>
        <v>0</v>
      </c>
    </row>
    <row r="79" spans="1:87" x14ac:dyDescent="0.45">
      <c r="A79" t="str">
        <f>'NKC2'!B93</f>
        <v>1.6.5</v>
      </c>
      <c r="B79" t="str">
        <f>'NKC2'!D93</f>
        <v xml:space="preserve">              Drainage Work</v>
      </c>
      <c r="C79" s="193">
        <f>'NKC2'!F93</f>
        <v>336808.7939435874</v>
      </c>
      <c r="D79" s="140" t="str">
        <f>'NKC2'!G91</f>
        <v>A</v>
      </c>
      <c r="E79" s="198">
        <f>'NKC2'!H93*100</f>
        <v>0</v>
      </c>
      <c r="F79" s="198">
        <f>'NKC2'!J93*100</f>
        <v>0</v>
      </c>
      <c r="G79" s="198">
        <f>'NKC2'!K93*100</f>
        <v>0</v>
      </c>
      <c r="H79" s="198">
        <f>'NKC2'!L93*100</f>
        <v>0</v>
      </c>
      <c r="I79" s="198">
        <f>'NKC2'!M93*100</f>
        <v>0</v>
      </c>
      <c r="J79" s="198">
        <f>'NKC2'!N93*100</f>
        <v>0</v>
      </c>
      <c r="K79" s="198">
        <f>'NKC2'!O93*100</f>
        <v>0</v>
      </c>
      <c r="L79" s="198">
        <f>'NKC2'!P93*100</f>
        <v>0</v>
      </c>
      <c r="M79" s="198">
        <f>'NKC2'!Q93*100</f>
        <v>0</v>
      </c>
      <c r="N79" s="198">
        <f>'NKC2'!R93*100</f>
        <v>0</v>
      </c>
      <c r="O79" s="198">
        <f>'NKC2'!S93*100</f>
        <v>0</v>
      </c>
      <c r="P79" s="198">
        <f>'NKC2'!T93*100</f>
        <v>0</v>
      </c>
      <c r="Q79" s="198">
        <f>'NKC2'!U93*100</f>
        <v>0</v>
      </c>
      <c r="R79" s="198">
        <f>'NKC2'!V93*100</f>
        <v>0</v>
      </c>
      <c r="S79" s="198">
        <f>'NKC2'!W93*100</f>
        <v>0</v>
      </c>
      <c r="T79" s="198">
        <f>'NKC2'!X93*100</f>
        <v>0</v>
      </c>
      <c r="U79" s="198">
        <f>'NKC2'!Y93*100</f>
        <v>0</v>
      </c>
      <c r="V79" s="198">
        <f>'NKC2'!Z93*100</f>
        <v>0</v>
      </c>
      <c r="W79" s="198">
        <f>'NKC2'!AA93*100</f>
        <v>0</v>
      </c>
      <c r="X79" s="198">
        <f>'NKC2'!AB93*100</f>
        <v>0</v>
      </c>
      <c r="Y79" s="198">
        <f>'NKC2'!AC93*100</f>
        <v>0</v>
      </c>
      <c r="Z79" s="198">
        <f>'NKC2'!AD93*100</f>
        <v>0</v>
      </c>
      <c r="AA79" s="198">
        <f>'NKC2'!AE93*100</f>
        <v>0</v>
      </c>
      <c r="AB79" s="198">
        <f>'NKC2'!AF93*100</f>
        <v>0</v>
      </c>
      <c r="AC79" s="198">
        <f>'NKC2'!AG93*100</f>
        <v>0</v>
      </c>
      <c r="AD79" s="198">
        <f>'NKC2'!AH93*100</f>
        <v>0</v>
      </c>
      <c r="AE79" s="198">
        <f>'NKC2'!AI93*100</f>
        <v>0</v>
      </c>
      <c r="AF79" s="198">
        <f>'NKC2'!AJ93*100</f>
        <v>0</v>
      </c>
      <c r="AG79" s="198">
        <f>'NKC2'!AK93*100</f>
        <v>0</v>
      </c>
      <c r="AH79" s="198">
        <f>'NKC2'!AL93*100</f>
        <v>0</v>
      </c>
      <c r="AI79" s="198">
        <f>'NKC2'!AM93*100</f>
        <v>0</v>
      </c>
      <c r="AJ79" s="198">
        <f>'NKC2'!AN93*100</f>
        <v>0</v>
      </c>
      <c r="AK79" s="198">
        <f>'NKC2'!AO93*100</f>
        <v>0</v>
      </c>
      <c r="AL79" s="198">
        <f>'NKC2'!AP93*100</f>
        <v>0</v>
      </c>
      <c r="AM79" s="198">
        <f>'NKC2'!AQ93*100</f>
        <v>0</v>
      </c>
      <c r="AN79" s="198">
        <f>'NKC2'!AR93*100</f>
        <v>0</v>
      </c>
      <c r="AO79" s="198">
        <f>'NKC2'!AS93*100</f>
        <v>0</v>
      </c>
      <c r="AP79" s="198">
        <f>'NKC2'!AT93*100</f>
        <v>0</v>
      </c>
      <c r="AQ79" s="198">
        <f>'NKC2'!AU93*100</f>
        <v>0</v>
      </c>
      <c r="AR79" s="198">
        <f>'NKC2'!AV93*100</f>
        <v>0</v>
      </c>
      <c r="AS79" s="198">
        <f>'NKC2'!AW93*100</f>
        <v>0</v>
      </c>
      <c r="AT79" s="198">
        <f>'NKC2'!AX93*100</f>
        <v>0</v>
      </c>
      <c r="AU79" s="198">
        <f>'NKC2'!AY93*100</f>
        <v>0</v>
      </c>
      <c r="AV79" s="198">
        <f>'NKC2'!AZ93*100</f>
        <v>0</v>
      </c>
      <c r="AW79" s="198">
        <f>'NKC2'!BA93*100</f>
        <v>0</v>
      </c>
      <c r="AX79" s="198">
        <f>'NKC2'!BB93*100</f>
        <v>0</v>
      </c>
      <c r="AY79" s="198">
        <f>'NKC2'!BC93*100</f>
        <v>0</v>
      </c>
      <c r="AZ79" s="198">
        <f>'NKC2'!BD93*100</f>
        <v>0</v>
      </c>
      <c r="BA79" s="198">
        <f>'NKC2'!BE93*100</f>
        <v>0</v>
      </c>
      <c r="BB79" s="198">
        <f>'NKC2'!BF93*100</f>
        <v>0</v>
      </c>
      <c r="BC79" s="198">
        <f>'NKC2'!BG93*100</f>
        <v>0</v>
      </c>
      <c r="BD79" s="198">
        <f>'NKC2'!BH93*100</f>
        <v>0</v>
      </c>
      <c r="BE79" s="198">
        <f>'NKC2'!BI93*100</f>
        <v>0</v>
      </c>
      <c r="BF79" s="198">
        <f>'NKC2'!BJ93*100</f>
        <v>0</v>
      </c>
      <c r="BG79" s="198">
        <f>'NKC2'!BK93*100</f>
        <v>0</v>
      </c>
      <c r="BH79" s="198">
        <f>'NKC2'!BL93*100</f>
        <v>0</v>
      </c>
      <c r="BI79" s="198">
        <f>'NKC2'!BM93*100</f>
        <v>0</v>
      </c>
      <c r="BJ79" s="198">
        <f>'NKC2'!BN93*100</f>
        <v>0</v>
      </c>
      <c r="BK79" s="198">
        <f>'NKC2'!BO93*100</f>
        <v>0</v>
      </c>
      <c r="BL79" s="198">
        <f>'NKC2'!BP93*100</f>
        <v>0</v>
      </c>
      <c r="BM79" s="198">
        <f>'NKC2'!BQ93*100</f>
        <v>0</v>
      </c>
      <c r="BN79" s="198">
        <f>'NKC2'!BR93*100</f>
        <v>0</v>
      </c>
      <c r="BO79" s="198">
        <f>'NKC2'!BS93*100</f>
        <v>0</v>
      </c>
      <c r="BP79" s="198">
        <f>'NKC2'!BT93*100</f>
        <v>0</v>
      </c>
      <c r="BQ79" s="198">
        <f>'NKC2'!BU93*100</f>
        <v>0</v>
      </c>
      <c r="BR79" s="198">
        <f>'NKC2'!BV93*100</f>
        <v>0</v>
      </c>
      <c r="BS79" s="198">
        <f>'NKC2'!BW93*100</f>
        <v>0</v>
      </c>
      <c r="BT79" s="198">
        <f>'NKC2'!BX93*100</f>
        <v>0</v>
      </c>
      <c r="BU79" s="198">
        <f>'NKC2'!BY93*100</f>
        <v>0</v>
      </c>
      <c r="BV79" s="198">
        <f>'NKC2'!BZ93*100</f>
        <v>0</v>
      </c>
      <c r="BW79" s="198">
        <f>'NKC2'!CA93*100</f>
        <v>0</v>
      </c>
      <c r="BX79" s="198">
        <f>'NKC2'!CB93*100</f>
        <v>0</v>
      </c>
      <c r="BY79" s="198">
        <f>'NKC2'!CC93*100</f>
        <v>0</v>
      </c>
      <c r="BZ79" s="198">
        <f>'NKC2'!CD93*100</f>
        <v>0</v>
      </c>
      <c r="CA79" s="198">
        <f>'NKC2'!CE93*100</f>
        <v>0</v>
      </c>
      <c r="CB79" s="198">
        <f>'NKC2'!CF93*100</f>
        <v>0</v>
      </c>
      <c r="CC79" s="198">
        <f>'NKC2'!CG93*100</f>
        <v>0</v>
      </c>
      <c r="CD79" s="198">
        <f>'NKC2'!CH93*100</f>
        <v>0</v>
      </c>
      <c r="CE79" s="198">
        <f>'NKC2'!CI93*100</f>
        <v>0</v>
      </c>
      <c r="CF79" s="198">
        <f>'NKC2'!CJ93*100</f>
        <v>0</v>
      </c>
      <c r="CG79" s="198">
        <f>'NKC2'!CK93*100</f>
        <v>0</v>
      </c>
      <c r="CH79" s="198">
        <f>'NKC2'!CL93*100</f>
        <v>0</v>
      </c>
      <c r="CI79" s="198">
        <f>'NKC2'!CM93*100</f>
        <v>0</v>
      </c>
    </row>
    <row r="80" spans="1:87" x14ac:dyDescent="0.45">
      <c r="A80" s="403" t="str">
        <f>'NKC2'!B94</f>
        <v>1.6.6</v>
      </c>
      <c r="B80" s="403" t="str">
        <f>'NKC2'!D94</f>
        <v xml:space="preserve">             Electrical and Communication Main Incomming</v>
      </c>
      <c r="C80" s="404">
        <f>'NKC2'!F94</f>
        <v>1856142.6956037888</v>
      </c>
      <c r="D80" s="407" t="str">
        <f>'NKC2'!G92</f>
        <v>P</v>
      </c>
      <c r="E80" s="405">
        <f>'NKC2'!H94*100</f>
        <v>100</v>
      </c>
      <c r="F80" s="405">
        <f>'NKC2'!J94*100</f>
        <v>0</v>
      </c>
      <c r="G80" s="405">
        <f>'NKC2'!K94*100</f>
        <v>0</v>
      </c>
      <c r="H80" s="405">
        <f>'NKC2'!L94*100</f>
        <v>0</v>
      </c>
      <c r="I80" s="405">
        <f>'NKC2'!M94*100</f>
        <v>0</v>
      </c>
      <c r="J80" s="405">
        <f>'NKC2'!N94*100</f>
        <v>0</v>
      </c>
      <c r="K80" s="405">
        <f>'NKC2'!O94*100</f>
        <v>0</v>
      </c>
      <c r="L80" s="405">
        <f>'NKC2'!P94*100</f>
        <v>0</v>
      </c>
      <c r="M80" s="405">
        <f>'NKC2'!Q94*100</f>
        <v>0</v>
      </c>
      <c r="N80" s="405">
        <f>'NKC2'!R94*100</f>
        <v>0</v>
      </c>
      <c r="O80" s="405">
        <f>'NKC2'!S94*100</f>
        <v>0</v>
      </c>
      <c r="P80" s="405">
        <f>'NKC2'!T94*100</f>
        <v>0</v>
      </c>
      <c r="Q80" s="405">
        <f>'NKC2'!U94*100</f>
        <v>0</v>
      </c>
      <c r="R80" s="405">
        <f>'NKC2'!V94*100</f>
        <v>0</v>
      </c>
      <c r="S80" s="405">
        <f>'NKC2'!W94*100</f>
        <v>0</v>
      </c>
      <c r="T80" s="405">
        <f>'NKC2'!X94*100</f>
        <v>0</v>
      </c>
      <c r="U80" s="405">
        <f>'NKC2'!Y94*100</f>
        <v>0</v>
      </c>
      <c r="V80" s="405">
        <f>'NKC2'!Z94*100</f>
        <v>0</v>
      </c>
      <c r="W80" s="405">
        <f>'NKC2'!AA94*100</f>
        <v>0</v>
      </c>
      <c r="X80" s="405">
        <f>'NKC2'!AB94*100</f>
        <v>0</v>
      </c>
      <c r="Y80" s="405">
        <f>'NKC2'!AC94*100</f>
        <v>0</v>
      </c>
      <c r="Z80" s="405">
        <f>'NKC2'!AD94*100</f>
        <v>0</v>
      </c>
      <c r="AA80" s="405">
        <f>'NKC2'!AE94*100</f>
        <v>0</v>
      </c>
      <c r="AB80" s="405">
        <f>'NKC2'!AF94*100</f>
        <v>0</v>
      </c>
      <c r="AC80" s="405">
        <f>'NKC2'!AG94*100</f>
        <v>0</v>
      </c>
      <c r="AD80" s="405">
        <f>'NKC2'!AH94*100</f>
        <v>0</v>
      </c>
      <c r="AE80" s="405">
        <f>'NKC2'!AI94*100</f>
        <v>0</v>
      </c>
      <c r="AF80" s="405">
        <f>'NKC2'!AJ94*100</f>
        <v>0</v>
      </c>
      <c r="AG80" s="405">
        <f>'NKC2'!AK94*100</f>
        <v>0</v>
      </c>
      <c r="AH80" s="405">
        <f>'NKC2'!AL94*100</f>
        <v>0</v>
      </c>
      <c r="AI80" s="405">
        <f>'NKC2'!AM94*100</f>
        <v>0</v>
      </c>
      <c r="AJ80" s="405">
        <f>'NKC2'!AN94*100</f>
        <v>8</v>
      </c>
      <c r="AK80" s="405">
        <f>'NKC2'!AO94*100</f>
        <v>8</v>
      </c>
      <c r="AL80" s="405">
        <f>'NKC2'!AP94*100</f>
        <v>8</v>
      </c>
      <c r="AM80" s="405">
        <f>'NKC2'!AQ94*100</f>
        <v>11</v>
      </c>
      <c r="AN80" s="405">
        <f>'NKC2'!AR94*100</f>
        <v>15</v>
      </c>
      <c r="AO80" s="405">
        <f>'NKC2'!AS94*100</f>
        <v>15</v>
      </c>
      <c r="AP80" s="405">
        <f>'NKC2'!AT94*100</f>
        <v>15</v>
      </c>
      <c r="AQ80" s="405">
        <f>'NKC2'!AU94*100</f>
        <v>10</v>
      </c>
      <c r="AR80" s="405">
        <f>'NKC2'!AV94*100</f>
        <v>5</v>
      </c>
      <c r="AS80" s="405">
        <f>'NKC2'!AW94*100</f>
        <v>5</v>
      </c>
      <c r="AT80" s="405">
        <f>'NKC2'!AX94*100</f>
        <v>0</v>
      </c>
      <c r="AU80" s="405">
        <f>'NKC2'!AY94*100</f>
        <v>0</v>
      </c>
      <c r="AV80" s="405">
        <f>'NKC2'!AZ94*100</f>
        <v>0</v>
      </c>
      <c r="AW80" s="405">
        <f>'NKC2'!BA94*100</f>
        <v>0</v>
      </c>
      <c r="AX80" s="405">
        <f>'NKC2'!BB94*100</f>
        <v>0</v>
      </c>
      <c r="AY80" s="405">
        <f>'NKC2'!BC94*100</f>
        <v>0</v>
      </c>
      <c r="AZ80" s="405">
        <f>'NKC2'!BD94*100</f>
        <v>0</v>
      </c>
      <c r="BA80" s="405">
        <f>'NKC2'!BE94*100</f>
        <v>0</v>
      </c>
      <c r="BB80" s="405">
        <f>'NKC2'!BF94*100</f>
        <v>0</v>
      </c>
      <c r="BC80" s="405">
        <f>'NKC2'!BG94*100</f>
        <v>0</v>
      </c>
      <c r="BD80" s="405">
        <f>'NKC2'!BH94*100</f>
        <v>0</v>
      </c>
      <c r="BE80" s="405">
        <f>'NKC2'!BI94*100</f>
        <v>0</v>
      </c>
      <c r="BF80" s="405">
        <f>'NKC2'!BJ94*100</f>
        <v>0</v>
      </c>
      <c r="BG80" s="405">
        <f>'NKC2'!BK94*100</f>
        <v>0</v>
      </c>
      <c r="BH80" s="405">
        <f>'NKC2'!BL94*100</f>
        <v>0</v>
      </c>
      <c r="BI80" s="405">
        <f>'NKC2'!BM94*100</f>
        <v>0</v>
      </c>
      <c r="BJ80" s="405">
        <f>'NKC2'!BN94*100</f>
        <v>0</v>
      </c>
      <c r="BK80" s="405">
        <f>'NKC2'!BO94*100</f>
        <v>0</v>
      </c>
      <c r="BL80" s="405">
        <f>'NKC2'!BP94*100</f>
        <v>0</v>
      </c>
      <c r="BM80" s="405">
        <f>'NKC2'!BQ94*100</f>
        <v>0</v>
      </c>
      <c r="BN80" s="405">
        <f>'NKC2'!BR94*100</f>
        <v>0</v>
      </c>
      <c r="BO80" s="405">
        <f>'NKC2'!BS94*100</f>
        <v>0</v>
      </c>
      <c r="BP80" s="405">
        <f>'NKC2'!BT94*100</f>
        <v>0</v>
      </c>
      <c r="BQ80" s="405">
        <f>'NKC2'!BU94*100</f>
        <v>0</v>
      </c>
      <c r="BR80" s="405">
        <f>'NKC2'!BV94*100</f>
        <v>0</v>
      </c>
      <c r="BS80" s="405">
        <f>'NKC2'!BW94*100</f>
        <v>0</v>
      </c>
      <c r="BT80" s="405">
        <f>'NKC2'!BX94*100</f>
        <v>0</v>
      </c>
      <c r="BU80" s="405">
        <f>'NKC2'!BY94*100</f>
        <v>0</v>
      </c>
      <c r="BV80" s="405">
        <f>'NKC2'!BZ94*100</f>
        <v>0</v>
      </c>
      <c r="BW80" s="405">
        <f>'NKC2'!CA94*100</f>
        <v>0</v>
      </c>
      <c r="BX80" s="405">
        <f>'NKC2'!CB94*100</f>
        <v>0</v>
      </c>
      <c r="BY80" s="405">
        <f>'NKC2'!CC94*100</f>
        <v>0</v>
      </c>
      <c r="BZ80" s="405">
        <f>'NKC2'!CD94*100</f>
        <v>0</v>
      </c>
      <c r="CA80" s="405">
        <f>'NKC2'!CE94*100</f>
        <v>0</v>
      </c>
      <c r="CB80" s="405">
        <f>'NKC2'!CF94*100</f>
        <v>0</v>
      </c>
      <c r="CC80" s="405">
        <f>'NKC2'!CG94*100</f>
        <v>0</v>
      </c>
      <c r="CD80" s="405">
        <f>'NKC2'!CH94*100</f>
        <v>0</v>
      </c>
      <c r="CE80" s="405">
        <f>'NKC2'!CI94*100</f>
        <v>0</v>
      </c>
      <c r="CF80" s="405">
        <f>'NKC2'!CJ94*100</f>
        <v>0</v>
      </c>
      <c r="CG80" s="405">
        <f>'NKC2'!CK94*100</f>
        <v>0</v>
      </c>
      <c r="CH80" s="405">
        <f>'NKC2'!CL94*100</f>
        <v>0</v>
      </c>
      <c r="CI80" s="405">
        <f>'NKC2'!CM94*100</f>
        <v>0</v>
      </c>
    </row>
    <row r="81" spans="1:87" x14ac:dyDescent="0.45">
      <c r="A81" t="str">
        <f>'NKC2'!B95</f>
        <v>1.6.6</v>
      </c>
      <c r="B81" t="str">
        <f>'NKC2'!D95</f>
        <v xml:space="preserve">             Electrical and Communication Main Incomming</v>
      </c>
      <c r="C81" s="193">
        <f>'NKC2'!F95</f>
        <v>1856142.6956037888</v>
      </c>
      <c r="D81" s="140" t="str">
        <f>'NKC2'!G93</f>
        <v>A</v>
      </c>
      <c r="E81" s="198">
        <f>'NKC2'!H95*100</f>
        <v>0</v>
      </c>
      <c r="F81" s="198">
        <f>'NKC2'!J95*100</f>
        <v>0</v>
      </c>
      <c r="G81" s="198">
        <f>'NKC2'!K95*100</f>
        <v>0</v>
      </c>
      <c r="H81" s="198">
        <f>'NKC2'!L95*100</f>
        <v>0</v>
      </c>
      <c r="I81" s="198">
        <f>'NKC2'!M95*100</f>
        <v>0</v>
      </c>
      <c r="J81" s="198">
        <f>'NKC2'!N95*100</f>
        <v>0</v>
      </c>
      <c r="K81" s="198">
        <f>'NKC2'!O95*100</f>
        <v>0</v>
      </c>
      <c r="L81" s="198">
        <f>'NKC2'!P95*100</f>
        <v>0</v>
      </c>
      <c r="M81" s="198">
        <f>'NKC2'!Q95*100</f>
        <v>0</v>
      </c>
      <c r="N81" s="198">
        <f>'NKC2'!R95*100</f>
        <v>0</v>
      </c>
      <c r="O81" s="198">
        <f>'NKC2'!S95*100</f>
        <v>0</v>
      </c>
      <c r="P81" s="198">
        <f>'NKC2'!T95*100</f>
        <v>0</v>
      </c>
      <c r="Q81" s="198">
        <f>'NKC2'!U95*100</f>
        <v>0</v>
      </c>
      <c r="R81" s="198">
        <f>'NKC2'!V95*100</f>
        <v>0</v>
      </c>
      <c r="S81" s="198">
        <f>'NKC2'!W95*100</f>
        <v>0</v>
      </c>
      <c r="T81" s="198">
        <f>'NKC2'!X95*100</f>
        <v>0</v>
      </c>
      <c r="U81" s="198">
        <f>'NKC2'!Y95*100</f>
        <v>0</v>
      </c>
      <c r="V81" s="198">
        <f>'NKC2'!Z95*100</f>
        <v>0</v>
      </c>
      <c r="W81" s="198">
        <f>'NKC2'!AA95*100</f>
        <v>0</v>
      </c>
      <c r="X81" s="198">
        <f>'NKC2'!AB95*100</f>
        <v>0</v>
      </c>
      <c r="Y81" s="198">
        <f>'NKC2'!AC95*100</f>
        <v>0</v>
      </c>
      <c r="Z81" s="198">
        <f>'NKC2'!AD95*100</f>
        <v>0</v>
      </c>
      <c r="AA81" s="198">
        <f>'NKC2'!AE95*100</f>
        <v>0</v>
      </c>
      <c r="AB81" s="198">
        <f>'NKC2'!AF95*100</f>
        <v>0</v>
      </c>
      <c r="AC81" s="198">
        <f>'NKC2'!AG95*100</f>
        <v>0</v>
      </c>
      <c r="AD81" s="198">
        <f>'NKC2'!AH95*100</f>
        <v>0</v>
      </c>
      <c r="AE81" s="198">
        <f>'NKC2'!AI95*100</f>
        <v>0</v>
      </c>
      <c r="AF81" s="198">
        <f>'NKC2'!AJ95*100</f>
        <v>0</v>
      </c>
      <c r="AG81" s="198">
        <f>'NKC2'!AK95*100</f>
        <v>0</v>
      </c>
      <c r="AH81" s="198">
        <f>'NKC2'!AL95*100</f>
        <v>0</v>
      </c>
      <c r="AI81" s="198">
        <f>'NKC2'!AM95*100</f>
        <v>0</v>
      </c>
      <c r="AJ81" s="198">
        <f>'NKC2'!AN95*100</f>
        <v>0</v>
      </c>
      <c r="AK81" s="198">
        <f>'NKC2'!AO95*100</f>
        <v>0</v>
      </c>
      <c r="AL81" s="198">
        <f>'NKC2'!AP95*100</f>
        <v>0</v>
      </c>
      <c r="AM81" s="198">
        <f>'NKC2'!AQ95*100</f>
        <v>0</v>
      </c>
      <c r="AN81" s="198">
        <f>'NKC2'!AR95*100</f>
        <v>0</v>
      </c>
      <c r="AO81" s="198">
        <f>'NKC2'!AS95*100</f>
        <v>0</v>
      </c>
      <c r="AP81" s="198">
        <f>'NKC2'!AT95*100</f>
        <v>0</v>
      </c>
      <c r="AQ81" s="198">
        <f>'NKC2'!AU95*100</f>
        <v>0</v>
      </c>
      <c r="AR81" s="198">
        <f>'NKC2'!AV95*100</f>
        <v>0</v>
      </c>
      <c r="AS81" s="198">
        <f>'NKC2'!AW95*100</f>
        <v>0</v>
      </c>
      <c r="AT81" s="198">
        <f>'NKC2'!AX95*100</f>
        <v>0</v>
      </c>
      <c r="AU81" s="198">
        <f>'NKC2'!AY95*100</f>
        <v>0</v>
      </c>
      <c r="AV81" s="198">
        <f>'NKC2'!AZ95*100</f>
        <v>0</v>
      </c>
      <c r="AW81" s="198">
        <f>'NKC2'!BA95*100</f>
        <v>0</v>
      </c>
      <c r="AX81" s="198">
        <f>'NKC2'!BB95*100</f>
        <v>0</v>
      </c>
      <c r="AY81" s="198">
        <f>'NKC2'!BC95*100</f>
        <v>0</v>
      </c>
      <c r="AZ81" s="198">
        <f>'NKC2'!BD95*100</f>
        <v>0</v>
      </c>
      <c r="BA81" s="198">
        <f>'NKC2'!BE95*100</f>
        <v>0</v>
      </c>
      <c r="BB81" s="198">
        <f>'NKC2'!BF95*100</f>
        <v>0</v>
      </c>
      <c r="BC81" s="198">
        <f>'NKC2'!BG95*100</f>
        <v>0</v>
      </c>
      <c r="BD81" s="198">
        <f>'NKC2'!BH95*100</f>
        <v>0</v>
      </c>
      <c r="BE81" s="198">
        <f>'NKC2'!BI95*100</f>
        <v>0</v>
      </c>
      <c r="BF81" s="198">
        <f>'NKC2'!BJ95*100</f>
        <v>0</v>
      </c>
      <c r="BG81" s="198">
        <f>'NKC2'!BK95*100</f>
        <v>0</v>
      </c>
      <c r="BH81" s="198">
        <f>'NKC2'!BL95*100</f>
        <v>0</v>
      </c>
      <c r="BI81" s="198">
        <f>'NKC2'!BM95*100</f>
        <v>0</v>
      </c>
      <c r="BJ81" s="198">
        <f>'NKC2'!BN95*100</f>
        <v>0</v>
      </c>
      <c r="BK81" s="198">
        <f>'NKC2'!BO95*100</f>
        <v>0</v>
      </c>
      <c r="BL81" s="198">
        <f>'NKC2'!BP95*100</f>
        <v>0</v>
      </c>
      <c r="BM81" s="198">
        <f>'NKC2'!BQ95*100</f>
        <v>0</v>
      </c>
      <c r="BN81" s="198">
        <f>'NKC2'!BR95*100</f>
        <v>0</v>
      </c>
      <c r="BO81" s="198">
        <f>'NKC2'!BS95*100</f>
        <v>0</v>
      </c>
      <c r="BP81" s="198">
        <f>'NKC2'!BT95*100</f>
        <v>0</v>
      </c>
      <c r="BQ81" s="198">
        <f>'NKC2'!BU95*100</f>
        <v>0</v>
      </c>
      <c r="BR81" s="198">
        <f>'NKC2'!BV95*100</f>
        <v>0</v>
      </c>
      <c r="BS81" s="198">
        <f>'NKC2'!BW95*100</f>
        <v>0</v>
      </c>
      <c r="BT81" s="198">
        <f>'NKC2'!BX95*100</f>
        <v>0</v>
      </c>
      <c r="BU81" s="198">
        <f>'NKC2'!BY95*100</f>
        <v>0</v>
      </c>
      <c r="BV81" s="198">
        <f>'NKC2'!BZ95*100</f>
        <v>0</v>
      </c>
      <c r="BW81" s="198">
        <f>'NKC2'!CA95*100</f>
        <v>0</v>
      </c>
      <c r="BX81" s="198">
        <f>'NKC2'!CB95*100</f>
        <v>0</v>
      </c>
      <c r="BY81" s="198">
        <f>'NKC2'!CC95*100</f>
        <v>0</v>
      </c>
      <c r="BZ81" s="198">
        <f>'NKC2'!CD95*100</f>
        <v>0</v>
      </c>
      <c r="CA81" s="198">
        <f>'NKC2'!CE95*100</f>
        <v>0</v>
      </c>
      <c r="CB81" s="198">
        <f>'NKC2'!CF95*100</f>
        <v>0</v>
      </c>
      <c r="CC81" s="198">
        <f>'NKC2'!CG95*100</f>
        <v>0</v>
      </c>
      <c r="CD81" s="198">
        <f>'NKC2'!CH95*100</f>
        <v>0</v>
      </c>
      <c r="CE81" s="198">
        <f>'NKC2'!CI95*100</f>
        <v>0</v>
      </c>
      <c r="CF81" s="198">
        <f>'NKC2'!CJ95*100</f>
        <v>0</v>
      </c>
      <c r="CG81" s="198">
        <f>'NKC2'!CK95*100</f>
        <v>0</v>
      </c>
      <c r="CH81" s="198">
        <f>'NKC2'!CL95*100</f>
        <v>0</v>
      </c>
      <c r="CI81" s="198">
        <f>'NKC2'!CM95*100</f>
        <v>0</v>
      </c>
    </row>
    <row r="82" spans="1:87" x14ac:dyDescent="0.45">
      <c r="A82" s="403" t="str">
        <f>'NKC2'!B96</f>
        <v>1.6.7</v>
      </c>
      <c r="B82" s="403" t="str">
        <f>'NKC2'!D96</f>
        <v xml:space="preserve">             ติดตั้ง Unit Substation และ Generator Set</v>
      </c>
      <c r="C82" s="404">
        <f>'NKC2'!F96</f>
        <v>3062745.3903982169</v>
      </c>
      <c r="D82" s="407" t="str">
        <f>'NKC2'!G94</f>
        <v>P</v>
      </c>
      <c r="E82" s="405">
        <f>'NKC2'!H96*100</f>
        <v>99.999999999999986</v>
      </c>
      <c r="F82" s="405">
        <f>'NKC2'!J96*100</f>
        <v>0</v>
      </c>
      <c r="G82" s="405">
        <f>'NKC2'!K96*100</f>
        <v>0</v>
      </c>
      <c r="H82" s="405">
        <f>'NKC2'!L96*100</f>
        <v>0</v>
      </c>
      <c r="I82" s="405">
        <f>'NKC2'!M96*100</f>
        <v>0</v>
      </c>
      <c r="J82" s="405">
        <f>'NKC2'!N96*100</f>
        <v>0</v>
      </c>
      <c r="K82" s="405">
        <f>'NKC2'!O96*100</f>
        <v>0</v>
      </c>
      <c r="L82" s="405">
        <f>'NKC2'!P96*100</f>
        <v>0</v>
      </c>
      <c r="M82" s="405">
        <f>'NKC2'!Q96*100</f>
        <v>0</v>
      </c>
      <c r="N82" s="405">
        <f>'NKC2'!R96*100</f>
        <v>0</v>
      </c>
      <c r="O82" s="405">
        <f>'NKC2'!S96*100</f>
        <v>0</v>
      </c>
      <c r="P82" s="405">
        <f>'NKC2'!T96*100</f>
        <v>0</v>
      </c>
      <c r="Q82" s="405">
        <f>'NKC2'!U96*100</f>
        <v>0</v>
      </c>
      <c r="R82" s="405">
        <f>'NKC2'!V96*100</f>
        <v>0</v>
      </c>
      <c r="S82" s="405">
        <f>'NKC2'!W96*100</f>
        <v>0</v>
      </c>
      <c r="T82" s="405">
        <f>'NKC2'!X96*100</f>
        <v>0</v>
      </c>
      <c r="U82" s="405">
        <f>'NKC2'!Y96*100</f>
        <v>0</v>
      </c>
      <c r="V82" s="405">
        <f>'NKC2'!Z96*100</f>
        <v>0</v>
      </c>
      <c r="W82" s="405">
        <f>'NKC2'!AA96*100</f>
        <v>0</v>
      </c>
      <c r="X82" s="405">
        <f>'NKC2'!AB96*100</f>
        <v>0</v>
      </c>
      <c r="Y82" s="405">
        <f>'NKC2'!AC96*100</f>
        <v>0</v>
      </c>
      <c r="Z82" s="405">
        <f>'NKC2'!AD96*100</f>
        <v>0</v>
      </c>
      <c r="AA82" s="405">
        <f>'NKC2'!AE96*100</f>
        <v>0</v>
      </c>
      <c r="AB82" s="405">
        <f>'NKC2'!AF96*100</f>
        <v>0</v>
      </c>
      <c r="AC82" s="405">
        <f>'NKC2'!AG96*100</f>
        <v>0</v>
      </c>
      <c r="AD82" s="405">
        <f>'NKC2'!AH96*100</f>
        <v>0</v>
      </c>
      <c r="AE82" s="405">
        <f>'NKC2'!AI96*100</f>
        <v>0</v>
      </c>
      <c r="AF82" s="405">
        <f>'NKC2'!AJ96*100</f>
        <v>0</v>
      </c>
      <c r="AG82" s="405">
        <f>'NKC2'!AK96*100</f>
        <v>0</v>
      </c>
      <c r="AH82" s="405">
        <f>'NKC2'!AL96*100</f>
        <v>0</v>
      </c>
      <c r="AI82" s="405">
        <f>'NKC2'!AM96*100</f>
        <v>0</v>
      </c>
      <c r="AJ82" s="405">
        <f>'NKC2'!AN96*100</f>
        <v>5</v>
      </c>
      <c r="AK82" s="405">
        <f>'NKC2'!AO96*100</f>
        <v>5</v>
      </c>
      <c r="AL82" s="405">
        <f>'NKC2'!AP96*100</f>
        <v>5</v>
      </c>
      <c r="AM82" s="405">
        <f>'NKC2'!AQ96*100</f>
        <v>5</v>
      </c>
      <c r="AN82" s="405">
        <f>'NKC2'!AR96*100</f>
        <v>15</v>
      </c>
      <c r="AO82" s="405">
        <f>'NKC2'!AS96*100</f>
        <v>10</v>
      </c>
      <c r="AP82" s="405">
        <f>'NKC2'!AT96*100</f>
        <v>10</v>
      </c>
      <c r="AQ82" s="405">
        <f>'NKC2'!AU96*100</f>
        <v>10</v>
      </c>
      <c r="AR82" s="405">
        <f>'NKC2'!AV96*100</f>
        <v>10</v>
      </c>
      <c r="AS82" s="405">
        <f>'NKC2'!AW96*100</f>
        <v>10</v>
      </c>
      <c r="AT82" s="405">
        <f>'NKC2'!AX96*100</f>
        <v>8</v>
      </c>
      <c r="AU82" s="405">
        <f>'NKC2'!AY96*100</f>
        <v>5</v>
      </c>
      <c r="AV82" s="405">
        <f>'NKC2'!AZ96*100</f>
        <v>2</v>
      </c>
      <c r="AW82" s="405">
        <f>'NKC2'!BA96*100</f>
        <v>0</v>
      </c>
      <c r="AX82" s="405">
        <f>'NKC2'!BB96*100</f>
        <v>0</v>
      </c>
      <c r="AY82" s="405">
        <f>'NKC2'!BC96*100</f>
        <v>0</v>
      </c>
      <c r="AZ82" s="405">
        <f>'NKC2'!BD96*100</f>
        <v>0</v>
      </c>
      <c r="BA82" s="405">
        <f>'NKC2'!BE96*100</f>
        <v>0</v>
      </c>
      <c r="BB82" s="405">
        <f>'NKC2'!BF96*100</f>
        <v>0</v>
      </c>
      <c r="BC82" s="405">
        <f>'NKC2'!BG96*100</f>
        <v>0</v>
      </c>
      <c r="BD82" s="405">
        <f>'NKC2'!BH96*100</f>
        <v>0</v>
      </c>
      <c r="BE82" s="405">
        <f>'NKC2'!BI96*100</f>
        <v>0</v>
      </c>
      <c r="BF82" s="405">
        <f>'NKC2'!BJ96*100</f>
        <v>0</v>
      </c>
      <c r="BG82" s="405">
        <f>'NKC2'!BK96*100</f>
        <v>0</v>
      </c>
      <c r="BH82" s="405">
        <f>'NKC2'!BL96*100</f>
        <v>0</v>
      </c>
      <c r="BI82" s="405">
        <f>'NKC2'!BM96*100</f>
        <v>0</v>
      </c>
      <c r="BJ82" s="405">
        <f>'NKC2'!BN96*100</f>
        <v>0</v>
      </c>
      <c r="BK82" s="405">
        <f>'NKC2'!BO96*100</f>
        <v>0</v>
      </c>
      <c r="BL82" s="405">
        <f>'NKC2'!BP96*100</f>
        <v>0</v>
      </c>
      <c r="BM82" s="405">
        <f>'NKC2'!BQ96*100</f>
        <v>0</v>
      </c>
      <c r="BN82" s="405">
        <f>'NKC2'!BR96*100</f>
        <v>0</v>
      </c>
      <c r="BO82" s="405">
        <f>'NKC2'!BS96*100</f>
        <v>0</v>
      </c>
      <c r="BP82" s="405">
        <f>'NKC2'!BT96*100</f>
        <v>0</v>
      </c>
      <c r="BQ82" s="405">
        <f>'NKC2'!BU96*100</f>
        <v>0</v>
      </c>
      <c r="BR82" s="405">
        <f>'NKC2'!BV96*100</f>
        <v>0</v>
      </c>
      <c r="BS82" s="405">
        <f>'NKC2'!BW96*100</f>
        <v>0</v>
      </c>
      <c r="BT82" s="405">
        <f>'NKC2'!BX96*100</f>
        <v>0</v>
      </c>
      <c r="BU82" s="405">
        <f>'NKC2'!BY96*100</f>
        <v>0</v>
      </c>
      <c r="BV82" s="405">
        <f>'NKC2'!BZ96*100</f>
        <v>0</v>
      </c>
      <c r="BW82" s="405">
        <f>'NKC2'!CA96*100</f>
        <v>0</v>
      </c>
      <c r="BX82" s="405">
        <f>'NKC2'!CB96*100</f>
        <v>0</v>
      </c>
      <c r="BY82" s="405">
        <f>'NKC2'!CC96*100</f>
        <v>0</v>
      </c>
      <c r="BZ82" s="405">
        <f>'NKC2'!CD96*100</f>
        <v>0</v>
      </c>
      <c r="CA82" s="405">
        <f>'NKC2'!CE96*100</f>
        <v>0</v>
      </c>
      <c r="CB82" s="405">
        <f>'NKC2'!CF96*100</f>
        <v>0</v>
      </c>
      <c r="CC82" s="405">
        <f>'NKC2'!CG96*100</f>
        <v>0</v>
      </c>
      <c r="CD82" s="405">
        <f>'NKC2'!CH96*100</f>
        <v>0</v>
      </c>
      <c r="CE82" s="405">
        <f>'NKC2'!CI96*100</f>
        <v>0</v>
      </c>
      <c r="CF82" s="405">
        <f>'NKC2'!CJ96*100</f>
        <v>0</v>
      </c>
      <c r="CG82" s="405">
        <f>'NKC2'!CK96*100</f>
        <v>0</v>
      </c>
      <c r="CH82" s="405">
        <f>'NKC2'!CL96*100</f>
        <v>0</v>
      </c>
      <c r="CI82" s="405">
        <f>'NKC2'!CM96*100</f>
        <v>0</v>
      </c>
    </row>
    <row r="83" spans="1:87" x14ac:dyDescent="0.45">
      <c r="A83" t="str">
        <f>'NKC2'!B97</f>
        <v>1.6.7</v>
      </c>
      <c r="B83" t="str">
        <f>'NKC2'!D97</f>
        <v xml:space="preserve">             ติดตั้ง Unit Substation และ Generator Set</v>
      </c>
      <c r="C83" s="193">
        <f>'NKC2'!F97</f>
        <v>3062745.3903982169</v>
      </c>
      <c r="D83" s="140" t="str">
        <f>'NKC2'!G95</f>
        <v>A</v>
      </c>
      <c r="E83" s="198">
        <f>'NKC2'!H97*100</f>
        <v>0</v>
      </c>
      <c r="F83" s="198">
        <f>'NKC2'!J97*100</f>
        <v>0</v>
      </c>
      <c r="G83" s="198">
        <f>'NKC2'!K97*100</f>
        <v>0</v>
      </c>
      <c r="H83" s="198">
        <f>'NKC2'!L97*100</f>
        <v>0</v>
      </c>
      <c r="I83" s="198">
        <f>'NKC2'!M97*100</f>
        <v>0</v>
      </c>
      <c r="J83" s="198">
        <f>'NKC2'!N97*100</f>
        <v>0</v>
      </c>
      <c r="K83" s="198">
        <f>'NKC2'!O97*100</f>
        <v>0</v>
      </c>
      <c r="L83" s="198">
        <f>'NKC2'!P97*100</f>
        <v>0</v>
      </c>
      <c r="M83" s="198">
        <f>'NKC2'!Q97*100</f>
        <v>0</v>
      </c>
      <c r="N83" s="198">
        <f>'NKC2'!R97*100</f>
        <v>0</v>
      </c>
      <c r="O83" s="198">
        <f>'NKC2'!S97*100</f>
        <v>0</v>
      </c>
      <c r="P83" s="198">
        <f>'NKC2'!T97*100</f>
        <v>0</v>
      </c>
      <c r="Q83" s="198">
        <f>'NKC2'!U97*100</f>
        <v>0</v>
      </c>
      <c r="R83" s="198">
        <f>'NKC2'!V97*100</f>
        <v>0</v>
      </c>
      <c r="S83" s="198">
        <f>'NKC2'!W97*100</f>
        <v>0</v>
      </c>
      <c r="T83" s="198">
        <f>'NKC2'!X97*100</f>
        <v>0</v>
      </c>
      <c r="U83" s="198">
        <f>'NKC2'!Y97*100</f>
        <v>0</v>
      </c>
      <c r="V83" s="198">
        <f>'NKC2'!Z97*100</f>
        <v>0</v>
      </c>
      <c r="W83" s="198">
        <f>'NKC2'!AA97*100</f>
        <v>0</v>
      </c>
      <c r="X83" s="198">
        <f>'NKC2'!AB97*100</f>
        <v>0</v>
      </c>
      <c r="Y83" s="198">
        <f>'NKC2'!AC97*100</f>
        <v>0</v>
      </c>
      <c r="Z83" s="198">
        <f>'NKC2'!AD97*100</f>
        <v>0</v>
      </c>
      <c r="AA83" s="198">
        <f>'NKC2'!AE97*100</f>
        <v>0</v>
      </c>
      <c r="AB83" s="198">
        <f>'NKC2'!AF97*100</f>
        <v>0</v>
      </c>
      <c r="AC83" s="198">
        <f>'NKC2'!AG97*100</f>
        <v>0</v>
      </c>
      <c r="AD83" s="198">
        <f>'NKC2'!AH97*100</f>
        <v>0</v>
      </c>
      <c r="AE83" s="198">
        <f>'NKC2'!AI97*100</f>
        <v>0</v>
      </c>
      <c r="AF83" s="198">
        <f>'NKC2'!AJ97*100</f>
        <v>0</v>
      </c>
      <c r="AG83" s="198">
        <f>'NKC2'!AK97*100</f>
        <v>0</v>
      </c>
      <c r="AH83" s="198">
        <f>'NKC2'!AL97*100</f>
        <v>0</v>
      </c>
      <c r="AI83" s="198">
        <f>'NKC2'!AM97*100</f>
        <v>0</v>
      </c>
      <c r="AJ83" s="198">
        <f>'NKC2'!AN97*100</f>
        <v>0</v>
      </c>
      <c r="AK83" s="198">
        <f>'NKC2'!AO97*100</f>
        <v>0</v>
      </c>
      <c r="AL83" s="198">
        <f>'NKC2'!AP97*100</f>
        <v>0</v>
      </c>
      <c r="AM83" s="198">
        <f>'NKC2'!AQ97*100</f>
        <v>0</v>
      </c>
      <c r="AN83" s="198">
        <f>'NKC2'!AR97*100</f>
        <v>0</v>
      </c>
      <c r="AO83" s="198">
        <f>'NKC2'!AS97*100</f>
        <v>0</v>
      </c>
      <c r="AP83" s="198">
        <f>'NKC2'!AT97*100</f>
        <v>0</v>
      </c>
      <c r="AQ83" s="198">
        <f>'NKC2'!AU97*100</f>
        <v>0</v>
      </c>
      <c r="AR83" s="198">
        <f>'NKC2'!AV97*100</f>
        <v>0</v>
      </c>
      <c r="AS83" s="198">
        <f>'NKC2'!AW97*100</f>
        <v>0</v>
      </c>
      <c r="AT83" s="198">
        <f>'NKC2'!AX97*100</f>
        <v>0</v>
      </c>
      <c r="AU83" s="198">
        <f>'NKC2'!AY97*100</f>
        <v>0</v>
      </c>
      <c r="AV83" s="198">
        <f>'NKC2'!AZ97*100</f>
        <v>0</v>
      </c>
      <c r="AW83" s="198">
        <f>'NKC2'!BA97*100</f>
        <v>0</v>
      </c>
      <c r="AX83" s="198">
        <f>'NKC2'!BB97*100</f>
        <v>0</v>
      </c>
      <c r="AY83" s="198">
        <f>'NKC2'!BC97*100</f>
        <v>0</v>
      </c>
      <c r="AZ83" s="198">
        <f>'NKC2'!BD97*100</f>
        <v>0</v>
      </c>
      <c r="BA83" s="198">
        <f>'NKC2'!BE97*100</f>
        <v>0</v>
      </c>
      <c r="BB83" s="198">
        <f>'NKC2'!BF97*100</f>
        <v>0</v>
      </c>
      <c r="BC83" s="198">
        <f>'NKC2'!BG97*100</f>
        <v>0</v>
      </c>
      <c r="BD83" s="198">
        <f>'NKC2'!BH97*100</f>
        <v>0</v>
      </c>
      <c r="BE83" s="198">
        <f>'NKC2'!BI97*100</f>
        <v>0</v>
      </c>
      <c r="BF83" s="198">
        <f>'NKC2'!BJ97*100</f>
        <v>0</v>
      </c>
      <c r="BG83" s="198">
        <f>'NKC2'!BK97*100</f>
        <v>0</v>
      </c>
      <c r="BH83" s="198">
        <f>'NKC2'!BL97*100</f>
        <v>0</v>
      </c>
      <c r="BI83" s="198">
        <f>'NKC2'!BM97*100</f>
        <v>0</v>
      </c>
      <c r="BJ83" s="198">
        <f>'NKC2'!BN97*100</f>
        <v>0</v>
      </c>
      <c r="BK83" s="198">
        <f>'NKC2'!BO97*100</f>
        <v>0</v>
      </c>
      <c r="BL83" s="198">
        <f>'NKC2'!BP97*100</f>
        <v>0</v>
      </c>
      <c r="BM83" s="198">
        <f>'NKC2'!BQ97*100</f>
        <v>0</v>
      </c>
      <c r="BN83" s="198">
        <f>'NKC2'!BR97*100</f>
        <v>0</v>
      </c>
      <c r="BO83" s="198">
        <f>'NKC2'!BS97*100</f>
        <v>0</v>
      </c>
      <c r="BP83" s="198">
        <f>'NKC2'!BT97*100</f>
        <v>0</v>
      </c>
      <c r="BQ83" s="198">
        <f>'NKC2'!BU97*100</f>
        <v>0</v>
      </c>
      <c r="BR83" s="198">
        <f>'NKC2'!BV97*100</f>
        <v>0</v>
      </c>
      <c r="BS83" s="198">
        <f>'NKC2'!BW97*100</f>
        <v>0</v>
      </c>
      <c r="BT83" s="198">
        <f>'NKC2'!BX97*100</f>
        <v>0</v>
      </c>
      <c r="BU83" s="198">
        <f>'NKC2'!BY97*100</f>
        <v>0</v>
      </c>
      <c r="BV83" s="198">
        <f>'NKC2'!BZ97*100</f>
        <v>0</v>
      </c>
      <c r="BW83" s="198">
        <f>'NKC2'!CA97*100</f>
        <v>0</v>
      </c>
      <c r="BX83" s="198">
        <f>'NKC2'!CB97*100</f>
        <v>0</v>
      </c>
      <c r="BY83" s="198">
        <f>'NKC2'!CC97*100</f>
        <v>0</v>
      </c>
      <c r="BZ83" s="198">
        <f>'NKC2'!CD97*100</f>
        <v>0</v>
      </c>
      <c r="CA83" s="198">
        <f>'NKC2'!CE97*100</f>
        <v>0</v>
      </c>
      <c r="CB83" s="198">
        <f>'NKC2'!CF97*100</f>
        <v>0</v>
      </c>
      <c r="CC83" s="198">
        <f>'NKC2'!CG97*100</f>
        <v>0</v>
      </c>
      <c r="CD83" s="198">
        <f>'NKC2'!CH97*100</f>
        <v>0</v>
      </c>
      <c r="CE83" s="198">
        <f>'NKC2'!CI97*100</f>
        <v>0</v>
      </c>
      <c r="CF83" s="198">
        <f>'NKC2'!CJ97*100</f>
        <v>0</v>
      </c>
      <c r="CG83" s="198">
        <f>'NKC2'!CK97*100</f>
        <v>0</v>
      </c>
      <c r="CH83" s="198">
        <f>'NKC2'!CL97*100</f>
        <v>0</v>
      </c>
      <c r="CI83" s="198">
        <f>'NKC2'!CM97*100</f>
        <v>0</v>
      </c>
    </row>
    <row r="84" spans="1:87" x14ac:dyDescent="0.45">
      <c r="A84" s="403" t="str">
        <f>'NKC2'!B98</f>
        <v>1.6.8</v>
      </c>
      <c r="B84" s="403" t="str">
        <f>'NKC2'!D98</f>
        <v xml:space="preserve">             Grounding System</v>
      </c>
      <c r="C84" s="404">
        <f>'NKC2'!F98</f>
        <v>316419.05365089042</v>
      </c>
      <c r="D84" s="407" t="str">
        <f>'NKC2'!G96</f>
        <v>P</v>
      </c>
      <c r="E84" s="405">
        <f>'NKC2'!H98*100</f>
        <v>100</v>
      </c>
      <c r="F84" s="405">
        <f>'NKC2'!J98*100</f>
        <v>0</v>
      </c>
      <c r="G84" s="405">
        <f>'NKC2'!K98*100</f>
        <v>0</v>
      </c>
      <c r="H84" s="405">
        <f>'NKC2'!L98*100</f>
        <v>0</v>
      </c>
      <c r="I84" s="405">
        <f>'NKC2'!M98*100</f>
        <v>0</v>
      </c>
      <c r="J84" s="405">
        <f>'NKC2'!N98*100</f>
        <v>0</v>
      </c>
      <c r="K84" s="405">
        <f>'NKC2'!O98*100</f>
        <v>0</v>
      </c>
      <c r="L84" s="405">
        <f>'NKC2'!P98*100</f>
        <v>0</v>
      </c>
      <c r="M84" s="405">
        <f>'NKC2'!Q98*100</f>
        <v>0</v>
      </c>
      <c r="N84" s="405">
        <f>'NKC2'!R98*100</f>
        <v>0</v>
      </c>
      <c r="O84" s="405">
        <f>'NKC2'!S98*100</f>
        <v>0</v>
      </c>
      <c r="P84" s="405">
        <f>'NKC2'!T98*100</f>
        <v>0</v>
      </c>
      <c r="Q84" s="405">
        <f>'NKC2'!U98*100</f>
        <v>0</v>
      </c>
      <c r="R84" s="405">
        <f>'NKC2'!V98*100</f>
        <v>0</v>
      </c>
      <c r="S84" s="405">
        <f>'NKC2'!W98*100</f>
        <v>0</v>
      </c>
      <c r="T84" s="405">
        <f>'NKC2'!X98*100</f>
        <v>0</v>
      </c>
      <c r="U84" s="405">
        <f>'NKC2'!Y98*100</f>
        <v>0</v>
      </c>
      <c r="V84" s="405">
        <f>'NKC2'!Z98*100</f>
        <v>0</v>
      </c>
      <c r="W84" s="405">
        <f>'NKC2'!AA98*100</f>
        <v>0</v>
      </c>
      <c r="X84" s="405">
        <f>'NKC2'!AB98*100</f>
        <v>0</v>
      </c>
      <c r="Y84" s="405">
        <f>'NKC2'!AC98*100</f>
        <v>0</v>
      </c>
      <c r="Z84" s="405">
        <f>'NKC2'!AD98*100</f>
        <v>0</v>
      </c>
      <c r="AA84" s="405">
        <f>'NKC2'!AE98*100</f>
        <v>0</v>
      </c>
      <c r="AB84" s="405">
        <f>'NKC2'!AF98*100</f>
        <v>0</v>
      </c>
      <c r="AC84" s="405">
        <f>'NKC2'!AG98*100</f>
        <v>0</v>
      </c>
      <c r="AD84" s="405">
        <f>'NKC2'!AH98*100</f>
        <v>0</v>
      </c>
      <c r="AE84" s="405">
        <f>'NKC2'!AI98*100</f>
        <v>0</v>
      </c>
      <c r="AF84" s="405">
        <f>'NKC2'!AJ98*100</f>
        <v>0</v>
      </c>
      <c r="AG84" s="405">
        <f>'NKC2'!AK98*100</f>
        <v>0</v>
      </c>
      <c r="AH84" s="405">
        <f>'NKC2'!AL98*100</f>
        <v>0</v>
      </c>
      <c r="AI84" s="405">
        <f>'NKC2'!AM98*100</f>
        <v>0</v>
      </c>
      <c r="AJ84" s="405">
        <f>'NKC2'!AN98*100</f>
        <v>5</v>
      </c>
      <c r="AK84" s="405">
        <f>'NKC2'!AO98*100</f>
        <v>10</v>
      </c>
      <c r="AL84" s="405">
        <f>'NKC2'!AP98*100</f>
        <v>10</v>
      </c>
      <c r="AM84" s="405">
        <f>'NKC2'!AQ98*100</f>
        <v>10</v>
      </c>
      <c r="AN84" s="405">
        <f>'NKC2'!AR98*100</f>
        <v>15</v>
      </c>
      <c r="AO84" s="405">
        <f>'NKC2'!AS98*100</f>
        <v>15</v>
      </c>
      <c r="AP84" s="405">
        <f>'NKC2'!AT98*100</f>
        <v>15</v>
      </c>
      <c r="AQ84" s="405">
        <f>'NKC2'!AU98*100</f>
        <v>10</v>
      </c>
      <c r="AR84" s="405">
        <f>'NKC2'!AV98*100</f>
        <v>5</v>
      </c>
      <c r="AS84" s="405">
        <f>'NKC2'!AW98*100</f>
        <v>5</v>
      </c>
      <c r="AT84" s="405">
        <f>'NKC2'!AX98*100</f>
        <v>0</v>
      </c>
      <c r="AU84" s="405">
        <f>'NKC2'!AY98*100</f>
        <v>0</v>
      </c>
      <c r="AV84" s="405">
        <f>'NKC2'!AZ98*100</f>
        <v>0</v>
      </c>
      <c r="AW84" s="405">
        <f>'NKC2'!BA98*100</f>
        <v>0</v>
      </c>
      <c r="AX84" s="405">
        <f>'NKC2'!BB98*100</f>
        <v>0</v>
      </c>
      <c r="AY84" s="405">
        <f>'NKC2'!BC98*100</f>
        <v>0</v>
      </c>
      <c r="AZ84" s="405">
        <f>'NKC2'!BD98*100</f>
        <v>0</v>
      </c>
      <c r="BA84" s="405">
        <f>'NKC2'!BE98*100</f>
        <v>0</v>
      </c>
      <c r="BB84" s="405">
        <f>'NKC2'!BF98*100</f>
        <v>0</v>
      </c>
      <c r="BC84" s="405">
        <f>'NKC2'!BG98*100</f>
        <v>0</v>
      </c>
      <c r="BD84" s="405">
        <f>'NKC2'!BH98*100</f>
        <v>0</v>
      </c>
      <c r="BE84" s="405">
        <f>'NKC2'!BI98*100</f>
        <v>0</v>
      </c>
      <c r="BF84" s="405">
        <f>'NKC2'!BJ98*100</f>
        <v>0</v>
      </c>
      <c r="BG84" s="405">
        <f>'NKC2'!BK98*100</f>
        <v>0</v>
      </c>
      <c r="BH84" s="405">
        <f>'NKC2'!BL98*100</f>
        <v>0</v>
      </c>
      <c r="BI84" s="405">
        <f>'NKC2'!BM98*100</f>
        <v>0</v>
      </c>
      <c r="BJ84" s="405">
        <f>'NKC2'!BN98*100</f>
        <v>0</v>
      </c>
      <c r="BK84" s="405">
        <f>'NKC2'!BO98*100</f>
        <v>0</v>
      </c>
      <c r="BL84" s="405">
        <f>'NKC2'!BP98*100</f>
        <v>0</v>
      </c>
      <c r="BM84" s="405">
        <f>'NKC2'!BQ98*100</f>
        <v>0</v>
      </c>
      <c r="BN84" s="405">
        <f>'NKC2'!BR98*100</f>
        <v>0</v>
      </c>
      <c r="BO84" s="405">
        <f>'NKC2'!BS98*100</f>
        <v>0</v>
      </c>
      <c r="BP84" s="405">
        <f>'NKC2'!BT98*100</f>
        <v>0</v>
      </c>
      <c r="BQ84" s="405">
        <f>'NKC2'!BU98*100</f>
        <v>0</v>
      </c>
      <c r="BR84" s="405">
        <f>'NKC2'!BV98*100</f>
        <v>0</v>
      </c>
      <c r="BS84" s="405">
        <f>'NKC2'!BW98*100</f>
        <v>0</v>
      </c>
      <c r="BT84" s="405">
        <f>'NKC2'!BX98*100</f>
        <v>0</v>
      </c>
      <c r="BU84" s="405">
        <f>'NKC2'!BY98*100</f>
        <v>0</v>
      </c>
      <c r="BV84" s="405">
        <f>'NKC2'!BZ98*100</f>
        <v>0</v>
      </c>
      <c r="BW84" s="405">
        <f>'NKC2'!CA98*100</f>
        <v>0</v>
      </c>
      <c r="BX84" s="405">
        <f>'NKC2'!CB98*100</f>
        <v>0</v>
      </c>
      <c r="BY84" s="405">
        <f>'NKC2'!CC98*100</f>
        <v>0</v>
      </c>
      <c r="BZ84" s="405">
        <f>'NKC2'!CD98*100</f>
        <v>0</v>
      </c>
      <c r="CA84" s="405">
        <f>'NKC2'!CE98*100</f>
        <v>0</v>
      </c>
      <c r="CB84" s="405">
        <f>'NKC2'!CF98*100</f>
        <v>0</v>
      </c>
      <c r="CC84" s="405">
        <f>'NKC2'!CG98*100</f>
        <v>0</v>
      </c>
      <c r="CD84" s="405">
        <f>'NKC2'!CH98*100</f>
        <v>0</v>
      </c>
      <c r="CE84" s="405">
        <f>'NKC2'!CI98*100</f>
        <v>0</v>
      </c>
      <c r="CF84" s="405">
        <f>'NKC2'!CJ98*100</f>
        <v>0</v>
      </c>
      <c r="CG84" s="405">
        <f>'NKC2'!CK98*100</f>
        <v>0</v>
      </c>
      <c r="CH84" s="405">
        <f>'NKC2'!CL98*100</f>
        <v>0</v>
      </c>
      <c r="CI84" s="405">
        <f>'NKC2'!CM98*100</f>
        <v>0</v>
      </c>
    </row>
    <row r="85" spans="1:87" x14ac:dyDescent="0.45">
      <c r="A85" t="str">
        <f>'NKC2'!B99</f>
        <v>1.6.8</v>
      </c>
      <c r="B85" t="str">
        <f>'NKC2'!D99</f>
        <v xml:space="preserve">             Grounding System</v>
      </c>
      <c r="C85" s="193">
        <f>'NKC2'!F99</f>
        <v>316419.05365089042</v>
      </c>
      <c r="D85" s="140" t="str">
        <f>'NKC2'!G97</f>
        <v>A</v>
      </c>
      <c r="E85" s="198">
        <f>'NKC2'!H99*100</f>
        <v>0</v>
      </c>
      <c r="F85" s="198">
        <f>'NKC2'!J99*100</f>
        <v>0</v>
      </c>
      <c r="G85" s="198">
        <f>'NKC2'!K99*100</f>
        <v>0</v>
      </c>
      <c r="H85" s="198">
        <f>'NKC2'!L99*100</f>
        <v>0</v>
      </c>
      <c r="I85" s="198">
        <f>'NKC2'!M99*100</f>
        <v>0</v>
      </c>
      <c r="J85" s="198">
        <f>'NKC2'!N99*100</f>
        <v>0</v>
      </c>
      <c r="K85" s="198">
        <f>'NKC2'!O99*100</f>
        <v>0</v>
      </c>
      <c r="L85" s="198">
        <f>'NKC2'!P99*100</f>
        <v>0</v>
      </c>
      <c r="M85" s="198">
        <f>'NKC2'!Q99*100</f>
        <v>0</v>
      </c>
      <c r="N85" s="198">
        <f>'NKC2'!R99*100</f>
        <v>0</v>
      </c>
      <c r="O85" s="198">
        <f>'NKC2'!S99*100</f>
        <v>0</v>
      </c>
      <c r="P85" s="198">
        <f>'NKC2'!T99*100</f>
        <v>0</v>
      </c>
      <c r="Q85" s="198">
        <f>'NKC2'!U99*100</f>
        <v>0</v>
      </c>
      <c r="R85" s="198">
        <f>'NKC2'!V99*100</f>
        <v>0</v>
      </c>
      <c r="S85" s="198">
        <f>'NKC2'!W99*100</f>
        <v>0</v>
      </c>
      <c r="T85" s="198">
        <f>'NKC2'!X99*100</f>
        <v>0</v>
      </c>
      <c r="U85" s="198">
        <f>'NKC2'!Y99*100</f>
        <v>0</v>
      </c>
      <c r="V85" s="198">
        <f>'NKC2'!Z99*100</f>
        <v>0</v>
      </c>
      <c r="W85" s="198">
        <f>'NKC2'!AA99*100</f>
        <v>0</v>
      </c>
      <c r="X85" s="198">
        <f>'NKC2'!AB99*100</f>
        <v>0</v>
      </c>
      <c r="Y85" s="198">
        <f>'NKC2'!AC99*100</f>
        <v>0</v>
      </c>
      <c r="Z85" s="198">
        <f>'NKC2'!AD99*100</f>
        <v>0</v>
      </c>
      <c r="AA85" s="198">
        <f>'NKC2'!AE99*100</f>
        <v>0</v>
      </c>
      <c r="AB85" s="198">
        <f>'NKC2'!AF99*100</f>
        <v>0</v>
      </c>
      <c r="AC85" s="198">
        <f>'NKC2'!AG99*100</f>
        <v>0</v>
      </c>
      <c r="AD85" s="198">
        <f>'NKC2'!AH99*100</f>
        <v>0</v>
      </c>
      <c r="AE85" s="198">
        <f>'NKC2'!AI99*100</f>
        <v>0</v>
      </c>
      <c r="AF85" s="198">
        <f>'NKC2'!AJ99*100</f>
        <v>0</v>
      </c>
      <c r="AG85" s="198">
        <f>'NKC2'!AK99*100</f>
        <v>0</v>
      </c>
      <c r="AH85" s="198">
        <f>'NKC2'!AL99*100</f>
        <v>0</v>
      </c>
      <c r="AI85" s="198">
        <f>'NKC2'!AM99*100</f>
        <v>0</v>
      </c>
      <c r="AJ85" s="198">
        <f>'NKC2'!AN99*100</f>
        <v>0</v>
      </c>
      <c r="AK85" s="198">
        <f>'NKC2'!AO99*100</f>
        <v>0</v>
      </c>
      <c r="AL85" s="198">
        <f>'NKC2'!AP99*100</f>
        <v>0</v>
      </c>
      <c r="AM85" s="198">
        <f>'NKC2'!AQ99*100</f>
        <v>0</v>
      </c>
      <c r="AN85" s="198">
        <f>'NKC2'!AR99*100</f>
        <v>0</v>
      </c>
      <c r="AO85" s="198">
        <f>'NKC2'!AS99*100</f>
        <v>0</v>
      </c>
      <c r="AP85" s="198">
        <f>'NKC2'!AT99*100</f>
        <v>0</v>
      </c>
      <c r="AQ85" s="198">
        <f>'NKC2'!AU99*100</f>
        <v>0</v>
      </c>
      <c r="AR85" s="198">
        <f>'NKC2'!AV99*100</f>
        <v>0</v>
      </c>
      <c r="AS85" s="198">
        <f>'NKC2'!AW99*100</f>
        <v>0</v>
      </c>
      <c r="AT85" s="198">
        <f>'NKC2'!AX99*100</f>
        <v>0</v>
      </c>
      <c r="AU85" s="198">
        <f>'NKC2'!AY99*100</f>
        <v>0</v>
      </c>
      <c r="AV85" s="198">
        <f>'NKC2'!AZ99*100</f>
        <v>0</v>
      </c>
      <c r="AW85" s="198">
        <f>'NKC2'!BA99*100</f>
        <v>0</v>
      </c>
      <c r="AX85" s="198">
        <f>'NKC2'!BB99*100</f>
        <v>0</v>
      </c>
      <c r="AY85" s="198">
        <f>'NKC2'!BC99*100</f>
        <v>0</v>
      </c>
      <c r="AZ85" s="198">
        <f>'NKC2'!BD99*100</f>
        <v>0</v>
      </c>
      <c r="BA85" s="198">
        <f>'NKC2'!BE99*100</f>
        <v>0</v>
      </c>
      <c r="BB85" s="198">
        <f>'NKC2'!BF99*100</f>
        <v>0</v>
      </c>
      <c r="BC85" s="198">
        <f>'NKC2'!BG99*100</f>
        <v>0</v>
      </c>
      <c r="BD85" s="198">
        <f>'NKC2'!BH99*100</f>
        <v>0</v>
      </c>
      <c r="BE85" s="198">
        <f>'NKC2'!BI99*100</f>
        <v>0</v>
      </c>
      <c r="BF85" s="198">
        <f>'NKC2'!BJ99*100</f>
        <v>0</v>
      </c>
      <c r="BG85" s="198">
        <f>'NKC2'!BK99*100</f>
        <v>0</v>
      </c>
      <c r="BH85" s="198">
        <f>'NKC2'!BL99*100</f>
        <v>0</v>
      </c>
      <c r="BI85" s="198">
        <f>'NKC2'!BM99*100</f>
        <v>0</v>
      </c>
      <c r="BJ85" s="198">
        <f>'NKC2'!BN99*100</f>
        <v>0</v>
      </c>
      <c r="BK85" s="198">
        <f>'NKC2'!BO99*100</f>
        <v>0</v>
      </c>
      <c r="BL85" s="198">
        <f>'NKC2'!BP99*100</f>
        <v>0</v>
      </c>
      <c r="BM85" s="198">
        <f>'NKC2'!BQ99*100</f>
        <v>0</v>
      </c>
      <c r="BN85" s="198">
        <f>'NKC2'!BR99*100</f>
        <v>0</v>
      </c>
      <c r="BO85" s="198">
        <f>'NKC2'!BS99*100</f>
        <v>0</v>
      </c>
      <c r="BP85" s="198">
        <f>'NKC2'!BT99*100</f>
        <v>0</v>
      </c>
      <c r="BQ85" s="198">
        <f>'NKC2'!BU99*100</f>
        <v>0</v>
      </c>
      <c r="BR85" s="198">
        <f>'NKC2'!BV99*100</f>
        <v>0</v>
      </c>
      <c r="BS85" s="198">
        <f>'NKC2'!BW99*100</f>
        <v>0</v>
      </c>
      <c r="BT85" s="198">
        <f>'NKC2'!BX99*100</f>
        <v>0</v>
      </c>
      <c r="BU85" s="198">
        <f>'NKC2'!BY99*100</f>
        <v>0</v>
      </c>
      <c r="BV85" s="198">
        <f>'NKC2'!BZ99*100</f>
        <v>0</v>
      </c>
      <c r="BW85" s="198">
        <f>'NKC2'!CA99*100</f>
        <v>0</v>
      </c>
      <c r="BX85" s="198">
        <f>'NKC2'!CB99*100</f>
        <v>0</v>
      </c>
      <c r="BY85" s="198">
        <f>'NKC2'!CC99*100</f>
        <v>0</v>
      </c>
      <c r="BZ85" s="198">
        <f>'NKC2'!CD99*100</f>
        <v>0</v>
      </c>
      <c r="CA85" s="198">
        <f>'NKC2'!CE99*100</f>
        <v>0</v>
      </c>
      <c r="CB85" s="198">
        <f>'NKC2'!CF99*100</f>
        <v>0</v>
      </c>
      <c r="CC85" s="198">
        <f>'NKC2'!CG99*100</f>
        <v>0</v>
      </c>
      <c r="CD85" s="198">
        <f>'NKC2'!CH99*100</f>
        <v>0</v>
      </c>
      <c r="CE85" s="198">
        <f>'NKC2'!CI99*100</f>
        <v>0</v>
      </c>
      <c r="CF85" s="198">
        <f>'NKC2'!CJ99*100</f>
        <v>0</v>
      </c>
      <c r="CG85" s="198">
        <f>'NKC2'!CK99*100</f>
        <v>0</v>
      </c>
      <c r="CH85" s="198">
        <f>'NKC2'!CL99*100</f>
        <v>0</v>
      </c>
      <c r="CI85" s="198">
        <f>'NKC2'!CM99*100</f>
        <v>0</v>
      </c>
    </row>
    <row r="86" spans="1:87" x14ac:dyDescent="0.45">
      <c r="A86" s="403">
        <f>'NKC2'!B100</f>
        <v>0</v>
      </c>
      <c r="B86" s="403">
        <f>'NKC2'!D100</f>
        <v>0</v>
      </c>
      <c r="C86" s="404">
        <f>'NKC2'!F100</f>
        <v>0</v>
      </c>
      <c r="D86" s="407" t="str">
        <f>'NKC2'!G98</f>
        <v>P</v>
      </c>
      <c r="E86" s="405">
        <f>'NKC2'!H100*100</f>
        <v>0</v>
      </c>
      <c r="F86" s="405">
        <f>'NKC2'!J100*100</f>
        <v>0</v>
      </c>
      <c r="G86" s="405">
        <f>'NKC2'!K100*100</f>
        <v>0</v>
      </c>
      <c r="H86" s="405">
        <f>'NKC2'!L100*100</f>
        <v>0</v>
      </c>
      <c r="I86" s="405">
        <f>'NKC2'!M100*100</f>
        <v>0</v>
      </c>
      <c r="J86" s="405">
        <f>'NKC2'!N100*100</f>
        <v>0</v>
      </c>
      <c r="K86" s="405">
        <f>'NKC2'!O100*100</f>
        <v>0</v>
      </c>
      <c r="L86" s="405">
        <f>'NKC2'!P100*100</f>
        <v>0</v>
      </c>
      <c r="M86" s="405">
        <f>'NKC2'!Q100*100</f>
        <v>0</v>
      </c>
      <c r="N86" s="405">
        <f>'NKC2'!R100*100</f>
        <v>0</v>
      </c>
      <c r="O86" s="405">
        <f>'NKC2'!S100*100</f>
        <v>0</v>
      </c>
      <c r="P86" s="405">
        <f>'NKC2'!T100*100</f>
        <v>0</v>
      </c>
      <c r="Q86" s="405">
        <f>'NKC2'!U100*100</f>
        <v>0</v>
      </c>
      <c r="R86" s="405">
        <f>'NKC2'!V100*100</f>
        <v>0</v>
      </c>
      <c r="S86" s="405">
        <f>'NKC2'!W100*100</f>
        <v>0</v>
      </c>
      <c r="T86" s="405">
        <f>'NKC2'!X100*100</f>
        <v>0</v>
      </c>
      <c r="U86" s="405">
        <f>'NKC2'!Y100*100</f>
        <v>0</v>
      </c>
      <c r="V86" s="405">
        <f>'NKC2'!Z100*100</f>
        <v>0</v>
      </c>
      <c r="W86" s="405">
        <f>'NKC2'!AA100*100</f>
        <v>0</v>
      </c>
      <c r="X86" s="405">
        <f>'NKC2'!AB100*100</f>
        <v>0</v>
      </c>
      <c r="Y86" s="405">
        <f>'NKC2'!AC100*100</f>
        <v>0</v>
      </c>
      <c r="Z86" s="405">
        <f>'NKC2'!AD100*100</f>
        <v>0</v>
      </c>
      <c r="AA86" s="405">
        <f>'NKC2'!AE100*100</f>
        <v>0</v>
      </c>
      <c r="AB86" s="405">
        <f>'NKC2'!AF100*100</f>
        <v>0</v>
      </c>
      <c r="AC86" s="405">
        <f>'NKC2'!AG100*100</f>
        <v>0</v>
      </c>
      <c r="AD86" s="405">
        <f>'NKC2'!AH100*100</f>
        <v>0</v>
      </c>
      <c r="AE86" s="405">
        <f>'NKC2'!AI100*100</f>
        <v>0</v>
      </c>
      <c r="AF86" s="405">
        <f>'NKC2'!AJ100*100</f>
        <v>0</v>
      </c>
      <c r="AG86" s="405">
        <f>'NKC2'!AK100*100</f>
        <v>0</v>
      </c>
      <c r="AH86" s="405">
        <f>'NKC2'!AL100*100</f>
        <v>0</v>
      </c>
      <c r="AI86" s="405">
        <f>'NKC2'!AM100*100</f>
        <v>0</v>
      </c>
      <c r="AJ86" s="405">
        <f>'NKC2'!AN100*100</f>
        <v>0</v>
      </c>
      <c r="AK86" s="405">
        <f>'NKC2'!AO100*100</f>
        <v>0</v>
      </c>
      <c r="AL86" s="405">
        <f>'NKC2'!AP100*100</f>
        <v>0</v>
      </c>
      <c r="AM86" s="405">
        <f>'NKC2'!AQ100*100</f>
        <v>0</v>
      </c>
      <c r="AN86" s="405">
        <f>'NKC2'!AR100*100</f>
        <v>0</v>
      </c>
      <c r="AO86" s="405">
        <f>'NKC2'!AS100*100</f>
        <v>0</v>
      </c>
      <c r="AP86" s="405">
        <f>'NKC2'!AT100*100</f>
        <v>0</v>
      </c>
      <c r="AQ86" s="405">
        <f>'NKC2'!AU100*100</f>
        <v>0</v>
      </c>
      <c r="AR86" s="405">
        <f>'NKC2'!AV100*100</f>
        <v>0</v>
      </c>
      <c r="AS86" s="405">
        <f>'NKC2'!AW100*100</f>
        <v>0</v>
      </c>
      <c r="AT86" s="405">
        <f>'NKC2'!AX100*100</f>
        <v>0</v>
      </c>
      <c r="AU86" s="405">
        <f>'NKC2'!AY100*100</f>
        <v>0</v>
      </c>
      <c r="AV86" s="405">
        <f>'NKC2'!AZ100*100</f>
        <v>0</v>
      </c>
      <c r="AW86" s="405">
        <f>'NKC2'!BA100*100</f>
        <v>0</v>
      </c>
      <c r="AX86" s="405">
        <f>'NKC2'!BB100*100</f>
        <v>0</v>
      </c>
      <c r="AY86" s="405">
        <f>'NKC2'!BC100*100</f>
        <v>0</v>
      </c>
      <c r="AZ86" s="405">
        <f>'NKC2'!BD100*100</f>
        <v>0</v>
      </c>
      <c r="BA86" s="405">
        <f>'NKC2'!BE100*100</f>
        <v>0</v>
      </c>
      <c r="BB86" s="405">
        <f>'NKC2'!BF100*100</f>
        <v>0</v>
      </c>
      <c r="BC86" s="405">
        <f>'NKC2'!BG100*100</f>
        <v>0</v>
      </c>
      <c r="BD86" s="405">
        <f>'NKC2'!BH100*100</f>
        <v>0</v>
      </c>
      <c r="BE86" s="405">
        <f>'NKC2'!BI100*100</f>
        <v>0</v>
      </c>
      <c r="BF86" s="405">
        <f>'NKC2'!BJ100*100</f>
        <v>0</v>
      </c>
      <c r="BG86" s="405">
        <f>'NKC2'!BK100*100</f>
        <v>0</v>
      </c>
      <c r="BH86" s="405">
        <f>'NKC2'!BL100*100</f>
        <v>0</v>
      </c>
      <c r="BI86" s="405">
        <f>'NKC2'!BM100*100</f>
        <v>0</v>
      </c>
      <c r="BJ86" s="405">
        <f>'NKC2'!BN100*100</f>
        <v>0</v>
      </c>
      <c r="BK86" s="405">
        <f>'NKC2'!BO100*100</f>
        <v>0</v>
      </c>
      <c r="BL86" s="405">
        <f>'NKC2'!BP100*100</f>
        <v>0</v>
      </c>
      <c r="BM86" s="405">
        <f>'NKC2'!BQ100*100</f>
        <v>0</v>
      </c>
      <c r="BN86" s="405">
        <f>'NKC2'!BR100*100</f>
        <v>0</v>
      </c>
      <c r="BO86" s="405">
        <f>'NKC2'!BS100*100</f>
        <v>0</v>
      </c>
      <c r="BP86" s="405">
        <f>'NKC2'!BT100*100</f>
        <v>0</v>
      </c>
      <c r="BQ86" s="405">
        <f>'NKC2'!BU100*100</f>
        <v>0</v>
      </c>
      <c r="BR86" s="405">
        <f>'NKC2'!BV100*100</f>
        <v>0</v>
      </c>
      <c r="BS86" s="405">
        <f>'NKC2'!BW100*100</f>
        <v>0</v>
      </c>
      <c r="BT86" s="405">
        <f>'NKC2'!BX100*100</f>
        <v>0</v>
      </c>
      <c r="BU86" s="405">
        <f>'NKC2'!BY100*100</f>
        <v>0</v>
      </c>
      <c r="BV86" s="405">
        <f>'NKC2'!BZ100*100</f>
        <v>0</v>
      </c>
      <c r="BW86" s="405">
        <f>'NKC2'!CA100*100</f>
        <v>0</v>
      </c>
      <c r="BX86" s="405">
        <f>'NKC2'!CB100*100</f>
        <v>0</v>
      </c>
      <c r="BY86" s="405">
        <f>'NKC2'!CC100*100</f>
        <v>0</v>
      </c>
      <c r="BZ86" s="405">
        <f>'NKC2'!CD100*100</f>
        <v>0</v>
      </c>
      <c r="CA86" s="405">
        <f>'NKC2'!CE100*100</f>
        <v>0</v>
      </c>
      <c r="CB86" s="405">
        <f>'NKC2'!CF100*100</f>
        <v>0</v>
      </c>
      <c r="CC86" s="405">
        <f>'NKC2'!CG100*100</f>
        <v>0</v>
      </c>
      <c r="CD86" s="405">
        <f>'NKC2'!CH100*100</f>
        <v>0</v>
      </c>
      <c r="CE86" s="405">
        <f>'NKC2'!CI100*100</f>
        <v>0</v>
      </c>
      <c r="CF86" s="405">
        <f>'NKC2'!CJ100*100</f>
        <v>0</v>
      </c>
      <c r="CG86" s="405">
        <f>'NKC2'!CK100*100</f>
        <v>0</v>
      </c>
      <c r="CH86" s="405">
        <f>'NKC2'!CL100*100</f>
        <v>0</v>
      </c>
      <c r="CI86" s="405">
        <f>'NKC2'!CM100*100</f>
        <v>0</v>
      </c>
    </row>
    <row r="87" spans="1:87" x14ac:dyDescent="0.45">
      <c r="A87">
        <f>'NKC2'!B101</f>
        <v>0</v>
      </c>
      <c r="B87">
        <f>'NKC2'!D101</f>
        <v>0</v>
      </c>
      <c r="C87" s="193">
        <f>'NKC2'!F101</f>
        <v>0</v>
      </c>
      <c r="D87" s="140" t="str">
        <f>'NKC2'!G99</f>
        <v>A</v>
      </c>
      <c r="E87" s="198">
        <f>'NKC2'!H101*100</f>
        <v>0</v>
      </c>
      <c r="F87" s="198">
        <f>'NKC2'!J101*100</f>
        <v>0</v>
      </c>
      <c r="G87" s="198">
        <f>'NKC2'!K101*100</f>
        <v>0</v>
      </c>
      <c r="H87" s="198">
        <f>'NKC2'!L101*100</f>
        <v>0</v>
      </c>
      <c r="I87" s="198">
        <f>'NKC2'!M101*100</f>
        <v>0</v>
      </c>
      <c r="J87" s="198">
        <f>'NKC2'!N101*100</f>
        <v>0</v>
      </c>
      <c r="K87" s="198">
        <f>'NKC2'!O101*100</f>
        <v>0</v>
      </c>
      <c r="L87" s="198">
        <f>'NKC2'!P101*100</f>
        <v>0</v>
      </c>
      <c r="M87" s="198">
        <f>'NKC2'!Q101*100</f>
        <v>0</v>
      </c>
      <c r="N87" s="198">
        <f>'NKC2'!R101*100</f>
        <v>0</v>
      </c>
      <c r="O87" s="198">
        <f>'NKC2'!S101*100</f>
        <v>0</v>
      </c>
      <c r="P87" s="198">
        <f>'NKC2'!T101*100</f>
        <v>0</v>
      </c>
      <c r="Q87" s="198">
        <f>'NKC2'!U101*100</f>
        <v>0</v>
      </c>
      <c r="R87" s="198">
        <f>'NKC2'!V101*100</f>
        <v>0</v>
      </c>
      <c r="S87" s="198">
        <f>'NKC2'!W101*100</f>
        <v>0</v>
      </c>
      <c r="T87" s="198">
        <f>'NKC2'!X101*100</f>
        <v>0</v>
      </c>
      <c r="U87" s="198">
        <f>'NKC2'!Y101*100</f>
        <v>0</v>
      </c>
      <c r="V87" s="198">
        <f>'NKC2'!Z101*100</f>
        <v>0</v>
      </c>
      <c r="W87" s="198">
        <f>'NKC2'!AA101*100</f>
        <v>0</v>
      </c>
      <c r="X87" s="198">
        <f>'NKC2'!AB101*100</f>
        <v>0</v>
      </c>
      <c r="Y87" s="198">
        <f>'NKC2'!AC101*100</f>
        <v>0</v>
      </c>
      <c r="Z87" s="198">
        <f>'NKC2'!AD101*100</f>
        <v>0</v>
      </c>
      <c r="AA87" s="198">
        <f>'NKC2'!AE101*100</f>
        <v>0</v>
      </c>
      <c r="AB87" s="198">
        <f>'NKC2'!AF101*100</f>
        <v>0</v>
      </c>
      <c r="AC87" s="198">
        <f>'NKC2'!AG101*100</f>
        <v>0</v>
      </c>
      <c r="AD87" s="198">
        <f>'NKC2'!AH101*100</f>
        <v>0</v>
      </c>
      <c r="AE87" s="198">
        <f>'NKC2'!AI101*100</f>
        <v>0</v>
      </c>
      <c r="AF87" s="198">
        <f>'NKC2'!AJ101*100</f>
        <v>0</v>
      </c>
      <c r="AG87" s="198">
        <f>'NKC2'!AK101*100</f>
        <v>0</v>
      </c>
      <c r="AH87" s="198">
        <f>'NKC2'!AL101*100</f>
        <v>0</v>
      </c>
      <c r="AI87" s="198">
        <f>'NKC2'!AM101*100</f>
        <v>0</v>
      </c>
      <c r="AJ87" s="198">
        <f>'NKC2'!AN101*100</f>
        <v>0</v>
      </c>
      <c r="AK87" s="198">
        <f>'NKC2'!AO101*100</f>
        <v>0</v>
      </c>
      <c r="AL87" s="198">
        <f>'NKC2'!AP101*100</f>
        <v>0</v>
      </c>
      <c r="AM87" s="198">
        <f>'NKC2'!AQ101*100</f>
        <v>0</v>
      </c>
      <c r="AN87" s="198">
        <f>'NKC2'!AR101*100</f>
        <v>0</v>
      </c>
      <c r="AO87" s="198">
        <f>'NKC2'!AS101*100</f>
        <v>0</v>
      </c>
      <c r="AP87" s="198">
        <f>'NKC2'!AT101*100</f>
        <v>0</v>
      </c>
      <c r="AQ87" s="198">
        <f>'NKC2'!AU101*100</f>
        <v>0</v>
      </c>
      <c r="AR87" s="198">
        <f>'NKC2'!AV101*100</f>
        <v>0</v>
      </c>
      <c r="AS87" s="198">
        <f>'NKC2'!AW101*100</f>
        <v>0</v>
      </c>
      <c r="AT87" s="198">
        <f>'NKC2'!AX101*100</f>
        <v>0</v>
      </c>
      <c r="AU87" s="198">
        <f>'NKC2'!AY101*100</f>
        <v>0</v>
      </c>
      <c r="AV87" s="198">
        <f>'NKC2'!AZ101*100</f>
        <v>0</v>
      </c>
      <c r="AW87" s="198">
        <f>'NKC2'!BA101*100</f>
        <v>0</v>
      </c>
      <c r="AX87" s="198">
        <f>'NKC2'!BB101*100</f>
        <v>0</v>
      </c>
      <c r="AY87" s="198">
        <f>'NKC2'!BC101*100</f>
        <v>0</v>
      </c>
      <c r="AZ87" s="198">
        <f>'NKC2'!BD101*100</f>
        <v>0</v>
      </c>
      <c r="BA87" s="198">
        <f>'NKC2'!BE101*100</f>
        <v>0</v>
      </c>
      <c r="BB87" s="198">
        <f>'NKC2'!BF101*100</f>
        <v>0</v>
      </c>
      <c r="BC87" s="198">
        <f>'NKC2'!BG101*100</f>
        <v>0</v>
      </c>
      <c r="BD87" s="198">
        <f>'NKC2'!BH101*100</f>
        <v>0</v>
      </c>
      <c r="BE87" s="198">
        <f>'NKC2'!BI101*100</f>
        <v>0</v>
      </c>
      <c r="BF87" s="198">
        <f>'NKC2'!BJ101*100</f>
        <v>0</v>
      </c>
      <c r="BG87" s="198">
        <f>'NKC2'!BK101*100</f>
        <v>0</v>
      </c>
      <c r="BH87" s="198">
        <f>'NKC2'!BL101*100</f>
        <v>0</v>
      </c>
      <c r="BI87" s="198">
        <f>'NKC2'!BM101*100</f>
        <v>0</v>
      </c>
      <c r="BJ87" s="198">
        <f>'NKC2'!BN101*100</f>
        <v>0</v>
      </c>
      <c r="BK87" s="198">
        <f>'NKC2'!BO101*100</f>
        <v>0</v>
      </c>
      <c r="BL87" s="198">
        <f>'NKC2'!BP101*100</f>
        <v>0</v>
      </c>
      <c r="BM87" s="198">
        <f>'NKC2'!BQ101*100</f>
        <v>0</v>
      </c>
      <c r="BN87" s="198">
        <f>'NKC2'!BR101*100</f>
        <v>0</v>
      </c>
      <c r="BO87" s="198">
        <f>'NKC2'!BS101*100</f>
        <v>0</v>
      </c>
      <c r="BP87" s="198">
        <f>'NKC2'!BT101*100</f>
        <v>0</v>
      </c>
      <c r="BQ87" s="198">
        <f>'NKC2'!BU101*100</f>
        <v>0</v>
      </c>
      <c r="BR87" s="198">
        <f>'NKC2'!BV101*100</f>
        <v>0</v>
      </c>
      <c r="BS87" s="198">
        <f>'NKC2'!BW101*100</f>
        <v>0</v>
      </c>
      <c r="BT87" s="198">
        <f>'NKC2'!BX101*100</f>
        <v>0</v>
      </c>
      <c r="BU87" s="198">
        <f>'NKC2'!BY101*100</f>
        <v>0</v>
      </c>
      <c r="BV87" s="198">
        <f>'NKC2'!BZ101*100</f>
        <v>0</v>
      </c>
      <c r="BW87" s="198">
        <f>'NKC2'!CA101*100</f>
        <v>0</v>
      </c>
      <c r="BX87" s="198">
        <f>'NKC2'!CB101*100</f>
        <v>0</v>
      </c>
      <c r="BY87" s="198">
        <f>'NKC2'!CC101*100</f>
        <v>0</v>
      </c>
      <c r="BZ87" s="198">
        <f>'NKC2'!CD101*100</f>
        <v>0</v>
      </c>
      <c r="CA87" s="198">
        <f>'NKC2'!CE101*100</f>
        <v>0</v>
      </c>
      <c r="CB87" s="198">
        <f>'NKC2'!CF101*100</f>
        <v>0</v>
      </c>
      <c r="CC87" s="198">
        <f>'NKC2'!CG101*100</f>
        <v>0</v>
      </c>
      <c r="CD87" s="198">
        <f>'NKC2'!CH101*100</f>
        <v>0</v>
      </c>
      <c r="CE87" s="198">
        <f>'NKC2'!CI101*100</f>
        <v>0</v>
      </c>
      <c r="CF87" s="198">
        <f>'NKC2'!CJ101*100</f>
        <v>0</v>
      </c>
      <c r="CG87" s="198">
        <f>'NKC2'!CK101*100</f>
        <v>0</v>
      </c>
      <c r="CH87" s="198">
        <f>'NKC2'!CL101*100</f>
        <v>0</v>
      </c>
      <c r="CI87" s="198">
        <f>'NKC2'!CM101*100</f>
        <v>0</v>
      </c>
    </row>
    <row r="88" spans="1:87" x14ac:dyDescent="0.45">
      <c r="A88" s="403">
        <f>'NKC2'!B102</f>
        <v>0</v>
      </c>
      <c r="B88" s="403">
        <f>'NKC2'!D102</f>
        <v>0</v>
      </c>
      <c r="C88" s="404">
        <f>'NKC2'!F102</f>
        <v>0</v>
      </c>
      <c r="D88" s="407">
        <f>'NKC2'!G100</f>
        <v>0</v>
      </c>
      <c r="E88" s="405">
        <f>'NKC2'!H102*100</f>
        <v>0</v>
      </c>
      <c r="F88" s="405">
        <f>'NKC2'!J102*100</f>
        <v>0</v>
      </c>
      <c r="G88" s="405">
        <f>'NKC2'!K102*100</f>
        <v>0</v>
      </c>
      <c r="H88" s="405">
        <f>'NKC2'!L102*100</f>
        <v>0</v>
      </c>
      <c r="I88" s="405">
        <f>'NKC2'!M102*100</f>
        <v>0</v>
      </c>
      <c r="J88" s="405">
        <f>'NKC2'!N102*100</f>
        <v>0</v>
      </c>
      <c r="K88" s="405">
        <f>'NKC2'!O102*100</f>
        <v>0</v>
      </c>
      <c r="L88" s="405">
        <f>'NKC2'!P102*100</f>
        <v>0</v>
      </c>
      <c r="M88" s="405">
        <f>'NKC2'!Q102*100</f>
        <v>0</v>
      </c>
      <c r="N88" s="405">
        <f>'NKC2'!R102*100</f>
        <v>0</v>
      </c>
      <c r="O88" s="405">
        <f>'NKC2'!S102*100</f>
        <v>0</v>
      </c>
      <c r="P88" s="405">
        <f>'NKC2'!T102*100</f>
        <v>0</v>
      </c>
      <c r="Q88" s="405">
        <f>'NKC2'!U102*100</f>
        <v>0</v>
      </c>
      <c r="R88" s="405">
        <f>'NKC2'!V102*100</f>
        <v>0</v>
      </c>
      <c r="S88" s="405">
        <f>'NKC2'!W102*100</f>
        <v>0</v>
      </c>
      <c r="T88" s="405">
        <f>'NKC2'!X102*100</f>
        <v>0</v>
      </c>
      <c r="U88" s="405">
        <f>'NKC2'!Y102*100</f>
        <v>0</v>
      </c>
      <c r="V88" s="405">
        <f>'NKC2'!Z102*100</f>
        <v>0</v>
      </c>
      <c r="W88" s="405">
        <f>'NKC2'!AA102*100</f>
        <v>0</v>
      </c>
      <c r="X88" s="405">
        <f>'NKC2'!AB102*100</f>
        <v>0</v>
      </c>
      <c r="Y88" s="405">
        <f>'NKC2'!AC102*100</f>
        <v>0</v>
      </c>
      <c r="Z88" s="405">
        <f>'NKC2'!AD102*100</f>
        <v>0</v>
      </c>
      <c r="AA88" s="405">
        <f>'NKC2'!AE102*100</f>
        <v>0</v>
      </c>
      <c r="AB88" s="405">
        <f>'NKC2'!AF102*100</f>
        <v>0</v>
      </c>
      <c r="AC88" s="405">
        <f>'NKC2'!AG102*100</f>
        <v>0</v>
      </c>
      <c r="AD88" s="405">
        <f>'NKC2'!AH102*100</f>
        <v>0</v>
      </c>
      <c r="AE88" s="405">
        <f>'NKC2'!AI102*100</f>
        <v>0</v>
      </c>
      <c r="AF88" s="405">
        <f>'NKC2'!AJ102*100</f>
        <v>0</v>
      </c>
      <c r="AG88" s="405">
        <f>'NKC2'!AK102*100</f>
        <v>0</v>
      </c>
      <c r="AH88" s="405">
        <f>'NKC2'!AL102*100</f>
        <v>0</v>
      </c>
      <c r="AI88" s="405">
        <f>'NKC2'!AM102*100</f>
        <v>0</v>
      </c>
      <c r="AJ88" s="405">
        <f>'NKC2'!AN102*100</f>
        <v>0</v>
      </c>
      <c r="AK88" s="405">
        <f>'NKC2'!AO102*100</f>
        <v>0</v>
      </c>
      <c r="AL88" s="405">
        <f>'NKC2'!AP102*100</f>
        <v>0</v>
      </c>
      <c r="AM88" s="405">
        <f>'NKC2'!AQ102*100</f>
        <v>0</v>
      </c>
      <c r="AN88" s="405">
        <f>'NKC2'!AR102*100</f>
        <v>0</v>
      </c>
      <c r="AO88" s="405">
        <f>'NKC2'!AS102*100</f>
        <v>0</v>
      </c>
      <c r="AP88" s="405">
        <f>'NKC2'!AT102*100</f>
        <v>0</v>
      </c>
      <c r="AQ88" s="405">
        <f>'NKC2'!AU102*100</f>
        <v>0</v>
      </c>
      <c r="AR88" s="405">
        <f>'NKC2'!AV102*100</f>
        <v>0</v>
      </c>
      <c r="AS88" s="405">
        <f>'NKC2'!AW102*100</f>
        <v>0</v>
      </c>
      <c r="AT88" s="405">
        <f>'NKC2'!AX102*100</f>
        <v>0</v>
      </c>
      <c r="AU88" s="405">
        <f>'NKC2'!AY102*100</f>
        <v>0</v>
      </c>
      <c r="AV88" s="405">
        <f>'NKC2'!AZ102*100</f>
        <v>0</v>
      </c>
      <c r="AW88" s="405">
        <f>'NKC2'!BA102*100</f>
        <v>0</v>
      </c>
      <c r="AX88" s="405">
        <f>'NKC2'!BB102*100</f>
        <v>0</v>
      </c>
      <c r="AY88" s="405">
        <f>'NKC2'!BC102*100</f>
        <v>0</v>
      </c>
      <c r="AZ88" s="405">
        <f>'NKC2'!BD102*100</f>
        <v>0</v>
      </c>
      <c r="BA88" s="405">
        <f>'NKC2'!BE102*100</f>
        <v>0</v>
      </c>
      <c r="BB88" s="405">
        <f>'NKC2'!BF102*100</f>
        <v>0</v>
      </c>
      <c r="BC88" s="405">
        <f>'NKC2'!BG102*100</f>
        <v>0</v>
      </c>
      <c r="BD88" s="405">
        <f>'NKC2'!BH102*100</f>
        <v>0</v>
      </c>
      <c r="BE88" s="405">
        <f>'NKC2'!BI102*100</f>
        <v>0</v>
      </c>
      <c r="BF88" s="405">
        <f>'NKC2'!BJ102*100</f>
        <v>0</v>
      </c>
      <c r="BG88" s="405">
        <f>'NKC2'!BK102*100</f>
        <v>0</v>
      </c>
      <c r="BH88" s="405">
        <f>'NKC2'!BL102*100</f>
        <v>0</v>
      </c>
      <c r="BI88" s="405">
        <f>'NKC2'!BM102*100</f>
        <v>0</v>
      </c>
      <c r="BJ88" s="405">
        <f>'NKC2'!BN102*100</f>
        <v>0</v>
      </c>
      <c r="BK88" s="405">
        <f>'NKC2'!BO102*100</f>
        <v>0</v>
      </c>
      <c r="BL88" s="405">
        <f>'NKC2'!BP102*100</f>
        <v>0</v>
      </c>
      <c r="BM88" s="405">
        <f>'NKC2'!BQ102*100</f>
        <v>0</v>
      </c>
      <c r="BN88" s="405">
        <f>'NKC2'!BR102*100</f>
        <v>0</v>
      </c>
      <c r="BO88" s="405">
        <f>'NKC2'!BS102*100</f>
        <v>0</v>
      </c>
      <c r="BP88" s="405">
        <f>'NKC2'!BT102*100</f>
        <v>0</v>
      </c>
      <c r="BQ88" s="405">
        <f>'NKC2'!BU102*100</f>
        <v>0</v>
      </c>
      <c r="BR88" s="405">
        <f>'NKC2'!BV102*100</f>
        <v>0</v>
      </c>
      <c r="BS88" s="405">
        <f>'NKC2'!BW102*100</f>
        <v>0</v>
      </c>
      <c r="BT88" s="405">
        <f>'NKC2'!BX102*100</f>
        <v>0</v>
      </c>
      <c r="BU88" s="405">
        <f>'NKC2'!BY102*100</f>
        <v>0</v>
      </c>
      <c r="BV88" s="405">
        <f>'NKC2'!BZ102*100</f>
        <v>0</v>
      </c>
      <c r="BW88" s="405">
        <f>'NKC2'!CA102*100</f>
        <v>0</v>
      </c>
      <c r="BX88" s="405">
        <f>'NKC2'!CB102*100</f>
        <v>0</v>
      </c>
      <c r="BY88" s="405">
        <f>'NKC2'!CC102*100</f>
        <v>0</v>
      </c>
      <c r="BZ88" s="405">
        <f>'NKC2'!CD102*100</f>
        <v>0</v>
      </c>
      <c r="CA88" s="405">
        <f>'NKC2'!CE102*100</f>
        <v>0</v>
      </c>
      <c r="CB88" s="405">
        <f>'NKC2'!CF102*100</f>
        <v>0</v>
      </c>
      <c r="CC88" s="405">
        <f>'NKC2'!CG102*100</f>
        <v>0</v>
      </c>
      <c r="CD88" s="405">
        <f>'NKC2'!CH102*100</f>
        <v>0</v>
      </c>
      <c r="CE88" s="405">
        <f>'NKC2'!CI102*100</f>
        <v>0</v>
      </c>
      <c r="CF88" s="405">
        <f>'NKC2'!CJ102*100</f>
        <v>0</v>
      </c>
      <c r="CG88" s="405">
        <f>'NKC2'!CK102*100</f>
        <v>0</v>
      </c>
      <c r="CH88" s="405">
        <f>'NKC2'!CL102*100</f>
        <v>0</v>
      </c>
      <c r="CI88" s="405">
        <f>'NKC2'!CM102*100</f>
        <v>0</v>
      </c>
    </row>
    <row r="89" spans="1:87" x14ac:dyDescent="0.45">
      <c r="A89">
        <f>'NKC2'!B103</f>
        <v>0</v>
      </c>
      <c r="B89">
        <f>'NKC2'!D103</f>
        <v>0</v>
      </c>
      <c r="C89" s="193">
        <f>'NKC2'!F103</f>
        <v>0</v>
      </c>
      <c r="D89" s="140">
        <f>'NKC2'!G101</f>
        <v>0</v>
      </c>
      <c r="E89" s="198">
        <f>'NKC2'!H103*100</f>
        <v>0</v>
      </c>
      <c r="F89" s="198">
        <f>'NKC2'!J103*100</f>
        <v>0</v>
      </c>
      <c r="G89" s="198">
        <f>'NKC2'!K103*100</f>
        <v>0</v>
      </c>
      <c r="H89" s="198">
        <f>'NKC2'!L103*100</f>
        <v>0</v>
      </c>
      <c r="I89" s="198">
        <f>'NKC2'!M103*100</f>
        <v>0</v>
      </c>
      <c r="J89" s="198">
        <f>'NKC2'!N103*100</f>
        <v>0</v>
      </c>
      <c r="K89" s="198">
        <f>'NKC2'!O103*100</f>
        <v>0</v>
      </c>
      <c r="L89" s="198">
        <f>'NKC2'!P103*100</f>
        <v>0</v>
      </c>
      <c r="M89" s="198">
        <f>'NKC2'!Q103*100</f>
        <v>0</v>
      </c>
      <c r="N89" s="198">
        <f>'NKC2'!R103*100</f>
        <v>0</v>
      </c>
      <c r="O89" s="198">
        <f>'NKC2'!S103*100</f>
        <v>0</v>
      </c>
      <c r="P89" s="198">
        <f>'NKC2'!T103*100</f>
        <v>0</v>
      </c>
      <c r="Q89" s="198">
        <f>'NKC2'!U103*100</f>
        <v>0</v>
      </c>
      <c r="R89" s="198">
        <f>'NKC2'!V103*100</f>
        <v>0</v>
      </c>
      <c r="S89" s="198">
        <f>'NKC2'!W103*100</f>
        <v>0</v>
      </c>
      <c r="T89" s="198">
        <f>'NKC2'!X103*100</f>
        <v>0</v>
      </c>
      <c r="U89" s="198">
        <f>'NKC2'!Y103*100</f>
        <v>0</v>
      </c>
      <c r="V89" s="198">
        <f>'NKC2'!Z103*100</f>
        <v>0</v>
      </c>
      <c r="W89" s="198">
        <f>'NKC2'!AA103*100</f>
        <v>0</v>
      </c>
      <c r="X89" s="198">
        <f>'NKC2'!AB103*100</f>
        <v>0</v>
      </c>
      <c r="Y89" s="198">
        <f>'NKC2'!AC103*100</f>
        <v>0</v>
      </c>
      <c r="Z89" s="198">
        <f>'NKC2'!AD103*100</f>
        <v>0</v>
      </c>
      <c r="AA89" s="198">
        <f>'NKC2'!AE103*100</f>
        <v>0</v>
      </c>
      <c r="AB89" s="198">
        <f>'NKC2'!AF103*100</f>
        <v>0</v>
      </c>
      <c r="AC89" s="198">
        <f>'NKC2'!AG103*100</f>
        <v>0</v>
      </c>
      <c r="AD89" s="198">
        <f>'NKC2'!AH103*100</f>
        <v>0</v>
      </c>
      <c r="AE89" s="198">
        <f>'NKC2'!AI103*100</f>
        <v>0</v>
      </c>
      <c r="AF89" s="198">
        <f>'NKC2'!AJ103*100</f>
        <v>0</v>
      </c>
      <c r="AG89" s="198">
        <f>'NKC2'!AK103*100</f>
        <v>0</v>
      </c>
      <c r="AH89" s="198">
        <f>'NKC2'!AL103*100</f>
        <v>0</v>
      </c>
      <c r="AI89" s="198">
        <f>'NKC2'!AM103*100</f>
        <v>0</v>
      </c>
      <c r="AJ89" s="198">
        <f>'NKC2'!AN103*100</f>
        <v>0</v>
      </c>
      <c r="AK89" s="198">
        <f>'NKC2'!AO103*100</f>
        <v>0</v>
      </c>
      <c r="AL89" s="198">
        <f>'NKC2'!AP103*100</f>
        <v>0</v>
      </c>
      <c r="AM89" s="198">
        <f>'NKC2'!AQ103*100</f>
        <v>0</v>
      </c>
      <c r="AN89" s="198">
        <f>'NKC2'!AR103*100</f>
        <v>0</v>
      </c>
      <c r="AO89" s="198">
        <f>'NKC2'!AS103*100</f>
        <v>0</v>
      </c>
      <c r="AP89" s="198">
        <f>'NKC2'!AT103*100</f>
        <v>0</v>
      </c>
      <c r="AQ89" s="198">
        <f>'NKC2'!AU103*100</f>
        <v>0</v>
      </c>
      <c r="AR89" s="198">
        <f>'NKC2'!AV103*100</f>
        <v>0</v>
      </c>
      <c r="AS89" s="198">
        <f>'NKC2'!AW103*100</f>
        <v>0</v>
      </c>
      <c r="AT89" s="198">
        <f>'NKC2'!AX103*100</f>
        <v>0</v>
      </c>
      <c r="AU89" s="198">
        <f>'NKC2'!AY103*100</f>
        <v>0</v>
      </c>
      <c r="AV89" s="198">
        <f>'NKC2'!AZ103*100</f>
        <v>0</v>
      </c>
      <c r="AW89" s="198">
        <f>'NKC2'!BA103*100</f>
        <v>0</v>
      </c>
      <c r="AX89" s="198">
        <f>'NKC2'!BB103*100</f>
        <v>0</v>
      </c>
      <c r="AY89" s="198">
        <f>'NKC2'!BC103*100</f>
        <v>0</v>
      </c>
      <c r="AZ89" s="198">
        <f>'NKC2'!BD103*100</f>
        <v>0</v>
      </c>
      <c r="BA89" s="198">
        <f>'NKC2'!BE103*100</f>
        <v>0</v>
      </c>
      <c r="BB89" s="198">
        <f>'NKC2'!BF103*100</f>
        <v>0</v>
      </c>
      <c r="BC89" s="198">
        <f>'NKC2'!BG103*100</f>
        <v>0</v>
      </c>
      <c r="BD89" s="198">
        <f>'NKC2'!BH103*100</f>
        <v>0</v>
      </c>
      <c r="BE89" s="198">
        <f>'NKC2'!BI103*100</f>
        <v>0</v>
      </c>
      <c r="BF89" s="198">
        <f>'NKC2'!BJ103*100</f>
        <v>0</v>
      </c>
      <c r="BG89" s="198">
        <f>'NKC2'!BK103*100</f>
        <v>0</v>
      </c>
      <c r="BH89" s="198">
        <f>'NKC2'!BL103*100</f>
        <v>0</v>
      </c>
      <c r="BI89" s="198">
        <f>'NKC2'!BM103*100</f>
        <v>0</v>
      </c>
      <c r="BJ89" s="198">
        <f>'NKC2'!BN103*100</f>
        <v>0</v>
      </c>
      <c r="BK89" s="198">
        <f>'NKC2'!BO103*100</f>
        <v>0</v>
      </c>
      <c r="BL89" s="198">
        <f>'NKC2'!BP103*100</f>
        <v>0</v>
      </c>
      <c r="BM89" s="198">
        <f>'NKC2'!BQ103*100</f>
        <v>0</v>
      </c>
      <c r="BN89" s="198">
        <f>'NKC2'!BR103*100</f>
        <v>0</v>
      </c>
      <c r="BO89" s="198">
        <f>'NKC2'!BS103*100</f>
        <v>0</v>
      </c>
      <c r="BP89" s="198">
        <f>'NKC2'!BT103*100</f>
        <v>0</v>
      </c>
      <c r="BQ89" s="198">
        <f>'NKC2'!BU103*100</f>
        <v>0</v>
      </c>
      <c r="BR89" s="198">
        <f>'NKC2'!BV103*100</f>
        <v>0</v>
      </c>
      <c r="BS89" s="198">
        <f>'NKC2'!BW103*100</f>
        <v>0</v>
      </c>
      <c r="BT89" s="198">
        <f>'NKC2'!BX103*100</f>
        <v>0</v>
      </c>
      <c r="BU89" s="198">
        <f>'NKC2'!BY103*100</f>
        <v>0</v>
      </c>
      <c r="BV89" s="198">
        <f>'NKC2'!BZ103*100</f>
        <v>0</v>
      </c>
      <c r="BW89" s="198">
        <f>'NKC2'!CA103*100</f>
        <v>0</v>
      </c>
      <c r="BX89" s="198">
        <f>'NKC2'!CB103*100</f>
        <v>0</v>
      </c>
      <c r="BY89" s="198">
        <f>'NKC2'!CC103*100</f>
        <v>0</v>
      </c>
      <c r="BZ89" s="198">
        <f>'NKC2'!CD103*100</f>
        <v>0</v>
      </c>
      <c r="CA89" s="198">
        <f>'NKC2'!CE103*100</f>
        <v>0</v>
      </c>
      <c r="CB89" s="198">
        <f>'NKC2'!CF103*100</f>
        <v>0</v>
      </c>
      <c r="CC89" s="198">
        <f>'NKC2'!CG103*100</f>
        <v>0</v>
      </c>
      <c r="CD89" s="198">
        <f>'NKC2'!CH103*100</f>
        <v>0</v>
      </c>
      <c r="CE89" s="198">
        <f>'NKC2'!CI103*100</f>
        <v>0</v>
      </c>
      <c r="CF89" s="198">
        <f>'NKC2'!CJ103*100</f>
        <v>0</v>
      </c>
      <c r="CG89" s="198">
        <f>'NKC2'!CK103*100</f>
        <v>0</v>
      </c>
      <c r="CH89" s="198">
        <f>'NKC2'!CL103*100</f>
        <v>0</v>
      </c>
      <c r="CI89" s="198">
        <f>'NKC2'!CM103*100</f>
        <v>0</v>
      </c>
    </row>
    <row r="90" spans="1:87" x14ac:dyDescent="0.45">
      <c r="A90" s="403">
        <f>'NKC2'!B104</f>
        <v>1.7</v>
      </c>
      <c r="B90" s="403" t="str">
        <f>'NKC2'!D104</f>
        <v xml:space="preserve">      งานภูมิสภาปัตยกรรม</v>
      </c>
      <c r="C90" s="404">
        <f>'NKC2'!F104</f>
        <v>2143352.4729750021</v>
      </c>
      <c r="D90" s="407">
        <f>'NKC2'!G102</f>
        <v>0</v>
      </c>
      <c r="E90" s="405">
        <f>'NKC2'!H104*100</f>
        <v>0</v>
      </c>
      <c r="F90" s="405">
        <f>'NKC2'!J104*100</f>
        <v>0</v>
      </c>
      <c r="G90" s="405">
        <f>'NKC2'!K104*100</f>
        <v>0</v>
      </c>
      <c r="H90" s="405">
        <f>'NKC2'!L104*100</f>
        <v>0</v>
      </c>
      <c r="I90" s="405">
        <f>'NKC2'!M104*100</f>
        <v>0</v>
      </c>
      <c r="J90" s="405">
        <f>'NKC2'!N104*100</f>
        <v>0</v>
      </c>
      <c r="K90" s="405">
        <f>'NKC2'!O104*100</f>
        <v>0</v>
      </c>
      <c r="L90" s="405">
        <f>'NKC2'!P104*100</f>
        <v>0</v>
      </c>
      <c r="M90" s="405">
        <f>'NKC2'!Q104*100</f>
        <v>0</v>
      </c>
      <c r="N90" s="405">
        <f>'NKC2'!R104*100</f>
        <v>0</v>
      </c>
      <c r="O90" s="405">
        <f>'NKC2'!S104*100</f>
        <v>0</v>
      </c>
      <c r="P90" s="405">
        <f>'NKC2'!T104*100</f>
        <v>0</v>
      </c>
      <c r="Q90" s="405">
        <f>'NKC2'!U104*100</f>
        <v>0</v>
      </c>
      <c r="R90" s="405">
        <f>'NKC2'!V104*100</f>
        <v>0</v>
      </c>
      <c r="S90" s="405">
        <f>'NKC2'!W104*100</f>
        <v>0</v>
      </c>
      <c r="T90" s="405">
        <f>'NKC2'!X104*100</f>
        <v>0</v>
      </c>
      <c r="U90" s="405">
        <f>'NKC2'!Y104*100</f>
        <v>0</v>
      </c>
      <c r="V90" s="405">
        <f>'NKC2'!Z104*100</f>
        <v>0</v>
      </c>
      <c r="W90" s="405">
        <f>'NKC2'!AA104*100</f>
        <v>0</v>
      </c>
      <c r="X90" s="405">
        <f>'NKC2'!AB104*100</f>
        <v>0</v>
      </c>
      <c r="Y90" s="405">
        <f>'NKC2'!AC104*100</f>
        <v>0</v>
      </c>
      <c r="Z90" s="405">
        <f>'NKC2'!AD104*100</f>
        <v>0</v>
      </c>
      <c r="AA90" s="405">
        <f>'NKC2'!AE104*100</f>
        <v>0</v>
      </c>
      <c r="AB90" s="405">
        <f>'NKC2'!AF104*100</f>
        <v>0</v>
      </c>
      <c r="AC90" s="405">
        <f>'NKC2'!AG104*100</f>
        <v>0</v>
      </c>
      <c r="AD90" s="405">
        <f>'NKC2'!AH104*100</f>
        <v>0</v>
      </c>
      <c r="AE90" s="405">
        <f>'NKC2'!AI104*100</f>
        <v>0</v>
      </c>
      <c r="AF90" s="405">
        <f>'NKC2'!AJ104*100</f>
        <v>0</v>
      </c>
      <c r="AG90" s="405">
        <f>'NKC2'!AK104*100</f>
        <v>0</v>
      </c>
      <c r="AH90" s="405">
        <f>'NKC2'!AL104*100</f>
        <v>0</v>
      </c>
      <c r="AI90" s="405">
        <f>'NKC2'!AM104*100</f>
        <v>0</v>
      </c>
      <c r="AJ90" s="405">
        <f>'NKC2'!AN104*100</f>
        <v>0</v>
      </c>
      <c r="AK90" s="405">
        <f>'NKC2'!AO104*100</f>
        <v>0</v>
      </c>
      <c r="AL90" s="405">
        <f>'NKC2'!AP104*100</f>
        <v>0</v>
      </c>
      <c r="AM90" s="405">
        <f>'NKC2'!AQ104*100</f>
        <v>0</v>
      </c>
      <c r="AN90" s="405">
        <f>'NKC2'!AR104*100</f>
        <v>0</v>
      </c>
      <c r="AO90" s="405">
        <f>'NKC2'!AS104*100</f>
        <v>0</v>
      </c>
      <c r="AP90" s="405">
        <f>'NKC2'!AT104*100</f>
        <v>0</v>
      </c>
      <c r="AQ90" s="405">
        <f>'NKC2'!AU104*100</f>
        <v>0</v>
      </c>
      <c r="AR90" s="405">
        <f>'NKC2'!AV104*100</f>
        <v>0</v>
      </c>
      <c r="AS90" s="405">
        <f>'NKC2'!AW104*100</f>
        <v>0</v>
      </c>
      <c r="AT90" s="405">
        <f>'NKC2'!AX104*100</f>
        <v>0</v>
      </c>
      <c r="AU90" s="405">
        <f>'NKC2'!AY104*100</f>
        <v>0</v>
      </c>
      <c r="AV90" s="405">
        <f>'NKC2'!AZ104*100</f>
        <v>0</v>
      </c>
      <c r="AW90" s="405">
        <f>'NKC2'!BA104*100</f>
        <v>0</v>
      </c>
      <c r="AX90" s="405">
        <f>'NKC2'!BB104*100</f>
        <v>0</v>
      </c>
      <c r="AY90" s="405">
        <f>'NKC2'!BC104*100</f>
        <v>0</v>
      </c>
      <c r="AZ90" s="405">
        <f>'NKC2'!BD104*100</f>
        <v>0</v>
      </c>
      <c r="BA90" s="405">
        <f>'NKC2'!BE104*100</f>
        <v>0</v>
      </c>
      <c r="BB90" s="405">
        <f>'NKC2'!BF104*100</f>
        <v>0</v>
      </c>
      <c r="BC90" s="405">
        <f>'NKC2'!BG104*100</f>
        <v>0</v>
      </c>
      <c r="BD90" s="405">
        <f>'NKC2'!BH104*100</f>
        <v>0</v>
      </c>
      <c r="BE90" s="405">
        <f>'NKC2'!BI104*100</f>
        <v>0</v>
      </c>
      <c r="BF90" s="405">
        <f>'NKC2'!BJ104*100</f>
        <v>0</v>
      </c>
      <c r="BG90" s="405">
        <f>'NKC2'!BK104*100</f>
        <v>0</v>
      </c>
      <c r="BH90" s="405">
        <f>'NKC2'!BL104*100</f>
        <v>0</v>
      </c>
      <c r="BI90" s="405">
        <f>'NKC2'!BM104*100</f>
        <v>0</v>
      </c>
      <c r="BJ90" s="405">
        <f>'NKC2'!BN104*100</f>
        <v>0</v>
      </c>
      <c r="BK90" s="405">
        <f>'NKC2'!BO104*100</f>
        <v>0</v>
      </c>
      <c r="BL90" s="405">
        <f>'NKC2'!BP104*100</f>
        <v>0</v>
      </c>
      <c r="BM90" s="405">
        <f>'NKC2'!BQ104*100</f>
        <v>0</v>
      </c>
      <c r="BN90" s="405">
        <f>'NKC2'!BR104*100</f>
        <v>0</v>
      </c>
      <c r="BO90" s="405">
        <f>'NKC2'!BS104*100</f>
        <v>0</v>
      </c>
      <c r="BP90" s="405">
        <f>'NKC2'!BT104*100</f>
        <v>0</v>
      </c>
      <c r="BQ90" s="405">
        <f>'NKC2'!BU104*100</f>
        <v>0</v>
      </c>
      <c r="BR90" s="405">
        <f>'NKC2'!BV104*100</f>
        <v>0</v>
      </c>
      <c r="BS90" s="405">
        <f>'NKC2'!BW104*100</f>
        <v>0</v>
      </c>
      <c r="BT90" s="405">
        <f>'NKC2'!BX104*100</f>
        <v>0</v>
      </c>
      <c r="BU90" s="405">
        <f>'NKC2'!BY104*100</f>
        <v>0</v>
      </c>
      <c r="BV90" s="405">
        <f>'NKC2'!BZ104*100</f>
        <v>0</v>
      </c>
      <c r="BW90" s="405">
        <f>'NKC2'!CA104*100</f>
        <v>0</v>
      </c>
      <c r="BX90" s="405">
        <f>'NKC2'!CB104*100</f>
        <v>0</v>
      </c>
      <c r="BY90" s="405">
        <f>'NKC2'!CC104*100</f>
        <v>0</v>
      </c>
      <c r="BZ90" s="405">
        <f>'NKC2'!CD104*100</f>
        <v>0</v>
      </c>
      <c r="CA90" s="405">
        <f>'NKC2'!CE104*100</f>
        <v>0</v>
      </c>
      <c r="CB90" s="405">
        <f>'NKC2'!CF104*100</f>
        <v>0</v>
      </c>
      <c r="CC90" s="405">
        <f>'NKC2'!CG104*100</f>
        <v>0</v>
      </c>
      <c r="CD90" s="405">
        <f>'NKC2'!CH104*100</f>
        <v>0</v>
      </c>
      <c r="CE90" s="405">
        <f>'NKC2'!CI104*100</f>
        <v>0</v>
      </c>
      <c r="CF90" s="405">
        <f>'NKC2'!CJ104*100</f>
        <v>0</v>
      </c>
      <c r="CG90" s="405">
        <f>'NKC2'!CK104*100</f>
        <v>0</v>
      </c>
      <c r="CH90" s="405">
        <f>'NKC2'!CL104*100</f>
        <v>0</v>
      </c>
      <c r="CI90" s="405">
        <f>'NKC2'!CM104*100</f>
        <v>0</v>
      </c>
    </row>
    <row r="91" spans="1:87" x14ac:dyDescent="0.45">
      <c r="A91">
        <f>'NKC2'!B105</f>
        <v>1.7</v>
      </c>
      <c r="B91" t="str">
        <f>'NKC2'!D105</f>
        <v xml:space="preserve">      งานภูมิสภาปัตยกรรม</v>
      </c>
      <c r="C91" s="193">
        <f>'NKC2'!F105</f>
        <v>2143352.4729750021</v>
      </c>
      <c r="D91" s="140">
        <f>'NKC2'!G103</f>
        <v>0</v>
      </c>
      <c r="E91" s="198">
        <f>'NKC2'!H105*100</f>
        <v>0</v>
      </c>
      <c r="F91" s="198">
        <f>'NKC2'!J105*100</f>
        <v>0</v>
      </c>
      <c r="G91" s="198">
        <f>'NKC2'!K105*100</f>
        <v>0</v>
      </c>
      <c r="H91" s="198">
        <f>'NKC2'!L105*100</f>
        <v>0</v>
      </c>
      <c r="I91" s="198">
        <f>'NKC2'!M105*100</f>
        <v>0</v>
      </c>
      <c r="J91" s="198">
        <f>'NKC2'!N105*100</f>
        <v>0</v>
      </c>
      <c r="K91" s="198">
        <f>'NKC2'!O105*100</f>
        <v>0</v>
      </c>
      <c r="L91" s="198">
        <f>'NKC2'!P105*100</f>
        <v>0</v>
      </c>
      <c r="M91" s="198">
        <f>'NKC2'!Q105*100</f>
        <v>0</v>
      </c>
      <c r="N91" s="198">
        <f>'NKC2'!R105*100</f>
        <v>0</v>
      </c>
      <c r="O91" s="198">
        <f>'NKC2'!S105*100</f>
        <v>0</v>
      </c>
      <c r="P91" s="198">
        <f>'NKC2'!T105*100</f>
        <v>0</v>
      </c>
      <c r="Q91" s="198">
        <f>'NKC2'!U105*100</f>
        <v>0</v>
      </c>
      <c r="R91" s="198">
        <f>'NKC2'!V105*100</f>
        <v>0</v>
      </c>
      <c r="S91" s="198">
        <f>'NKC2'!W105*100</f>
        <v>0</v>
      </c>
      <c r="T91" s="198">
        <f>'NKC2'!X105*100</f>
        <v>0</v>
      </c>
      <c r="U91" s="198">
        <f>'NKC2'!Y105*100</f>
        <v>0</v>
      </c>
      <c r="V91" s="198">
        <f>'NKC2'!Z105*100</f>
        <v>0</v>
      </c>
      <c r="W91" s="198">
        <f>'NKC2'!AA105*100</f>
        <v>0</v>
      </c>
      <c r="X91" s="198">
        <f>'NKC2'!AB105*100</f>
        <v>0</v>
      </c>
      <c r="Y91" s="198">
        <f>'NKC2'!AC105*100</f>
        <v>0</v>
      </c>
      <c r="Z91" s="198">
        <f>'NKC2'!AD105*100</f>
        <v>0</v>
      </c>
      <c r="AA91" s="198">
        <f>'NKC2'!AE105*100</f>
        <v>0</v>
      </c>
      <c r="AB91" s="198">
        <f>'NKC2'!AF105*100</f>
        <v>0</v>
      </c>
      <c r="AC91" s="198">
        <f>'NKC2'!AG105*100</f>
        <v>0</v>
      </c>
      <c r="AD91" s="198">
        <f>'NKC2'!AH105*100</f>
        <v>0</v>
      </c>
      <c r="AE91" s="198">
        <f>'NKC2'!AI105*100</f>
        <v>0</v>
      </c>
      <c r="AF91" s="198">
        <f>'NKC2'!AJ105*100</f>
        <v>0</v>
      </c>
      <c r="AG91" s="198">
        <f>'NKC2'!AK105*100</f>
        <v>0</v>
      </c>
      <c r="AH91" s="198">
        <f>'NKC2'!AL105*100</f>
        <v>0</v>
      </c>
      <c r="AI91" s="198">
        <f>'NKC2'!AM105*100</f>
        <v>0</v>
      </c>
      <c r="AJ91" s="198">
        <f>'NKC2'!AN105*100</f>
        <v>0</v>
      </c>
      <c r="AK91" s="198">
        <f>'NKC2'!AO105*100</f>
        <v>0</v>
      </c>
      <c r="AL91" s="198">
        <f>'NKC2'!AP105*100</f>
        <v>0</v>
      </c>
      <c r="AM91" s="198">
        <f>'NKC2'!AQ105*100</f>
        <v>0</v>
      </c>
      <c r="AN91" s="198">
        <f>'NKC2'!AR105*100</f>
        <v>0</v>
      </c>
      <c r="AO91" s="198">
        <f>'NKC2'!AS105*100</f>
        <v>0</v>
      </c>
      <c r="AP91" s="198">
        <f>'NKC2'!AT105*100</f>
        <v>0</v>
      </c>
      <c r="AQ91" s="198">
        <f>'NKC2'!AU105*100</f>
        <v>0</v>
      </c>
      <c r="AR91" s="198">
        <f>'NKC2'!AV105*100</f>
        <v>0</v>
      </c>
      <c r="AS91" s="198">
        <f>'NKC2'!AW105*100</f>
        <v>0</v>
      </c>
      <c r="AT91" s="198">
        <f>'NKC2'!AX105*100</f>
        <v>0</v>
      </c>
      <c r="AU91" s="198">
        <f>'NKC2'!AY105*100</f>
        <v>0</v>
      </c>
      <c r="AV91" s="198">
        <f>'NKC2'!AZ105*100</f>
        <v>0</v>
      </c>
      <c r="AW91" s="198">
        <f>'NKC2'!BA105*100</f>
        <v>0</v>
      </c>
      <c r="AX91" s="198">
        <f>'NKC2'!BB105*100</f>
        <v>0</v>
      </c>
      <c r="AY91" s="198">
        <f>'NKC2'!BC105*100</f>
        <v>0</v>
      </c>
      <c r="AZ91" s="198">
        <f>'NKC2'!BD105*100</f>
        <v>0</v>
      </c>
      <c r="BA91" s="198">
        <f>'NKC2'!BE105*100</f>
        <v>0</v>
      </c>
      <c r="BB91" s="198">
        <f>'NKC2'!BF105*100</f>
        <v>0</v>
      </c>
      <c r="BC91" s="198">
        <f>'NKC2'!BG105*100</f>
        <v>0</v>
      </c>
      <c r="BD91" s="198">
        <f>'NKC2'!BH105*100</f>
        <v>0</v>
      </c>
      <c r="BE91" s="198">
        <f>'NKC2'!BI105*100</f>
        <v>0</v>
      </c>
      <c r="BF91" s="198">
        <f>'NKC2'!BJ105*100</f>
        <v>0</v>
      </c>
      <c r="BG91" s="198">
        <f>'NKC2'!BK105*100</f>
        <v>0</v>
      </c>
      <c r="BH91" s="198">
        <f>'NKC2'!BL105*100</f>
        <v>0</v>
      </c>
      <c r="BI91" s="198">
        <f>'NKC2'!BM105*100</f>
        <v>0</v>
      </c>
      <c r="BJ91" s="198">
        <f>'NKC2'!BN105*100</f>
        <v>0</v>
      </c>
      <c r="BK91" s="198">
        <f>'NKC2'!BO105*100</f>
        <v>0</v>
      </c>
      <c r="BL91" s="198">
        <f>'NKC2'!BP105*100</f>
        <v>0</v>
      </c>
      <c r="BM91" s="198">
        <f>'NKC2'!BQ105*100</f>
        <v>0</v>
      </c>
      <c r="BN91" s="198">
        <f>'NKC2'!BR105*100</f>
        <v>0</v>
      </c>
      <c r="BO91" s="198">
        <f>'NKC2'!BS105*100</f>
        <v>0</v>
      </c>
      <c r="BP91" s="198">
        <f>'NKC2'!BT105*100</f>
        <v>0</v>
      </c>
      <c r="BQ91" s="198">
        <f>'NKC2'!BU105*100</f>
        <v>0</v>
      </c>
      <c r="BR91" s="198">
        <f>'NKC2'!BV105*100</f>
        <v>0</v>
      </c>
      <c r="BS91" s="198">
        <f>'NKC2'!BW105*100</f>
        <v>0</v>
      </c>
      <c r="BT91" s="198">
        <f>'NKC2'!BX105*100</f>
        <v>0</v>
      </c>
      <c r="BU91" s="198">
        <f>'NKC2'!BY105*100</f>
        <v>0</v>
      </c>
      <c r="BV91" s="198">
        <f>'NKC2'!BZ105*100</f>
        <v>0</v>
      </c>
      <c r="BW91" s="198">
        <f>'NKC2'!CA105*100</f>
        <v>0</v>
      </c>
      <c r="BX91" s="198">
        <f>'NKC2'!CB105*100</f>
        <v>0</v>
      </c>
      <c r="BY91" s="198">
        <f>'NKC2'!CC105*100</f>
        <v>0</v>
      </c>
      <c r="BZ91" s="198">
        <f>'NKC2'!CD105*100</f>
        <v>0</v>
      </c>
      <c r="CA91" s="198">
        <f>'NKC2'!CE105*100</f>
        <v>0</v>
      </c>
      <c r="CB91" s="198">
        <f>'NKC2'!CF105*100</f>
        <v>0</v>
      </c>
      <c r="CC91" s="198">
        <f>'NKC2'!CG105*100</f>
        <v>0</v>
      </c>
      <c r="CD91" s="198">
        <f>'NKC2'!CH105*100</f>
        <v>0</v>
      </c>
      <c r="CE91" s="198">
        <f>'NKC2'!CI105*100</f>
        <v>0</v>
      </c>
      <c r="CF91" s="198">
        <f>'NKC2'!CJ105*100</f>
        <v>0</v>
      </c>
      <c r="CG91" s="198">
        <f>'NKC2'!CK105*100</f>
        <v>0</v>
      </c>
      <c r="CH91" s="198">
        <f>'NKC2'!CL105*100</f>
        <v>0</v>
      </c>
      <c r="CI91" s="198">
        <f>'NKC2'!CM105*100</f>
        <v>0</v>
      </c>
    </row>
    <row r="92" spans="1:87" x14ac:dyDescent="0.45">
      <c r="A92" s="403" t="str">
        <f>'NKC2'!B106</f>
        <v>1.7.1</v>
      </c>
      <c r="B92" s="403" t="str">
        <f>'NKC2'!D106</f>
        <v xml:space="preserve">            งาน Hardscape</v>
      </c>
      <c r="C92" s="404">
        <f>'NKC2'!F106</f>
        <v>1046078.0249000001</v>
      </c>
      <c r="D92" s="407" t="str">
        <f>'NKC2'!G104</f>
        <v>P</v>
      </c>
      <c r="E92" s="405">
        <f>'NKC2'!H106*100</f>
        <v>100.00000000000003</v>
      </c>
      <c r="F92" s="405">
        <f>'NKC2'!J106*100</f>
        <v>0</v>
      </c>
      <c r="G92" s="405">
        <f>'NKC2'!K106*100</f>
        <v>0</v>
      </c>
      <c r="H92" s="405">
        <f>'NKC2'!L106*100</f>
        <v>0</v>
      </c>
      <c r="I92" s="405">
        <f>'NKC2'!M106*100</f>
        <v>0</v>
      </c>
      <c r="J92" s="405">
        <f>'NKC2'!N106*100</f>
        <v>0</v>
      </c>
      <c r="K92" s="405">
        <f>'NKC2'!O106*100</f>
        <v>0</v>
      </c>
      <c r="L92" s="405">
        <f>'NKC2'!P106*100</f>
        <v>0</v>
      </c>
      <c r="M92" s="405">
        <f>'NKC2'!Q106*100</f>
        <v>0</v>
      </c>
      <c r="N92" s="405">
        <f>'NKC2'!R106*100</f>
        <v>0</v>
      </c>
      <c r="O92" s="405">
        <f>'NKC2'!S106*100</f>
        <v>0</v>
      </c>
      <c r="P92" s="405">
        <f>'NKC2'!T106*100</f>
        <v>0</v>
      </c>
      <c r="Q92" s="405">
        <f>'NKC2'!U106*100</f>
        <v>0</v>
      </c>
      <c r="R92" s="405">
        <f>'NKC2'!V106*100</f>
        <v>0</v>
      </c>
      <c r="S92" s="405">
        <f>'NKC2'!W106*100</f>
        <v>0</v>
      </c>
      <c r="T92" s="405">
        <f>'NKC2'!X106*100</f>
        <v>0</v>
      </c>
      <c r="U92" s="405">
        <f>'NKC2'!Y106*100</f>
        <v>0</v>
      </c>
      <c r="V92" s="405">
        <f>'NKC2'!Z106*100</f>
        <v>0</v>
      </c>
      <c r="W92" s="405">
        <f>'NKC2'!AA106*100</f>
        <v>0</v>
      </c>
      <c r="X92" s="405">
        <f>'NKC2'!AB106*100</f>
        <v>0</v>
      </c>
      <c r="Y92" s="405">
        <f>'NKC2'!AC106*100</f>
        <v>0</v>
      </c>
      <c r="Z92" s="405">
        <f>'NKC2'!AD106*100</f>
        <v>0</v>
      </c>
      <c r="AA92" s="405">
        <f>'NKC2'!AE106*100</f>
        <v>0</v>
      </c>
      <c r="AB92" s="405">
        <f>'NKC2'!AF106*100</f>
        <v>0</v>
      </c>
      <c r="AC92" s="405">
        <f>'NKC2'!AG106*100</f>
        <v>0</v>
      </c>
      <c r="AD92" s="405">
        <f>'NKC2'!AH106*100</f>
        <v>0</v>
      </c>
      <c r="AE92" s="405">
        <f>'NKC2'!AI106*100</f>
        <v>0</v>
      </c>
      <c r="AF92" s="405">
        <f>'NKC2'!AJ106*100</f>
        <v>0</v>
      </c>
      <c r="AG92" s="405">
        <f>'NKC2'!AK106*100</f>
        <v>0</v>
      </c>
      <c r="AH92" s="405">
        <f>'NKC2'!AL106*100</f>
        <v>0</v>
      </c>
      <c r="AI92" s="405">
        <f>'NKC2'!AM106*100</f>
        <v>0</v>
      </c>
      <c r="AJ92" s="405">
        <f>'NKC2'!AN106*100</f>
        <v>4</v>
      </c>
      <c r="AK92" s="405">
        <f>'NKC2'!AO106*100</f>
        <v>5</v>
      </c>
      <c r="AL92" s="405">
        <f>'NKC2'!AP106*100</f>
        <v>5</v>
      </c>
      <c r="AM92" s="405">
        <f>'NKC2'!AQ106*100</f>
        <v>5</v>
      </c>
      <c r="AN92" s="405">
        <f>'NKC2'!AR106*100</f>
        <v>8</v>
      </c>
      <c r="AO92" s="405">
        <f>'NKC2'!AS106*100</f>
        <v>8</v>
      </c>
      <c r="AP92" s="405">
        <f>'NKC2'!AT106*100</f>
        <v>10</v>
      </c>
      <c r="AQ92" s="405">
        <f>'NKC2'!AU106*100</f>
        <v>10</v>
      </c>
      <c r="AR92" s="405">
        <f>'NKC2'!AV106*100</f>
        <v>10</v>
      </c>
      <c r="AS92" s="405">
        <f>'NKC2'!AW106*100</f>
        <v>10</v>
      </c>
      <c r="AT92" s="405">
        <f>'NKC2'!AX106*100</f>
        <v>5</v>
      </c>
      <c r="AU92" s="405">
        <f>'NKC2'!AY106*100</f>
        <v>5</v>
      </c>
      <c r="AV92" s="405">
        <f>'NKC2'!AZ106*100</f>
        <v>5</v>
      </c>
      <c r="AW92" s="405">
        <f>'NKC2'!BA106*100</f>
        <v>5</v>
      </c>
      <c r="AX92" s="405">
        <f>'NKC2'!BB106*100</f>
        <v>5</v>
      </c>
      <c r="AY92" s="405">
        <f>'NKC2'!BC106*100</f>
        <v>0</v>
      </c>
      <c r="AZ92" s="405">
        <f>'NKC2'!BD106*100</f>
        <v>0</v>
      </c>
      <c r="BA92" s="405">
        <f>'NKC2'!BE106*100</f>
        <v>0</v>
      </c>
      <c r="BB92" s="405">
        <f>'NKC2'!BF106*100</f>
        <v>0</v>
      </c>
      <c r="BC92" s="405">
        <f>'NKC2'!BG106*100</f>
        <v>0</v>
      </c>
      <c r="BD92" s="405">
        <f>'NKC2'!BH106*100</f>
        <v>0</v>
      </c>
      <c r="BE92" s="405">
        <f>'NKC2'!BI106*100</f>
        <v>0</v>
      </c>
      <c r="BF92" s="405">
        <f>'NKC2'!BJ106*100</f>
        <v>0</v>
      </c>
      <c r="BG92" s="405">
        <f>'NKC2'!BK106*100</f>
        <v>0</v>
      </c>
      <c r="BH92" s="405">
        <f>'NKC2'!BL106*100</f>
        <v>0</v>
      </c>
      <c r="BI92" s="405">
        <f>'NKC2'!BM106*100</f>
        <v>0</v>
      </c>
      <c r="BJ92" s="405">
        <f>'NKC2'!BN106*100</f>
        <v>0</v>
      </c>
      <c r="BK92" s="405">
        <f>'NKC2'!BO106*100</f>
        <v>0</v>
      </c>
      <c r="BL92" s="405">
        <f>'NKC2'!BP106*100</f>
        <v>0</v>
      </c>
      <c r="BM92" s="405">
        <f>'NKC2'!BQ106*100</f>
        <v>0</v>
      </c>
      <c r="BN92" s="405">
        <f>'NKC2'!BR106*100</f>
        <v>0</v>
      </c>
      <c r="BO92" s="405">
        <f>'NKC2'!BS106*100</f>
        <v>0</v>
      </c>
      <c r="BP92" s="405">
        <f>'NKC2'!BT106*100</f>
        <v>0</v>
      </c>
      <c r="BQ92" s="405">
        <f>'NKC2'!BU106*100</f>
        <v>0</v>
      </c>
      <c r="BR92" s="405">
        <f>'NKC2'!BV106*100</f>
        <v>0</v>
      </c>
      <c r="BS92" s="405">
        <f>'NKC2'!BW106*100</f>
        <v>0</v>
      </c>
      <c r="BT92" s="405">
        <f>'NKC2'!BX106*100</f>
        <v>0</v>
      </c>
      <c r="BU92" s="405">
        <f>'NKC2'!BY106*100</f>
        <v>0</v>
      </c>
      <c r="BV92" s="405">
        <f>'NKC2'!BZ106*100</f>
        <v>0</v>
      </c>
      <c r="BW92" s="405">
        <f>'NKC2'!CA106*100</f>
        <v>0</v>
      </c>
      <c r="BX92" s="405">
        <f>'NKC2'!CB106*100</f>
        <v>0</v>
      </c>
      <c r="BY92" s="405">
        <f>'NKC2'!CC106*100</f>
        <v>0</v>
      </c>
      <c r="BZ92" s="405">
        <f>'NKC2'!CD106*100</f>
        <v>0</v>
      </c>
      <c r="CA92" s="405">
        <f>'NKC2'!CE106*100</f>
        <v>0</v>
      </c>
      <c r="CB92" s="405">
        <f>'NKC2'!CF106*100</f>
        <v>0</v>
      </c>
      <c r="CC92" s="405">
        <f>'NKC2'!CG106*100</f>
        <v>0</v>
      </c>
      <c r="CD92" s="405">
        <f>'NKC2'!CH106*100</f>
        <v>0</v>
      </c>
      <c r="CE92" s="405">
        <f>'NKC2'!CI106*100</f>
        <v>0</v>
      </c>
      <c r="CF92" s="405">
        <f>'NKC2'!CJ106*100</f>
        <v>0</v>
      </c>
      <c r="CG92" s="405">
        <f>'NKC2'!CK106*100</f>
        <v>0</v>
      </c>
      <c r="CH92" s="405">
        <f>'NKC2'!CL106*100</f>
        <v>0</v>
      </c>
      <c r="CI92" s="405">
        <f>'NKC2'!CM106*100</f>
        <v>0</v>
      </c>
    </row>
    <row r="93" spans="1:87" x14ac:dyDescent="0.45">
      <c r="A93" t="str">
        <f>'NKC2'!B107</f>
        <v>1.7.1</v>
      </c>
      <c r="B93" t="str">
        <f>'NKC2'!D107</f>
        <v xml:space="preserve">            งาน Hardscape</v>
      </c>
      <c r="C93" s="193">
        <f>'NKC2'!F107</f>
        <v>1046078.0249000001</v>
      </c>
      <c r="D93" s="140" t="str">
        <f>'NKC2'!G105</f>
        <v>A</v>
      </c>
      <c r="E93" s="198">
        <f>'NKC2'!H107*100</f>
        <v>0</v>
      </c>
      <c r="F93" s="198">
        <f>'NKC2'!J107*100</f>
        <v>0</v>
      </c>
      <c r="G93" s="198">
        <f>'NKC2'!K107*100</f>
        <v>0</v>
      </c>
      <c r="H93" s="198">
        <f>'NKC2'!L107*100</f>
        <v>0</v>
      </c>
      <c r="I93" s="198">
        <f>'NKC2'!M107*100</f>
        <v>0</v>
      </c>
      <c r="J93" s="198">
        <f>'NKC2'!N107*100</f>
        <v>0</v>
      </c>
      <c r="K93" s="198">
        <f>'NKC2'!O107*100</f>
        <v>0</v>
      </c>
      <c r="L93" s="198">
        <f>'NKC2'!P107*100</f>
        <v>0</v>
      </c>
      <c r="M93" s="198">
        <f>'NKC2'!Q107*100</f>
        <v>0</v>
      </c>
      <c r="N93" s="198">
        <f>'NKC2'!R107*100</f>
        <v>0</v>
      </c>
      <c r="O93" s="198">
        <f>'NKC2'!S107*100</f>
        <v>0</v>
      </c>
      <c r="P93" s="198">
        <f>'NKC2'!T107*100</f>
        <v>0</v>
      </c>
      <c r="Q93" s="198">
        <f>'NKC2'!U107*100</f>
        <v>0</v>
      </c>
      <c r="R93" s="198">
        <f>'NKC2'!V107*100</f>
        <v>0</v>
      </c>
      <c r="S93" s="198">
        <f>'NKC2'!W107*100</f>
        <v>0</v>
      </c>
      <c r="T93" s="198">
        <f>'NKC2'!X107*100</f>
        <v>0</v>
      </c>
      <c r="U93" s="198">
        <f>'NKC2'!Y107*100</f>
        <v>0</v>
      </c>
      <c r="V93" s="198">
        <f>'NKC2'!Z107*100</f>
        <v>0</v>
      </c>
      <c r="W93" s="198">
        <f>'NKC2'!AA107*100</f>
        <v>0</v>
      </c>
      <c r="X93" s="198">
        <f>'NKC2'!AB107*100</f>
        <v>0</v>
      </c>
      <c r="Y93" s="198">
        <f>'NKC2'!AC107*100</f>
        <v>0</v>
      </c>
      <c r="Z93" s="198">
        <f>'NKC2'!AD107*100</f>
        <v>0</v>
      </c>
      <c r="AA93" s="198">
        <f>'NKC2'!AE107*100</f>
        <v>0</v>
      </c>
      <c r="AB93" s="198">
        <f>'NKC2'!AF107*100</f>
        <v>0</v>
      </c>
      <c r="AC93" s="198">
        <f>'NKC2'!AG107*100</f>
        <v>0</v>
      </c>
      <c r="AD93" s="198">
        <f>'NKC2'!AH107*100</f>
        <v>0</v>
      </c>
      <c r="AE93" s="198">
        <f>'NKC2'!AI107*100</f>
        <v>0</v>
      </c>
      <c r="AF93" s="198">
        <f>'NKC2'!AJ107*100</f>
        <v>0</v>
      </c>
      <c r="AG93" s="198">
        <f>'NKC2'!AK107*100</f>
        <v>0</v>
      </c>
      <c r="AH93" s="198">
        <f>'NKC2'!AL107*100</f>
        <v>0</v>
      </c>
      <c r="AI93" s="198">
        <f>'NKC2'!AM107*100</f>
        <v>0</v>
      </c>
      <c r="AJ93" s="198">
        <f>'NKC2'!AN107*100</f>
        <v>0</v>
      </c>
      <c r="AK93" s="198">
        <f>'NKC2'!AO107*100</f>
        <v>0</v>
      </c>
      <c r="AL93" s="198">
        <f>'NKC2'!AP107*100</f>
        <v>0</v>
      </c>
      <c r="AM93" s="198">
        <f>'NKC2'!AQ107*100</f>
        <v>0</v>
      </c>
      <c r="AN93" s="198">
        <f>'NKC2'!AR107*100</f>
        <v>0</v>
      </c>
      <c r="AO93" s="198">
        <f>'NKC2'!AS107*100</f>
        <v>0</v>
      </c>
      <c r="AP93" s="198">
        <f>'NKC2'!AT107*100</f>
        <v>0</v>
      </c>
      <c r="AQ93" s="198">
        <f>'NKC2'!AU107*100</f>
        <v>0</v>
      </c>
      <c r="AR93" s="198">
        <f>'NKC2'!AV107*100</f>
        <v>0</v>
      </c>
      <c r="AS93" s="198">
        <f>'NKC2'!AW107*100</f>
        <v>0</v>
      </c>
      <c r="AT93" s="198">
        <f>'NKC2'!AX107*100</f>
        <v>0</v>
      </c>
      <c r="AU93" s="198">
        <f>'NKC2'!AY107*100</f>
        <v>0</v>
      </c>
      <c r="AV93" s="198">
        <f>'NKC2'!AZ107*100</f>
        <v>0</v>
      </c>
      <c r="AW93" s="198">
        <f>'NKC2'!BA107*100</f>
        <v>0</v>
      </c>
      <c r="AX93" s="198">
        <f>'NKC2'!BB107*100</f>
        <v>0</v>
      </c>
      <c r="AY93" s="198">
        <f>'NKC2'!BC107*100</f>
        <v>0</v>
      </c>
      <c r="AZ93" s="198">
        <f>'NKC2'!BD107*100</f>
        <v>0</v>
      </c>
      <c r="BA93" s="198">
        <f>'NKC2'!BE107*100</f>
        <v>0</v>
      </c>
      <c r="BB93" s="198">
        <f>'NKC2'!BF107*100</f>
        <v>0</v>
      </c>
      <c r="BC93" s="198">
        <f>'NKC2'!BG107*100</f>
        <v>0</v>
      </c>
      <c r="BD93" s="198">
        <f>'NKC2'!BH107*100</f>
        <v>0</v>
      </c>
      <c r="BE93" s="198">
        <f>'NKC2'!BI107*100</f>
        <v>0</v>
      </c>
      <c r="BF93" s="198">
        <f>'NKC2'!BJ107*100</f>
        <v>0</v>
      </c>
      <c r="BG93" s="198">
        <f>'NKC2'!BK107*100</f>
        <v>0</v>
      </c>
      <c r="BH93" s="198">
        <f>'NKC2'!BL107*100</f>
        <v>0</v>
      </c>
      <c r="BI93" s="198">
        <f>'NKC2'!BM107*100</f>
        <v>0</v>
      </c>
      <c r="BJ93" s="198">
        <f>'NKC2'!BN107*100</f>
        <v>0</v>
      </c>
      <c r="BK93" s="198">
        <f>'NKC2'!BO107*100</f>
        <v>0</v>
      </c>
      <c r="BL93" s="198">
        <f>'NKC2'!BP107*100</f>
        <v>0</v>
      </c>
      <c r="BM93" s="198">
        <f>'NKC2'!BQ107*100</f>
        <v>0</v>
      </c>
      <c r="BN93" s="198">
        <f>'NKC2'!BR107*100</f>
        <v>0</v>
      </c>
      <c r="BO93" s="198">
        <f>'NKC2'!BS107*100</f>
        <v>0</v>
      </c>
      <c r="BP93" s="198">
        <f>'NKC2'!BT107*100</f>
        <v>0</v>
      </c>
      <c r="BQ93" s="198">
        <f>'NKC2'!BU107*100</f>
        <v>0</v>
      </c>
      <c r="BR93" s="198">
        <f>'NKC2'!BV107*100</f>
        <v>0</v>
      </c>
      <c r="BS93" s="198">
        <f>'NKC2'!BW107*100</f>
        <v>0</v>
      </c>
      <c r="BT93" s="198">
        <f>'NKC2'!BX107*100</f>
        <v>0</v>
      </c>
      <c r="BU93" s="198">
        <f>'NKC2'!BY107*100</f>
        <v>0</v>
      </c>
      <c r="BV93" s="198">
        <f>'NKC2'!BZ107*100</f>
        <v>0</v>
      </c>
      <c r="BW93" s="198">
        <f>'NKC2'!CA107*100</f>
        <v>0</v>
      </c>
      <c r="BX93" s="198">
        <f>'NKC2'!CB107*100</f>
        <v>0</v>
      </c>
      <c r="BY93" s="198">
        <f>'NKC2'!CC107*100</f>
        <v>0</v>
      </c>
      <c r="BZ93" s="198">
        <f>'NKC2'!CD107*100</f>
        <v>0</v>
      </c>
      <c r="CA93" s="198">
        <f>'NKC2'!CE107*100</f>
        <v>0</v>
      </c>
      <c r="CB93" s="198">
        <f>'NKC2'!CF107*100</f>
        <v>0</v>
      </c>
      <c r="CC93" s="198">
        <f>'NKC2'!CG107*100</f>
        <v>0</v>
      </c>
      <c r="CD93" s="198">
        <f>'NKC2'!CH107*100</f>
        <v>0</v>
      </c>
      <c r="CE93" s="198">
        <f>'NKC2'!CI107*100</f>
        <v>0</v>
      </c>
      <c r="CF93" s="198">
        <f>'NKC2'!CJ107*100</f>
        <v>0</v>
      </c>
      <c r="CG93" s="198">
        <f>'NKC2'!CK107*100</f>
        <v>0</v>
      </c>
      <c r="CH93" s="198">
        <f>'NKC2'!CL107*100</f>
        <v>0</v>
      </c>
      <c r="CI93" s="198">
        <f>'NKC2'!CM107*100</f>
        <v>0</v>
      </c>
    </row>
    <row r="94" spans="1:87" x14ac:dyDescent="0.45">
      <c r="A94" s="403" t="str">
        <f>'NKC2'!B108</f>
        <v>1.7.2</v>
      </c>
      <c r="B94" s="403" t="str">
        <f>'NKC2'!D108</f>
        <v xml:space="preserve">            งาน Softscape</v>
      </c>
      <c r="C94" s="404">
        <f>'NKC2'!F108</f>
        <v>0</v>
      </c>
      <c r="D94" s="407" t="str">
        <f>'NKC2'!G106</f>
        <v>P</v>
      </c>
      <c r="E94" s="405">
        <f>'NKC2'!H108*100</f>
        <v>0</v>
      </c>
      <c r="F94" s="405">
        <f>'NKC2'!J108*100</f>
        <v>0</v>
      </c>
      <c r="G94" s="405">
        <f>'NKC2'!K108*100</f>
        <v>0</v>
      </c>
      <c r="H94" s="405">
        <f>'NKC2'!L108*100</f>
        <v>0</v>
      </c>
      <c r="I94" s="405">
        <f>'NKC2'!M108*100</f>
        <v>0</v>
      </c>
      <c r="J94" s="405">
        <f>'NKC2'!N108*100</f>
        <v>0</v>
      </c>
      <c r="K94" s="405">
        <f>'NKC2'!O108*100</f>
        <v>0</v>
      </c>
      <c r="L94" s="405">
        <f>'NKC2'!P108*100</f>
        <v>0</v>
      </c>
      <c r="M94" s="405">
        <f>'NKC2'!Q108*100</f>
        <v>0</v>
      </c>
      <c r="N94" s="405">
        <f>'NKC2'!R108*100</f>
        <v>0</v>
      </c>
      <c r="O94" s="405">
        <f>'NKC2'!S108*100</f>
        <v>0</v>
      </c>
      <c r="P94" s="405">
        <f>'NKC2'!T108*100</f>
        <v>0</v>
      </c>
      <c r="Q94" s="405">
        <f>'NKC2'!U108*100</f>
        <v>0</v>
      </c>
      <c r="R94" s="405">
        <f>'NKC2'!V108*100</f>
        <v>0</v>
      </c>
      <c r="S94" s="405">
        <f>'NKC2'!W108*100</f>
        <v>0</v>
      </c>
      <c r="T94" s="405">
        <f>'NKC2'!X108*100</f>
        <v>0</v>
      </c>
      <c r="U94" s="405">
        <f>'NKC2'!Y108*100</f>
        <v>0</v>
      </c>
      <c r="V94" s="405">
        <f>'NKC2'!Z108*100</f>
        <v>0</v>
      </c>
      <c r="W94" s="405">
        <f>'NKC2'!AA108*100</f>
        <v>0</v>
      </c>
      <c r="X94" s="405">
        <f>'NKC2'!AB108*100</f>
        <v>0</v>
      </c>
      <c r="Y94" s="405">
        <f>'NKC2'!AC108*100</f>
        <v>0</v>
      </c>
      <c r="Z94" s="405">
        <f>'NKC2'!AD108*100</f>
        <v>0</v>
      </c>
      <c r="AA94" s="405">
        <f>'NKC2'!AE108*100</f>
        <v>0</v>
      </c>
      <c r="AB94" s="405">
        <f>'NKC2'!AF108*100</f>
        <v>0</v>
      </c>
      <c r="AC94" s="405">
        <f>'NKC2'!AG108*100</f>
        <v>0</v>
      </c>
      <c r="AD94" s="405">
        <f>'NKC2'!AH108*100</f>
        <v>0</v>
      </c>
      <c r="AE94" s="405">
        <f>'NKC2'!AI108*100</f>
        <v>0</v>
      </c>
      <c r="AF94" s="405">
        <f>'NKC2'!AJ108*100</f>
        <v>0</v>
      </c>
      <c r="AG94" s="405">
        <f>'NKC2'!AK108*100</f>
        <v>0</v>
      </c>
      <c r="AH94" s="405">
        <f>'NKC2'!AL108*100</f>
        <v>0</v>
      </c>
      <c r="AI94" s="405">
        <f>'NKC2'!AM108*100</f>
        <v>0</v>
      </c>
      <c r="AJ94" s="405">
        <f>'NKC2'!AN108*100</f>
        <v>0</v>
      </c>
      <c r="AK94" s="405">
        <f>'NKC2'!AO108*100</f>
        <v>0</v>
      </c>
      <c r="AL94" s="405">
        <f>'NKC2'!AP108*100</f>
        <v>0</v>
      </c>
      <c r="AM94" s="405">
        <f>'NKC2'!AQ108*100</f>
        <v>0</v>
      </c>
      <c r="AN94" s="405">
        <f>'NKC2'!AR108*100</f>
        <v>0</v>
      </c>
      <c r="AO94" s="405">
        <f>'NKC2'!AS108*100</f>
        <v>0</v>
      </c>
      <c r="AP94" s="405">
        <f>'NKC2'!AT108*100</f>
        <v>0</v>
      </c>
      <c r="AQ94" s="405">
        <f>'NKC2'!AU108*100</f>
        <v>0</v>
      </c>
      <c r="AR94" s="405">
        <f>'NKC2'!AV108*100</f>
        <v>0</v>
      </c>
      <c r="AS94" s="405">
        <f>'NKC2'!AW108*100</f>
        <v>0</v>
      </c>
      <c r="AT94" s="405">
        <f>'NKC2'!AX108*100</f>
        <v>0</v>
      </c>
      <c r="AU94" s="405">
        <f>'NKC2'!AY108*100</f>
        <v>0</v>
      </c>
      <c r="AV94" s="405">
        <f>'NKC2'!AZ108*100</f>
        <v>0</v>
      </c>
      <c r="AW94" s="405">
        <f>'NKC2'!BA108*100</f>
        <v>0</v>
      </c>
      <c r="AX94" s="405">
        <f>'NKC2'!BB108*100</f>
        <v>0</v>
      </c>
      <c r="AY94" s="405">
        <f>'NKC2'!BC108*100</f>
        <v>0</v>
      </c>
      <c r="AZ94" s="405">
        <f>'NKC2'!BD108*100</f>
        <v>0</v>
      </c>
      <c r="BA94" s="405">
        <f>'NKC2'!BE108*100</f>
        <v>0</v>
      </c>
      <c r="BB94" s="405">
        <f>'NKC2'!BF108*100</f>
        <v>0</v>
      </c>
      <c r="BC94" s="405">
        <f>'NKC2'!BG108*100</f>
        <v>0</v>
      </c>
      <c r="BD94" s="405">
        <f>'NKC2'!BH108*100</f>
        <v>0</v>
      </c>
      <c r="BE94" s="405">
        <f>'NKC2'!BI108*100</f>
        <v>0</v>
      </c>
      <c r="BF94" s="405">
        <f>'NKC2'!BJ108*100</f>
        <v>0</v>
      </c>
      <c r="BG94" s="405">
        <f>'NKC2'!BK108*100</f>
        <v>0</v>
      </c>
      <c r="BH94" s="405">
        <f>'NKC2'!BL108*100</f>
        <v>0</v>
      </c>
      <c r="BI94" s="405">
        <f>'NKC2'!BM108*100</f>
        <v>0</v>
      </c>
      <c r="BJ94" s="405">
        <f>'NKC2'!BN108*100</f>
        <v>0</v>
      </c>
      <c r="BK94" s="405">
        <f>'NKC2'!BO108*100</f>
        <v>0</v>
      </c>
      <c r="BL94" s="405">
        <f>'NKC2'!BP108*100</f>
        <v>0</v>
      </c>
      <c r="BM94" s="405">
        <f>'NKC2'!BQ108*100</f>
        <v>0</v>
      </c>
      <c r="BN94" s="405">
        <f>'NKC2'!BR108*100</f>
        <v>0</v>
      </c>
      <c r="BO94" s="405">
        <f>'NKC2'!BS108*100</f>
        <v>0</v>
      </c>
      <c r="BP94" s="405">
        <f>'NKC2'!BT108*100</f>
        <v>0</v>
      </c>
      <c r="BQ94" s="405">
        <f>'NKC2'!BU108*100</f>
        <v>0</v>
      </c>
      <c r="BR94" s="405">
        <f>'NKC2'!BV108*100</f>
        <v>0</v>
      </c>
      <c r="BS94" s="405">
        <f>'NKC2'!BW108*100</f>
        <v>0</v>
      </c>
      <c r="BT94" s="405">
        <f>'NKC2'!BX108*100</f>
        <v>0</v>
      </c>
      <c r="BU94" s="405">
        <f>'NKC2'!BY108*100</f>
        <v>0</v>
      </c>
      <c r="BV94" s="405">
        <f>'NKC2'!BZ108*100</f>
        <v>0</v>
      </c>
      <c r="BW94" s="405">
        <f>'NKC2'!CA108*100</f>
        <v>0</v>
      </c>
      <c r="BX94" s="405">
        <f>'NKC2'!CB108*100</f>
        <v>0</v>
      </c>
      <c r="BY94" s="405">
        <f>'NKC2'!CC108*100</f>
        <v>0</v>
      </c>
      <c r="BZ94" s="405">
        <f>'NKC2'!CD108*100</f>
        <v>0</v>
      </c>
      <c r="CA94" s="405">
        <f>'NKC2'!CE108*100</f>
        <v>0</v>
      </c>
      <c r="CB94" s="405">
        <f>'NKC2'!CF108*100</f>
        <v>0</v>
      </c>
      <c r="CC94" s="405">
        <f>'NKC2'!CG108*100</f>
        <v>0</v>
      </c>
      <c r="CD94" s="405">
        <f>'NKC2'!CH108*100</f>
        <v>0</v>
      </c>
      <c r="CE94" s="405">
        <f>'NKC2'!CI108*100</f>
        <v>0</v>
      </c>
      <c r="CF94" s="405">
        <f>'NKC2'!CJ108*100</f>
        <v>0</v>
      </c>
      <c r="CG94" s="405">
        <f>'NKC2'!CK108*100</f>
        <v>0</v>
      </c>
      <c r="CH94" s="405">
        <f>'NKC2'!CL108*100</f>
        <v>0</v>
      </c>
      <c r="CI94" s="405">
        <f>'NKC2'!CM108*100</f>
        <v>0</v>
      </c>
    </row>
    <row r="95" spans="1:87" x14ac:dyDescent="0.45">
      <c r="A95" t="str">
        <f>'NKC2'!B109</f>
        <v>1.7.2</v>
      </c>
      <c r="B95" t="str">
        <f>'NKC2'!D109</f>
        <v xml:space="preserve">            งาน Softscape</v>
      </c>
      <c r="C95" s="193">
        <f>'NKC2'!F109</f>
        <v>0</v>
      </c>
      <c r="D95" s="140" t="str">
        <f>'NKC2'!G107</f>
        <v>A</v>
      </c>
      <c r="E95" s="198">
        <f>'NKC2'!H109*100</f>
        <v>0</v>
      </c>
      <c r="F95" s="198">
        <f>'NKC2'!J109*100</f>
        <v>0</v>
      </c>
      <c r="G95" s="198">
        <f>'NKC2'!K109*100</f>
        <v>0</v>
      </c>
      <c r="H95" s="198">
        <f>'NKC2'!L109*100</f>
        <v>0</v>
      </c>
      <c r="I95" s="198">
        <f>'NKC2'!M109*100</f>
        <v>0</v>
      </c>
      <c r="J95" s="198">
        <f>'NKC2'!N109*100</f>
        <v>0</v>
      </c>
      <c r="K95" s="198">
        <f>'NKC2'!O109*100</f>
        <v>0</v>
      </c>
      <c r="L95" s="198">
        <f>'NKC2'!P109*100</f>
        <v>0</v>
      </c>
      <c r="M95" s="198">
        <f>'NKC2'!Q109*100</f>
        <v>0</v>
      </c>
      <c r="N95" s="198">
        <f>'NKC2'!R109*100</f>
        <v>0</v>
      </c>
      <c r="O95" s="198">
        <f>'NKC2'!S109*100</f>
        <v>0</v>
      </c>
      <c r="P95" s="198">
        <f>'NKC2'!T109*100</f>
        <v>0</v>
      </c>
      <c r="Q95" s="198">
        <f>'NKC2'!U109*100</f>
        <v>0</v>
      </c>
      <c r="R95" s="198">
        <f>'NKC2'!V109*100</f>
        <v>0</v>
      </c>
      <c r="S95" s="198">
        <f>'NKC2'!W109*100</f>
        <v>0</v>
      </c>
      <c r="T95" s="198">
        <f>'NKC2'!X109*100</f>
        <v>0</v>
      </c>
      <c r="U95" s="198">
        <f>'NKC2'!Y109*100</f>
        <v>0</v>
      </c>
      <c r="V95" s="198">
        <f>'NKC2'!Z109*100</f>
        <v>0</v>
      </c>
      <c r="W95" s="198">
        <f>'NKC2'!AA109*100</f>
        <v>0</v>
      </c>
      <c r="X95" s="198">
        <f>'NKC2'!AB109*100</f>
        <v>0</v>
      </c>
      <c r="Y95" s="198">
        <f>'NKC2'!AC109*100</f>
        <v>0</v>
      </c>
      <c r="Z95" s="198">
        <f>'NKC2'!AD109*100</f>
        <v>0</v>
      </c>
      <c r="AA95" s="198">
        <f>'NKC2'!AE109*100</f>
        <v>0</v>
      </c>
      <c r="AB95" s="198">
        <f>'NKC2'!AF109*100</f>
        <v>0</v>
      </c>
      <c r="AC95" s="198">
        <f>'NKC2'!AG109*100</f>
        <v>0</v>
      </c>
      <c r="AD95" s="198">
        <f>'NKC2'!AH109*100</f>
        <v>0</v>
      </c>
      <c r="AE95" s="198">
        <f>'NKC2'!AI109*100</f>
        <v>0</v>
      </c>
      <c r="AF95" s="198">
        <f>'NKC2'!AJ109*100</f>
        <v>0</v>
      </c>
      <c r="AG95" s="198">
        <f>'NKC2'!AK109*100</f>
        <v>0</v>
      </c>
      <c r="AH95" s="198">
        <f>'NKC2'!AL109*100</f>
        <v>0</v>
      </c>
      <c r="AI95" s="198">
        <f>'NKC2'!AM109*100</f>
        <v>0</v>
      </c>
      <c r="AJ95" s="198">
        <f>'NKC2'!AN109*100</f>
        <v>0</v>
      </c>
      <c r="AK95" s="198">
        <f>'NKC2'!AO109*100</f>
        <v>0</v>
      </c>
      <c r="AL95" s="198">
        <f>'NKC2'!AP109*100</f>
        <v>0</v>
      </c>
      <c r="AM95" s="198">
        <f>'NKC2'!AQ109*100</f>
        <v>0</v>
      </c>
      <c r="AN95" s="198">
        <f>'NKC2'!AR109*100</f>
        <v>0</v>
      </c>
      <c r="AO95" s="198">
        <f>'NKC2'!AS109*100</f>
        <v>0</v>
      </c>
      <c r="AP95" s="198">
        <f>'NKC2'!AT109*100</f>
        <v>0</v>
      </c>
      <c r="AQ95" s="198">
        <f>'NKC2'!AU109*100</f>
        <v>0</v>
      </c>
      <c r="AR95" s="198">
        <f>'NKC2'!AV109*100</f>
        <v>0</v>
      </c>
      <c r="AS95" s="198">
        <f>'NKC2'!AW109*100</f>
        <v>0</v>
      </c>
      <c r="AT95" s="198">
        <f>'NKC2'!AX109*100</f>
        <v>0</v>
      </c>
      <c r="AU95" s="198">
        <f>'NKC2'!AY109*100</f>
        <v>0</v>
      </c>
      <c r="AV95" s="198">
        <f>'NKC2'!AZ109*100</f>
        <v>0</v>
      </c>
      <c r="AW95" s="198">
        <f>'NKC2'!BA109*100</f>
        <v>0</v>
      </c>
      <c r="AX95" s="198">
        <f>'NKC2'!BB109*100</f>
        <v>0</v>
      </c>
      <c r="AY95" s="198">
        <f>'NKC2'!BC109*100</f>
        <v>0</v>
      </c>
      <c r="AZ95" s="198">
        <f>'NKC2'!BD109*100</f>
        <v>0</v>
      </c>
      <c r="BA95" s="198">
        <f>'NKC2'!BE109*100</f>
        <v>0</v>
      </c>
      <c r="BB95" s="198">
        <f>'NKC2'!BF109*100</f>
        <v>0</v>
      </c>
      <c r="BC95" s="198">
        <f>'NKC2'!BG109*100</f>
        <v>0</v>
      </c>
      <c r="BD95" s="198">
        <f>'NKC2'!BH109*100</f>
        <v>0</v>
      </c>
      <c r="BE95" s="198">
        <f>'NKC2'!BI109*100</f>
        <v>0</v>
      </c>
      <c r="BF95" s="198">
        <f>'NKC2'!BJ109*100</f>
        <v>0</v>
      </c>
      <c r="BG95" s="198">
        <f>'NKC2'!BK109*100</f>
        <v>0</v>
      </c>
      <c r="BH95" s="198">
        <f>'NKC2'!BL109*100</f>
        <v>0</v>
      </c>
      <c r="BI95" s="198">
        <f>'NKC2'!BM109*100</f>
        <v>0</v>
      </c>
      <c r="BJ95" s="198">
        <f>'NKC2'!BN109*100</f>
        <v>0</v>
      </c>
      <c r="BK95" s="198">
        <f>'NKC2'!BO109*100</f>
        <v>0</v>
      </c>
      <c r="BL95" s="198">
        <f>'NKC2'!BP109*100</f>
        <v>0</v>
      </c>
      <c r="BM95" s="198">
        <f>'NKC2'!BQ109*100</f>
        <v>0</v>
      </c>
      <c r="BN95" s="198">
        <f>'NKC2'!BR109*100</f>
        <v>0</v>
      </c>
      <c r="BO95" s="198">
        <f>'NKC2'!BS109*100</f>
        <v>0</v>
      </c>
      <c r="BP95" s="198">
        <f>'NKC2'!BT109*100</f>
        <v>0</v>
      </c>
      <c r="BQ95" s="198">
        <f>'NKC2'!BU109*100</f>
        <v>0</v>
      </c>
      <c r="BR95" s="198">
        <f>'NKC2'!BV109*100</f>
        <v>0</v>
      </c>
      <c r="BS95" s="198">
        <f>'NKC2'!BW109*100</f>
        <v>0</v>
      </c>
      <c r="BT95" s="198">
        <f>'NKC2'!BX109*100</f>
        <v>0</v>
      </c>
      <c r="BU95" s="198">
        <f>'NKC2'!BY109*100</f>
        <v>0</v>
      </c>
      <c r="BV95" s="198">
        <f>'NKC2'!BZ109*100</f>
        <v>0</v>
      </c>
      <c r="BW95" s="198">
        <f>'NKC2'!CA109*100</f>
        <v>0</v>
      </c>
      <c r="BX95" s="198">
        <f>'NKC2'!CB109*100</f>
        <v>0</v>
      </c>
      <c r="BY95" s="198">
        <f>'NKC2'!CC109*100</f>
        <v>0</v>
      </c>
      <c r="BZ95" s="198">
        <f>'NKC2'!CD109*100</f>
        <v>0</v>
      </c>
      <c r="CA95" s="198">
        <f>'NKC2'!CE109*100</f>
        <v>0</v>
      </c>
      <c r="CB95" s="198">
        <f>'NKC2'!CF109*100</f>
        <v>0</v>
      </c>
      <c r="CC95" s="198">
        <f>'NKC2'!CG109*100</f>
        <v>0</v>
      </c>
      <c r="CD95" s="198">
        <f>'NKC2'!CH109*100</f>
        <v>0</v>
      </c>
      <c r="CE95" s="198">
        <f>'NKC2'!CI109*100</f>
        <v>0</v>
      </c>
      <c r="CF95" s="198">
        <f>'NKC2'!CJ109*100</f>
        <v>0</v>
      </c>
      <c r="CG95" s="198">
        <f>'NKC2'!CK109*100</f>
        <v>0</v>
      </c>
      <c r="CH95" s="198">
        <f>'NKC2'!CL109*100</f>
        <v>0</v>
      </c>
      <c r="CI95" s="198">
        <f>'NKC2'!CM109*100</f>
        <v>0</v>
      </c>
    </row>
    <row r="96" spans="1:87" x14ac:dyDescent="0.45">
      <c r="A96" s="403" t="str">
        <f>'NKC2'!B110</f>
        <v>1.7.3</v>
      </c>
      <c r="B96" s="403" t="str">
        <f>'NKC2'!D110</f>
        <v xml:space="preserve">            Lighting Landscape</v>
      </c>
      <c r="C96" s="404">
        <f>'NKC2'!F110</f>
        <v>1097274.4480750021</v>
      </c>
      <c r="D96" s="407" t="str">
        <f>'NKC2'!G108</f>
        <v>P</v>
      </c>
      <c r="E96" s="405">
        <f>'NKC2'!H110*100</f>
        <v>100</v>
      </c>
      <c r="F96" s="405">
        <f>'NKC2'!J110*100</f>
        <v>0</v>
      </c>
      <c r="G96" s="405">
        <f>'NKC2'!K110*100</f>
        <v>0</v>
      </c>
      <c r="H96" s="405">
        <f>'NKC2'!L110*100</f>
        <v>0</v>
      </c>
      <c r="I96" s="405">
        <f>'NKC2'!M110*100</f>
        <v>0</v>
      </c>
      <c r="J96" s="405">
        <f>'NKC2'!N110*100</f>
        <v>0</v>
      </c>
      <c r="K96" s="405">
        <f>'NKC2'!O110*100</f>
        <v>0</v>
      </c>
      <c r="L96" s="405">
        <f>'NKC2'!P110*100</f>
        <v>0</v>
      </c>
      <c r="M96" s="405">
        <f>'NKC2'!Q110*100</f>
        <v>0</v>
      </c>
      <c r="N96" s="405">
        <f>'NKC2'!R110*100</f>
        <v>0</v>
      </c>
      <c r="O96" s="405">
        <f>'NKC2'!S110*100</f>
        <v>0</v>
      </c>
      <c r="P96" s="405">
        <f>'NKC2'!T110*100</f>
        <v>0</v>
      </c>
      <c r="Q96" s="405">
        <f>'NKC2'!U110*100</f>
        <v>0</v>
      </c>
      <c r="R96" s="405">
        <f>'NKC2'!V110*100</f>
        <v>0</v>
      </c>
      <c r="S96" s="405">
        <f>'NKC2'!W110*100</f>
        <v>0</v>
      </c>
      <c r="T96" s="405">
        <f>'NKC2'!X110*100</f>
        <v>0</v>
      </c>
      <c r="U96" s="405">
        <f>'NKC2'!Y110*100</f>
        <v>0</v>
      </c>
      <c r="V96" s="405">
        <f>'NKC2'!Z110*100</f>
        <v>0</v>
      </c>
      <c r="W96" s="405">
        <f>'NKC2'!AA110*100</f>
        <v>0</v>
      </c>
      <c r="X96" s="405">
        <f>'NKC2'!AB110*100</f>
        <v>0</v>
      </c>
      <c r="Y96" s="405">
        <f>'NKC2'!AC110*100</f>
        <v>0</v>
      </c>
      <c r="Z96" s="405">
        <f>'NKC2'!AD110*100</f>
        <v>0</v>
      </c>
      <c r="AA96" s="405">
        <f>'NKC2'!AE110*100</f>
        <v>0</v>
      </c>
      <c r="AB96" s="405">
        <f>'NKC2'!AF110*100</f>
        <v>0</v>
      </c>
      <c r="AC96" s="405">
        <f>'NKC2'!AG110*100</f>
        <v>0</v>
      </c>
      <c r="AD96" s="405">
        <f>'NKC2'!AH110*100</f>
        <v>0</v>
      </c>
      <c r="AE96" s="405">
        <f>'NKC2'!AI110*100</f>
        <v>0</v>
      </c>
      <c r="AF96" s="405">
        <f>'NKC2'!AJ110*100</f>
        <v>0</v>
      </c>
      <c r="AG96" s="405">
        <f>'NKC2'!AK110*100</f>
        <v>0</v>
      </c>
      <c r="AH96" s="405">
        <f>'NKC2'!AL110*100</f>
        <v>0</v>
      </c>
      <c r="AI96" s="405">
        <f>'NKC2'!AM110*100</f>
        <v>0</v>
      </c>
      <c r="AJ96" s="405">
        <f>'NKC2'!AN110*100</f>
        <v>0</v>
      </c>
      <c r="AK96" s="405">
        <f>'NKC2'!AO110*100</f>
        <v>0</v>
      </c>
      <c r="AL96" s="405">
        <f>'NKC2'!AP110*100</f>
        <v>0</v>
      </c>
      <c r="AM96" s="405">
        <f>'NKC2'!AQ110*100</f>
        <v>0</v>
      </c>
      <c r="AN96" s="405">
        <f>'NKC2'!AR110*100</f>
        <v>5</v>
      </c>
      <c r="AO96" s="405">
        <f>'NKC2'!AS110*100</f>
        <v>5</v>
      </c>
      <c r="AP96" s="405">
        <f>'NKC2'!AT110*100</f>
        <v>10</v>
      </c>
      <c r="AQ96" s="405">
        <f>'NKC2'!AU110*100</f>
        <v>10</v>
      </c>
      <c r="AR96" s="405">
        <f>'NKC2'!AV110*100</f>
        <v>10</v>
      </c>
      <c r="AS96" s="405">
        <f>'NKC2'!AW110*100</f>
        <v>25</v>
      </c>
      <c r="AT96" s="405">
        <f>'NKC2'!AX110*100</f>
        <v>20</v>
      </c>
      <c r="AU96" s="405">
        <f>'NKC2'!AY110*100</f>
        <v>10</v>
      </c>
      <c r="AV96" s="405">
        <f>'NKC2'!AZ110*100</f>
        <v>5</v>
      </c>
      <c r="AW96" s="405">
        <f>'NKC2'!BA110*100</f>
        <v>0</v>
      </c>
      <c r="AX96" s="405">
        <f>'NKC2'!BB110*100</f>
        <v>0</v>
      </c>
      <c r="AY96" s="405">
        <f>'NKC2'!BC110*100</f>
        <v>0</v>
      </c>
      <c r="AZ96" s="405">
        <f>'NKC2'!BD110*100</f>
        <v>0</v>
      </c>
      <c r="BA96" s="405">
        <f>'NKC2'!BE110*100</f>
        <v>0</v>
      </c>
      <c r="BB96" s="405">
        <f>'NKC2'!BF110*100</f>
        <v>0</v>
      </c>
      <c r="BC96" s="405">
        <f>'NKC2'!BG110*100</f>
        <v>0</v>
      </c>
      <c r="BD96" s="405">
        <f>'NKC2'!BH110*100</f>
        <v>0</v>
      </c>
      <c r="BE96" s="405">
        <f>'NKC2'!BI110*100</f>
        <v>0</v>
      </c>
      <c r="BF96" s="405">
        <f>'NKC2'!BJ110*100</f>
        <v>0</v>
      </c>
      <c r="BG96" s="405">
        <f>'NKC2'!BK110*100</f>
        <v>0</v>
      </c>
      <c r="BH96" s="405">
        <f>'NKC2'!BL110*100</f>
        <v>0</v>
      </c>
      <c r="BI96" s="405">
        <f>'NKC2'!BM110*100</f>
        <v>0</v>
      </c>
      <c r="BJ96" s="405">
        <f>'NKC2'!BN110*100</f>
        <v>0</v>
      </c>
      <c r="BK96" s="405">
        <f>'NKC2'!BO110*100</f>
        <v>0</v>
      </c>
      <c r="BL96" s="405">
        <f>'NKC2'!BP110*100</f>
        <v>0</v>
      </c>
      <c r="BM96" s="405">
        <f>'NKC2'!BQ110*100</f>
        <v>0</v>
      </c>
      <c r="BN96" s="405">
        <f>'NKC2'!BR110*100</f>
        <v>0</v>
      </c>
      <c r="BO96" s="405">
        <f>'NKC2'!BS110*100</f>
        <v>0</v>
      </c>
      <c r="BP96" s="405">
        <f>'NKC2'!BT110*100</f>
        <v>0</v>
      </c>
      <c r="BQ96" s="405">
        <f>'NKC2'!BU110*100</f>
        <v>0</v>
      </c>
      <c r="BR96" s="405">
        <f>'NKC2'!BV110*100</f>
        <v>0</v>
      </c>
      <c r="BS96" s="405">
        <f>'NKC2'!BW110*100</f>
        <v>0</v>
      </c>
      <c r="BT96" s="405">
        <f>'NKC2'!BX110*100</f>
        <v>0</v>
      </c>
      <c r="BU96" s="405">
        <f>'NKC2'!BY110*100</f>
        <v>0</v>
      </c>
      <c r="BV96" s="405">
        <f>'NKC2'!BZ110*100</f>
        <v>0</v>
      </c>
      <c r="BW96" s="405">
        <f>'NKC2'!CA110*100</f>
        <v>0</v>
      </c>
      <c r="BX96" s="405">
        <f>'NKC2'!CB110*100</f>
        <v>0</v>
      </c>
      <c r="BY96" s="405">
        <f>'NKC2'!CC110*100</f>
        <v>0</v>
      </c>
      <c r="BZ96" s="405">
        <f>'NKC2'!CD110*100</f>
        <v>0</v>
      </c>
      <c r="CA96" s="405">
        <f>'NKC2'!CE110*100</f>
        <v>0</v>
      </c>
      <c r="CB96" s="405">
        <f>'NKC2'!CF110*100</f>
        <v>0</v>
      </c>
      <c r="CC96" s="405">
        <f>'NKC2'!CG110*100</f>
        <v>0</v>
      </c>
      <c r="CD96" s="405">
        <f>'NKC2'!CH110*100</f>
        <v>0</v>
      </c>
      <c r="CE96" s="405">
        <f>'NKC2'!CI110*100</f>
        <v>0</v>
      </c>
      <c r="CF96" s="405">
        <f>'NKC2'!CJ110*100</f>
        <v>0</v>
      </c>
      <c r="CG96" s="405">
        <f>'NKC2'!CK110*100</f>
        <v>0</v>
      </c>
      <c r="CH96" s="405">
        <f>'NKC2'!CL110*100</f>
        <v>0</v>
      </c>
      <c r="CI96" s="405">
        <f>'NKC2'!CM110*100</f>
        <v>0</v>
      </c>
    </row>
    <row r="97" spans="1:87" x14ac:dyDescent="0.45">
      <c r="A97" t="str">
        <f>'NKC2'!B111</f>
        <v>1.7.3</v>
      </c>
      <c r="B97" t="str">
        <f>'NKC2'!D111</f>
        <v xml:space="preserve">            Lighting Landscape</v>
      </c>
      <c r="C97" s="193">
        <f>'NKC2'!F111</f>
        <v>1097274.4480750021</v>
      </c>
      <c r="D97" s="140" t="str">
        <f>'NKC2'!G109</f>
        <v>A</v>
      </c>
      <c r="E97" s="198">
        <f>'NKC2'!H111*100</f>
        <v>0</v>
      </c>
      <c r="F97" s="198">
        <f>'NKC2'!J111*100</f>
        <v>0</v>
      </c>
      <c r="G97" s="198">
        <f>'NKC2'!K111*100</f>
        <v>0</v>
      </c>
      <c r="H97" s="198">
        <f>'NKC2'!L111*100</f>
        <v>0</v>
      </c>
      <c r="I97" s="198">
        <f>'NKC2'!M111*100</f>
        <v>0</v>
      </c>
      <c r="J97" s="198">
        <f>'NKC2'!N111*100</f>
        <v>0</v>
      </c>
      <c r="K97" s="198">
        <f>'NKC2'!O111*100</f>
        <v>0</v>
      </c>
      <c r="L97" s="198">
        <f>'NKC2'!P111*100</f>
        <v>0</v>
      </c>
      <c r="M97" s="198">
        <f>'NKC2'!Q111*100</f>
        <v>0</v>
      </c>
      <c r="N97" s="198">
        <f>'NKC2'!R111*100</f>
        <v>0</v>
      </c>
      <c r="O97" s="198">
        <f>'NKC2'!S111*100</f>
        <v>0</v>
      </c>
      <c r="P97" s="198">
        <f>'NKC2'!T111*100</f>
        <v>0</v>
      </c>
      <c r="Q97" s="198">
        <f>'NKC2'!U111*100</f>
        <v>0</v>
      </c>
      <c r="R97" s="198">
        <f>'NKC2'!V111*100</f>
        <v>0</v>
      </c>
      <c r="S97" s="198">
        <f>'NKC2'!W111*100</f>
        <v>0</v>
      </c>
      <c r="T97" s="198">
        <f>'NKC2'!X111*100</f>
        <v>0</v>
      </c>
      <c r="U97" s="198">
        <f>'NKC2'!Y111*100</f>
        <v>0</v>
      </c>
      <c r="V97" s="198">
        <f>'NKC2'!Z111*100</f>
        <v>0</v>
      </c>
      <c r="W97" s="198">
        <f>'NKC2'!AA111*100</f>
        <v>0</v>
      </c>
      <c r="X97" s="198">
        <f>'NKC2'!AB111*100</f>
        <v>0</v>
      </c>
      <c r="Y97" s="198">
        <f>'NKC2'!AC111*100</f>
        <v>0</v>
      </c>
      <c r="Z97" s="198">
        <f>'NKC2'!AD111*100</f>
        <v>0</v>
      </c>
      <c r="AA97" s="198">
        <f>'NKC2'!AE111*100</f>
        <v>0</v>
      </c>
      <c r="AB97" s="198">
        <f>'NKC2'!AF111*100</f>
        <v>0</v>
      </c>
      <c r="AC97" s="198">
        <f>'NKC2'!AG111*100</f>
        <v>0</v>
      </c>
      <c r="AD97" s="198">
        <f>'NKC2'!AH111*100</f>
        <v>0</v>
      </c>
      <c r="AE97" s="198">
        <f>'NKC2'!AI111*100</f>
        <v>0</v>
      </c>
      <c r="AF97" s="198">
        <f>'NKC2'!AJ111*100</f>
        <v>0</v>
      </c>
      <c r="AG97" s="198">
        <f>'NKC2'!AK111*100</f>
        <v>0</v>
      </c>
      <c r="AH97" s="198">
        <f>'NKC2'!AL111*100</f>
        <v>0</v>
      </c>
      <c r="AI97" s="198">
        <f>'NKC2'!AM111*100</f>
        <v>0</v>
      </c>
      <c r="AJ97" s="198">
        <f>'NKC2'!AN111*100</f>
        <v>0</v>
      </c>
      <c r="AK97" s="198">
        <f>'NKC2'!AO111*100</f>
        <v>0</v>
      </c>
      <c r="AL97" s="198">
        <f>'NKC2'!AP111*100</f>
        <v>0</v>
      </c>
      <c r="AM97" s="198">
        <f>'NKC2'!AQ111*100</f>
        <v>0</v>
      </c>
      <c r="AN97" s="198">
        <f>'NKC2'!AR111*100</f>
        <v>0</v>
      </c>
      <c r="AO97" s="198">
        <f>'NKC2'!AS111*100</f>
        <v>0</v>
      </c>
      <c r="AP97" s="198">
        <f>'NKC2'!AT111*100</f>
        <v>0</v>
      </c>
      <c r="AQ97" s="198">
        <f>'NKC2'!AU111*100</f>
        <v>0</v>
      </c>
      <c r="AR97" s="198">
        <f>'NKC2'!AV111*100</f>
        <v>0</v>
      </c>
      <c r="AS97" s="198">
        <f>'NKC2'!AW111*100</f>
        <v>0</v>
      </c>
      <c r="AT97" s="198">
        <f>'NKC2'!AX111*100</f>
        <v>0</v>
      </c>
      <c r="AU97" s="198">
        <f>'NKC2'!AY111*100</f>
        <v>0</v>
      </c>
      <c r="AV97" s="198">
        <f>'NKC2'!AZ111*100</f>
        <v>0</v>
      </c>
      <c r="AW97" s="198">
        <f>'NKC2'!BA111*100</f>
        <v>0</v>
      </c>
      <c r="AX97" s="198">
        <f>'NKC2'!BB111*100</f>
        <v>0</v>
      </c>
      <c r="AY97" s="198">
        <f>'NKC2'!BC111*100</f>
        <v>0</v>
      </c>
      <c r="AZ97" s="198">
        <f>'NKC2'!BD111*100</f>
        <v>0</v>
      </c>
      <c r="BA97" s="198">
        <f>'NKC2'!BE111*100</f>
        <v>0</v>
      </c>
      <c r="BB97" s="198">
        <f>'NKC2'!BF111*100</f>
        <v>0</v>
      </c>
      <c r="BC97" s="198">
        <f>'NKC2'!BG111*100</f>
        <v>0</v>
      </c>
      <c r="BD97" s="198">
        <f>'NKC2'!BH111*100</f>
        <v>0</v>
      </c>
      <c r="BE97" s="198">
        <f>'NKC2'!BI111*100</f>
        <v>0</v>
      </c>
      <c r="BF97" s="198">
        <f>'NKC2'!BJ111*100</f>
        <v>0</v>
      </c>
      <c r="BG97" s="198">
        <f>'NKC2'!BK111*100</f>
        <v>0</v>
      </c>
      <c r="BH97" s="198">
        <f>'NKC2'!BL111*100</f>
        <v>0</v>
      </c>
      <c r="BI97" s="198">
        <f>'NKC2'!BM111*100</f>
        <v>0</v>
      </c>
      <c r="BJ97" s="198">
        <f>'NKC2'!BN111*100</f>
        <v>0</v>
      </c>
      <c r="BK97" s="198">
        <f>'NKC2'!BO111*100</f>
        <v>0</v>
      </c>
      <c r="BL97" s="198">
        <f>'NKC2'!BP111*100</f>
        <v>0</v>
      </c>
      <c r="BM97" s="198">
        <f>'NKC2'!BQ111*100</f>
        <v>0</v>
      </c>
      <c r="BN97" s="198">
        <f>'NKC2'!BR111*100</f>
        <v>0</v>
      </c>
      <c r="BO97" s="198">
        <f>'NKC2'!BS111*100</f>
        <v>0</v>
      </c>
      <c r="BP97" s="198">
        <f>'NKC2'!BT111*100</f>
        <v>0</v>
      </c>
      <c r="BQ97" s="198">
        <f>'NKC2'!BU111*100</f>
        <v>0</v>
      </c>
      <c r="BR97" s="198">
        <f>'NKC2'!BV111*100</f>
        <v>0</v>
      </c>
      <c r="BS97" s="198">
        <f>'NKC2'!BW111*100</f>
        <v>0</v>
      </c>
      <c r="BT97" s="198">
        <f>'NKC2'!BX111*100</f>
        <v>0</v>
      </c>
      <c r="BU97" s="198">
        <f>'NKC2'!BY111*100</f>
        <v>0</v>
      </c>
      <c r="BV97" s="198">
        <f>'NKC2'!BZ111*100</f>
        <v>0</v>
      </c>
      <c r="BW97" s="198">
        <f>'NKC2'!CA111*100</f>
        <v>0</v>
      </c>
      <c r="BX97" s="198">
        <f>'NKC2'!CB111*100</f>
        <v>0</v>
      </c>
      <c r="BY97" s="198">
        <f>'NKC2'!CC111*100</f>
        <v>0</v>
      </c>
      <c r="BZ97" s="198">
        <f>'NKC2'!CD111*100</f>
        <v>0</v>
      </c>
      <c r="CA97" s="198">
        <f>'NKC2'!CE111*100</f>
        <v>0</v>
      </c>
      <c r="CB97" s="198">
        <f>'NKC2'!CF111*100</f>
        <v>0</v>
      </c>
      <c r="CC97" s="198">
        <f>'NKC2'!CG111*100</f>
        <v>0</v>
      </c>
      <c r="CD97" s="198">
        <f>'NKC2'!CH111*100</f>
        <v>0</v>
      </c>
      <c r="CE97" s="198">
        <f>'NKC2'!CI111*100</f>
        <v>0</v>
      </c>
      <c r="CF97" s="198">
        <f>'NKC2'!CJ111*100</f>
        <v>0</v>
      </c>
      <c r="CG97" s="198">
        <f>'NKC2'!CK111*100</f>
        <v>0</v>
      </c>
      <c r="CH97" s="198">
        <f>'NKC2'!CL111*100</f>
        <v>0</v>
      </c>
      <c r="CI97" s="198">
        <f>'NKC2'!CM111*100</f>
        <v>0</v>
      </c>
    </row>
    <row r="98" spans="1:87" x14ac:dyDescent="0.45">
      <c r="A98" s="403">
        <f>'NKC2'!B112</f>
        <v>1.8</v>
      </c>
      <c r="B98" s="403" t="str">
        <f>'NKC2'!D112</f>
        <v xml:space="preserve">      งานติดตั้งครุภัณฑ์</v>
      </c>
      <c r="C98" s="404">
        <f>'NKC2'!F112</f>
        <v>33207814.05848429</v>
      </c>
      <c r="D98" s="407" t="str">
        <f>'NKC2'!G110</f>
        <v>P</v>
      </c>
      <c r="E98" s="405">
        <f>'NKC2'!H112*100</f>
        <v>100</v>
      </c>
      <c r="F98" s="405">
        <f>'NKC2'!J112*100</f>
        <v>0</v>
      </c>
      <c r="G98" s="405">
        <f>'NKC2'!K112*100</f>
        <v>0</v>
      </c>
      <c r="H98" s="405">
        <f>'NKC2'!L112*100</f>
        <v>0</v>
      </c>
      <c r="I98" s="405">
        <f>'NKC2'!M112*100</f>
        <v>0</v>
      </c>
      <c r="J98" s="405">
        <f>'NKC2'!N112*100</f>
        <v>0</v>
      </c>
      <c r="K98" s="405">
        <f>'NKC2'!O112*100</f>
        <v>0</v>
      </c>
      <c r="L98" s="405">
        <f>'NKC2'!P112*100</f>
        <v>0</v>
      </c>
      <c r="M98" s="405">
        <f>'NKC2'!Q112*100</f>
        <v>0</v>
      </c>
      <c r="N98" s="405">
        <f>'NKC2'!R112*100</f>
        <v>0</v>
      </c>
      <c r="O98" s="405">
        <f>'NKC2'!S112*100</f>
        <v>0</v>
      </c>
      <c r="P98" s="405">
        <f>'NKC2'!T112*100</f>
        <v>0</v>
      </c>
      <c r="Q98" s="405">
        <f>'NKC2'!U112*100</f>
        <v>0</v>
      </c>
      <c r="R98" s="405">
        <f>'NKC2'!V112*100</f>
        <v>0</v>
      </c>
      <c r="S98" s="405">
        <f>'NKC2'!W112*100</f>
        <v>0</v>
      </c>
      <c r="T98" s="405">
        <f>'NKC2'!X112*100</f>
        <v>0</v>
      </c>
      <c r="U98" s="405">
        <f>'NKC2'!Y112*100</f>
        <v>0</v>
      </c>
      <c r="V98" s="405">
        <f>'NKC2'!Z112*100</f>
        <v>0</v>
      </c>
      <c r="W98" s="405">
        <f>'NKC2'!AA112*100</f>
        <v>0</v>
      </c>
      <c r="X98" s="405">
        <f>'NKC2'!AB112*100</f>
        <v>0</v>
      </c>
      <c r="Y98" s="405">
        <f>'NKC2'!AC112*100</f>
        <v>0</v>
      </c>
      <c r="Z98" s="405">
        <f>'NKC2'!AD112*100</f>
        <v>0</v>
      </c>
      <c r="AA98" s="405">
        <f>'NKC2'!AE112*100</f>
        <v>0</v>
      </c>
      <c r="AB98" s="405">
        <f>'NKC2'!AF112*100</f>
        <v>0</v>
      </c>
      <c r="AC98" s="405">
        <f>'NKC2'!AG112*100</f>
        <v>0</v>
      </c>
      <c r="AD98" s="405">
        <f>'NKC2'!AH112*100</f>
        <v>0</v>
      </c>
      <c r="AE98" s="405">
        <f>'NKC2'!AI112*100</f>
        <v>0</v>
      </c>
      <c r="AF98" s="405">
        <f>'NKC2'!AJ112*100</f>
        <v>0</v>
      </c>
      <c r="AG98" s="405">
        <f>'NKC2'!AK112*100</f>
        <v>0</v>
      </c>
      <c r="AH98" s="405">
        <f>'NKC2'!AL112*100</f>
        <v>0</v>
      </c>
      <c r="AI98" s="405">
        <f>'NKC2'!AM112*100</f>
        <v>0</v>
      </c>
      <c r="AJ98" s="405">
        <f>'NKC2'!AN112*100</f>
        <v>0</v>
      </c>
      <c r="AK98" s="405">
        <f>'NKC2'!AO112*100</f>
        <v>0</v>
      </c>
      <c r="AL98" s="405">
        <f>'NKC2'!AP112*100</f>
        <v>0</v>
      </c>
      <c r="AM98" s="405">
        <f>'NKC2'!AQ112*100</f>
        <v>0</v>
      </c>
      <c r="AN98" s="405">
        <f>'NKC2'!AR112*100</f>
        <v>0</v>
      </c>
      <c r="AO98" s="405">
        <f>'NKC2'!AS112*100</f>
        <v>0</v>
      </c>
      <c r="AP98" s="405">
        <f>'NKC2'!AT112*100</f>
        <v>0</v>
      </c>
      <c r="AQ98" s="405">
        <f>'NKC2'!AU112*100</f>
        <v>0</v>
      </c>
      <c r="AR98" s="405">
        <f>'NKC2'!AV112*100</f>
        <v>0</v>
      </c>
      <c r="AS98" s="405">
        <f>'NKC2'!AW112*100</f>
        <v>0</v>
      </c>
      <c r="AT98" s="405">
        <f>'NKC2'!AX112*100</f>
        <v>0</v>
      </c>
      <c r="AU98" s="405">
        <f>'NKC2'!AY112*100</f>
        <v>0</v>
      </c>
      <c r="AV98" s="405">
        <f>'NKC2'!AZ112*100</f>
        <v>0</v>
      </c>
      <c r="AW98" s="405">
        <f>'NKC2'!BA112*100</f>
        <v>0</v>
      </c>
      <c r="AX98" s="405">
        <f>'NKC2'!BB112*100</f>
        <v>0</v>
      </c>
      <c r="AY98" s="405">
        <f>'NKC2'!BC112*100</f>
        <v>0</v>
      </c>
      <c r="AZ98" s="405">
        <f>'NKC2'!BD112*100</f>
        <v>0</v>
      </c>
      <c r="BA98" s="405">
        <f>'NKC2'!BE112*100</f>
        <v>0</v>
      </c>
      <c r="BB98" s="405">
        <f>'NKC2'!BF112*100</f>
        <v>0</v>
      </c>
      <c r="BC98" s="405">
        <f>'NKC2'!BG112*100</f>
        <v>0</v>
      </c>
      <c r="BD98" s="405">
        <f>'NKC2'!BH112*100</f>
        <v>0</v>
      </c>
      <c r="BE98" s="405">
        <f>'NKC2'!BI112*100</f>
        <v>0</v>
      </c>
      <c r="BF98" s="405">
        <f>'NKC2'!BJ112*100</f>
        <v>0</v>
      </c>
      <c r="BG98" s="405">
        <f>'NKC2'!BK112*100</f>
        <v>0</v>
      </c>
      <c r="BH98" s="405">
        <f>'NKC2'!BL112*100</f>
        <v>0</v>
      </c>
      <c r="BI98" s="405">
        <f>'NKC2'!BM112*100</f>
        <v>0</v>
      </c>
      <c r="BJ98" s="405">
        <f>'NKC2'!BN112*100</f>
        <v>0</v>
      </c>
      <c r="BK98" s="405">
        <f>'NKC2'!BO112*100</f>
        <v>0</v>
      </c>
      <c r="BL98" s="405">
        <f>'NKC2'!BP112*100</f>
        <v>0</v>
      </c>
      <c r="BM98" s="405">
        <f>'NKC2'!BQ112*100</f>
        <v>0</v>
      </c>
      <c r="BN98" s="405">
        <f>'NKC2'!BR112*100</f>
        <v>0</v>
      </c>
      <c r="BO98" s="405">
        <f>'NKC2'!BS112*100</f>
        <v>0</v>
      </c>
      <c r="BP98" s="405">
        <f>'NKC2'!BT112*100</f>
        <v>0</v>
      </c>
      <c r="BQ98" s="405">
        <f>'NKC2'!BU112*100</f>
        <v>0</v>
      </c>
      <c r="BR98" s="405">
        <f>'NKC2'!BV112*100</f>
        <v>0</v>
      </c>
      <c r="BS98" s="405">
        <f>'NKC2'!BW112*100</f>
        <v>0</v>
      </c>
      <c r="BT98" s="405">
        <f>'NKC2'!BX112*100</f>
        <v>0</v>
      </c>
      <c r="BU98" s="405">
        <f>'NKC2'!BY112*100</f>
        <v>0</v>
      </c>
      <c r="BV98" s="405">
        <f>'NKC2'!BZ112*100</f>
        <v>0</v>
      </c>
      <c r="BW98" s="405">
        <f>'NKC2'!CA112*100</f>
        <v>0</v>
      </c>
      <c r="BX98" s="405">
        <f>'NKC2'!CB112*100</f>
        <v>0</v>
      </c>
      <c r="BY98" s="405">
        <f>'NKC2'!CC112*100</f>
        <v>0</v>
      </c>
      <c r="BZ98" s="405">
        <f>'NKC2'!CD112*100</f>
        <v>0</v>
      </c>
      <c r="CA98" s="405">
        <f>'NKC2'!CE112*100</f>
        <v>0</v>
      </c>
      <c r="CB98" s="405">
        <f>'NKC2'!CF112*100</f>
        <v>0</v>
      </c>
      <c r="CC98" s="405">
        <f>'NKC2'!CG112*100</f>
        <v>0</v>
      </c>
      <c r="CD98" s="405">
        <f>'NKC2'!CH112*100</f>
        <v>0</v>
      </c>
      <c r="CE98" s="405">
        <f>'NKC2'!CI112*100</f>
        <v>0</v>
      </c>
      <c r="CF98" s="405">
        <f>'NKC2'!CJ112*100</f>
        <v>0</v>
      </c>
      <c r="CG98" s="405">
        <f>'NKC2'!CK112*100</f>
        <v>0</v>
      </c>
      <c r="CH98" s="405">
        <f>'NKC2'!CL112*100</f>
        <v>0</v>
      </c>
      <c r="CI98" s="405">
        <f>'NKC2'!CM112*100</f>
        <v>0</v>
      </c>
    </row>
    <row r="99" spans="1:87" x14ac:dyDescent="0.45">
      <c r="A99">
        <f>'NKC2'!B113</f>
        <v>1.8</v>
      </c>
      <c r="B99" t="str">
        <f>'NKC2'!D113</f>
        <v xml:space="preserve">      งานติดตั้งครุภัณฑ์</v>
      </c>
      <c r="C99" s="193">
        <f>'NKC2'!F113</f>
        <v>33207814.05848429</v>
      </c>
      <c r="D99" s="140" t="str">
        <f>'NKC2'!G111</f>
        <v>A</v>
      </c>
      <c r="E99" s="198">
        <f>'NKC2'!H113*100</f>
        <v>0</v>
      </c>
      <c r="F99" s="198">
        <f>'NKC2'!J113*100</f>
        <v>0</v>
      </c>
      <c r="G99" s="198">
        <f>'NKC2'!K113*100</f>
        <v>0</v>
      </c>
      <c r="H99" s="198">
        <f>'NKC2'!L113*100</f>
        <v>0</v>
      </c>
      <c r="I99" s="198">
        <f>'NKC2'!M113*100</f>
        <v>0</v>
      </c>
      <c r="J99" s="198">
        <f>'NKC2'!N113*100</f>
        <v>0</v>
      </c>
      <c r="K99" s="198">
        <f>'NKC2'!O113*100</f>
        <v>0</v>
      </c>
      <c r="L99" s="198">
        <f>'NKC2'!P113*100</f>
        <v>0</v>
      </c>
      <c r="M99" s="198">
        <f>'NKC2'!Q113*100</f>
        <v>0</v>
      </c>
      <c r="N99" s="198">
        <f>'NKC2'!R113*100</f>
        <v>0</v>
      </c>
      <c r="O99" s="198">
        <f>'NKC2'!S113*100</f>
        <v>0</v>
      </c>
      <c r="P99" s="198">
        <f>'NKC2'!T113*100</f>
        <v>0</v>
      </c>
      <c r="Q99" s="198">
        <f>'NKC2'!U113*100</f>
        <v>0</v>
      </c>
      <c r="R99" s="198">
        <f>'NKC2'!V113*100</f>
        <v>0</v>
      </c>
      <c r="S99" s="198">
        <f>'NKC2'!W113*100</f>
        <v>0</v>
      </c>
      <c r="T99" s="198">
        <f>'NKC2'!X113*100</f>
        <v>0</v>
      </c>
      <c r="U99" s="198">
        <f>'NKC2'!Y113*100</f>
        <v>0</v>
      </c>
      <c r="V99" s="198">
        <f>'NKC2'!Z113*100</f>
        <v>0</v>
      </c>
      <c r="W99" s="198">
        <f>'NKC2'!AA113*100</f>
        <v>0</v>
      </c>
      <c r="X99" s="198">
        <f>'NKC2'!AB113*100</f>
        <v>0</v>
      </c>
      <c r="Y99" s="198">
        <f>'NKC2'!AC113*100</f>
        <v>0</v>
      </c>
      <c r="Z99" s="198">
        <f>'NKC2'!AD113*100</f>
        <v>0</v>
      </c>
      <c r="AA99" s="198">
        <f>'NKC2'!AE113*100</f>
        <v>0</v>
      </c>
      <c r="AB99" s="198">
        <f>'NKC2'!AF113*100</f>
        <v>0</v>
      </c>
      <c r="AC99" s="198">
        <f>'NKC2'!AG113*100</f>
        <v>0</v>
      </c>
      <c r="AD99" s="198">
        <f>'NKC2'!AH113*100</f>
        <v>0</v>
      </c>
      <c r="AE99" s="198">
        <f>'NKC2'!AI113*100</f>
        <v>0</v>
      </c>
      <c r="AF99" s="198">
        <f>'NKC2'!AJ113*100</f>
        <v>0</v>
      </c>
      <c r="AG99" s="198">
        <f>'NKC2'!AK113*100</f>
        <v>0</v>
      </c>
      <c r="AH99" s="198">
        <f>'NKC2'!AL113*100</f>
        <v>0</v>
      </c>
      <c r="AI99" s="198">
        <f>'NKC2'!AM113*100</f>
        <v>0</v>
      </c>
      <c r="AJ99" s="198">
        <f>'NKC2'!AN113*100</f>
        <v>0</v>
      </c>
      <c r="AK99" s="198">
        <f>'NKC2'!AO113*100</f>
        <v>0</v>
      </c>
      <c r="AL99" s="198">
        <f>'NKC2'!AP113*100</f>
        <v>0</v>
      </c>
      <c r="AM99" s="198">
        <f>'NKC2'!AQ113*100</f>
        <v>0</v>
      </c>
      <c r="AN99" s="198">
        <f>'NKC2'!AR113*100</f>
        <v>0</v>
      </c>
      <c r="AO99" s="198">
        <f>'NKC2'!AS113*100</f>
        <v>0</v>
      </c>
      <c r="AP99" s="198">
        <f>'NKC2'!AT113*100</f>
        <v>0</v>
      </c>
      <c r="AQ99" s="198">
        <f>'NKC2'!AU113*100</f>
        <v>0</v>
      </c>
      <c r="AR99" s="198">
        <f>'NKC2'!AV113*100</f>
        <v>0</v>
      </c>
      <c r="AS99" s="198">
        <f>'NKC2'!AW113*100</f>
        <v>0</v>
      </c>
      <c r="AT99" s="198">
        <f>'NKC2'!AX113*100</f>
        <v>0</v>
      </c>
      <c r="AU99" s="198">
        <f>'NKC2'!AY113*100</f>
        <v>0</v>
      </c>
      <c r="AV99" s="198">
        <f>'NKC2'!AZ113*100</f>
        <v>0</v>
      </c>
      <c r="AW99" s="198">
        <f>'NKC2'!BA113*100</f>
        <v>0</v>
      </c>
      <c r="AX99" s="198">
        <f>'NKC2'!BB113*100</f>
        <v>0</v>
      </c>
      <c r="AY99" s="198">
        <f>'NKC2'!BC113*100</f>
        <v>0</v>
      </c>
      <c r="AZ99" s="198">
        <f>'NKC2'!BD113*100</f>
        <v>0</v>
      </c>
      <c r="BA99" s="198">
        <f>'NKC2'!BE113*100</f>
        <v>0</v>
      </c>
      <c r="BB99" s="198">
        <f>'NKC2'!BF113*100</f>
        <v>0</v>
      </c>
      <c r="BC99" s="198">
        <f>'NKC2'!BG113*100</f>
        <v>0</v>
      </c>
      <c r="BD99" s="198">
        <f>'NKC2'!BH113*100</f>
        <v>0</v>
      </c>
      <c r="BE99" s="198">
        <f>'NKC2'!BI113*100</f>
        <v>0</v>
      </c>
      <c r="BF99" s="198">
        <f>'NKC2'!BJ113*100</f>
        <v>0</v>
      </c>
      <c r="BG99" s="198">
        <f>'NKC2'!BK113*100</f>
        <v>0</v>
      </c>
      <c r="BH99" s="198">
        <f>'NKC2'!BL113*100</f>
        <v>0</v>
      </c>
      <c r="BI99" s="198">
        <f>'NKC2'!BM113*100</f>
        <v>0</v>
      </c>
      <c r="BJ99" s="198">
        <f>'NKC2'!BN113*100</f>
        <v>0</v>
      </c>
      <c r="BK99" s="198">
        <f>'NKC2'!BO113*100</f>
        <v>0</v>
      </c>
      <c r="BL99" s="198">
        <f>'NKC2'!BP113*100</f>
        <v>0</v>
      </c>
      <c r="BM99" s="198">
        <f>'NKC2'!BQ113*100</f>
        <v>0</v>
      </c>
      <c r="BN99" s="198">
        <f>'NKC2'!BR113*100</f>
        <v>0</v>
      </c>
      <c r="BO99" s="198">
        <f>'NKC2'!BS113*100</f>
        <v>0</v>
      </c>
      <c r="BP99" s="198">
        <f>'NKC2'!BT113*100</f>
        <v>0</v>
      </c>
      <c r="BQ99" s="198">
        <f>'NKC2'!BU113*100</f>
        <v>0</v>
      </c>
      <c r="BR99" s="198">
        <f>'NKC2'!BV113*100</f>
        <v>0</v>
      </c>
      <c r="BS99" s="198">
        <f>'NKC2'!BW113*100</f>
        <v>0</v>
      </c>
      <c r="BT99" s="198">
        <f>'NKC2'!BX113*100</f>
        <v>0</v>
      </c>
      <c r="BU99" s="198">
        <f>'NKC2'!BY113*100</f>
        <v>0</v>
      </c>
      <c r="BV99" s="198">
        <f>'NKC2'!BZ113*100</f>
        <v>0</v>
      </c>
      <c r="BW99" s="198">
        <f>'NKC2'!CA113*100</f>
        <v>0</v>
      </c>
      <c r="BX99" s="198">
        <f>'NKC2'!CB113*100</f>
        <v>0</v>
      </c>
      <c r="BY99" s="198">
        <f>'NKC2'!CC113*100</f>
        <v>0</v>
      </c>
      <c r="BZ99" s="198">
        <f>'NKC2'!CD113*100</f>
        <v>0</v>
      </c>
      <c r="CA99" s="198">
        <f>'NKC2'!CE113*100</f>
        <v>0</v>
      </c>
      <c r="CB99" s="198">
        <f>'NKC2'!CF113*100</f>
        <v>0</v>
      </c>
      <c r="CC99" s="198">
        <f>'NKC2'!CG113*100</f>
        <v>0</v>
      </c>
      <c r="CD99" s="198">
        <f>'NKC2'!CH113*100</f>
        <v>0</v>
      </c>
      <c r="CE99" s="198">
        <f>'NKC2'!CI113*100</f>
        <v>0</v>
      </c>
      <c r="CF99" s="198">
        <f>'NKC2'!CJ113*100</f>
        <v>0</v>
      </c>
      <c r="CG99" s="198">
        <f>'NKC2'!CK113*100</f>
        <v>0</v>
      </c>
      <c r="CH99" s="198">
        <f>'NKC2'!CL113*100</f>
        <v>0</v>
      </c>
      <c r="CI99" s="198">
        <f>'NKC2'!CM113*100</f>
        <v>0</v>
      </c>
    </row>
    <row r="100" spans="1:87" x14ac:dyDescent="0.45">
      <c r="A100" s="403" t="str">
        <f>'NKC2'!B114</f>
        <v>1.8.1</v>
      </c>
      <c r="B100" s="403" t="str">
        <f>'NKC2'!D114</f>
        <v>งานครุภัณฑ์ระบบภาพและเสียง</v>
      </c>
      <c r="C100" s="404">
        <f>'NKC2'!F114</f>
        <v>7596119.9351565996</v>
      </c>
      <c r="D100" s="407" t="str">
        <f>'NKC2'!G112</f>
        <v>P</v>
      </c>
      <c r="E100" s="405">
        <f>'NKC2'!H114*100</f>
        <v>100</v>
      </c>
      <c r="F100" s="405">
        <f>'NKC2'!J114*100</f>
        <v>0</v>
      </c>
      <c r="G100" s="405">
        <f>'NKC2'!K114*100</f>
        <v>0</v>
      </c>
      <c r="H100" s="405">
        <f>'NKC2'!L114*100</f>
        <v>0</v>
      </c>
      <c r="I100" s="405">
        <f>'NKC2'!M114*100</f>
        <v>0</v>
      </c>
      <c r="J100" s="405">
        <f>'NKC2'!N114*100</f>
        <v>0</v>
      </c>
      <c r="K100" s="405">
        <f>'NKC2'!O114*100</f>
        <v>0</v>
      </c>
      <c r="L100" s="405">
        <f>'NKC2'!P114*100</f>
        <v>0</v>
      </c>
      <c r="M100" s="405">
        <f>'NKC2'!Q114*100</f>
        <v>0</v>
      </c>
      <c r="N100" s="405">
        <f>'NKC2'!R114*100</f>
        <v>0</v>
      </c>
      <c r="O100" s="405">
        <f>'NKC2'!S114*100</f>
        <v>0</v>
      </c>
      <c r="P100" s="405">
        <f>'NKC2'!T114*100</f>
        <v>0</v>
      </c>
      <c r="Q100" s="405">
        <f>'NKC2'!U114*100</f>
        <v>0</v>
      </c>
      <c r="R100" s="405">
        <f>'NKC2'!V114*100</f>
        <v>0</v>
      </c>
      <c r="S100" s="405">
        <f>'NKC2'!W114*100</f>
        <v>0</v>
      </c>
      <c r="T100" s="405">
        <f>'NKC2'!X114*100</f>
        <v>0</v>
      </c>
      <c r="U100" s="405">
        <f>'NKC2'!Y114*100</f>
        <v>0</v>
      </c>
      <c r="V100" s="405">
        <f>'NKC2'!Z114*100</f>
        <v>0</v>
      </c>
      <c r="W100" s="405">
        <f>'NKC2'!AA114*100</f>
        <v>0</v>
      </c>
      <c r="X100" s="405">
        <f>'NKC2'!AB114*100</f>
        <v>0</v>
      </c>
      <c r="Y100" s="405">
        <f>'NKC2'!AC114*100</f>
        <v>0</v>
      </c>
      <c r="Z100" s="405">
        <f>'NKC2'!AD114*100</f>
        <v>0</v>
      </c>
      <c r="AA100" s="405">
        <f>'NKC2'!AE114*100</f>
        <v>0</v>
      </c>
      <c r="AB100" s="405">
        <f>'NKC2'!AF114*100</f>
        <v>0</v>
      </c>
      <c r="AC100" s="405">
        <f>'NKC2'!AG114*100</f>
        <v>0</v>
      </c>
      <c r="AD100" s="405">
        <f>'NKC2'!AH114*100</f>
        <v>0</v>
      </c>
      <c r="AE100" s="405">
        <f>'NKC2'!AI114*100</f>
        <v>0</v>
      </c>
      <c r="AF100" s="405">
        <f>'NKC2'!AJ114*100</f>
        <v>0</v>
      </c>
      <c r="AG100" s="405">
        <f>'NKC2'!AK114*100</f>
        <v>0</v>
      </c>
      <c r="AH100" s="405">
        <f>'NKC2'!AL114*100</f>
        <v>0</v>
      </c>
      <c r="AI100" s="405">
        <f>'NKC2'!AM114*100</f>
        <v>0</v>
      </c>
      <c r="AJ100" s="405">
        <f>'NKC2'!AN114*100</f>
        <v>0</v>
      </c>
      <c r="AK100" s="405">
        <f>'NKC2'!AO114*100</f>
        <v>0</v>
      </c>
      <c r="AL100" s="405">
        <f>'NKC2'!AP114*100</f>
        <v>0</v>
      </c>
      <c r="AM100" s="405">
        <f>'NKC2'!AQ114*100</f>
        <v>0</v>
      </c>
      <c r="AN100" s="405">
        <f>'NKC2'!AR114*100</f>
        <v>0</v>
      </c>
      <c r="AO100" s="405">
        <f>'NKC2'!AS114*100</f>
        <v>0</v>
      </c>
      <c r="AP100" s="405">
        <f>'NKC2'!AT114*100</f>
        <v>0</v>
      </c>
      <c r="AQ100" s="405">
        <f>'NKC2'!AU114*100</f>
        <v>0</v>
      </c>
      <c r="AR100" s="405">
        <f>'NKC2'!AV114*100</f>
        <v>0</v>
      </c>
      <c r="AS100" s="405">
        <f>'NKC2'!AW114*100</f>
        <v>4</v>
      </c>
      <c r="AT100" s="405">
        <f>'NKC2'!AX114*100</f>
        <v>4</v>
      </c>
      <c r="AU100" s="405">
        <f>'NKC2'!AY114*100</f>
        <v>5</v>
      </c>
      <c r="AV100" s="405">
        <f>'NKC2'!AZ114*100</f>
        <v>5</v>
      </c>
      <c r="AW100" s="405">
        <f>'NKC2'!BA114*100</f>
        <v>10</v>
      </c>
      <c r="AX100" s="405">
        <f>'NKC2'!BB114*100</f>
        <v>25</v>
      </c>
      <c r="AY100" s="405">
        <f>'NKC2'!BC114*100</f>
        <v>20</v>
      </c>
      <c r="AZ100" s="405">
        <f>'NKC2'!BD114*100</f>
        <v>10</v>
      </c>
      <c r="BA100" s="405">
        <f>'NKC2'!BE114*100</f>
        <v>10</v>
      </c>
      <c r="BB100" s="405">
        <f>'NKC2'!BF114*100</f>
        <v>7.0000000000000009</v>
      </c>
      <c r="BC100" s="405">
        <f>'NKC2'!BG114*100</f>
        <v>0</v>
      </c>
      <c r="BD100" s="405">
        <f>'NKC2'!BH114*100</f>
        <v>0</v>
      </c>
      <c r="BE100" s="405">
        <f>'NKC2'!BI114*100</f>
        <v>0</v>
      </c>
      <c r="BF100" s="405">
        <f>'NKC2'!BJ114*100</f>
        <v>0</v>
      </c>
      <c r="BG100" s="405">
        <f>'NKC2'!BK114*100</f>
        <v>0</v>
      </c>
      <c r="BH100" s="405">
        <f>'NKC2'!BL114*100</f>
        <v>0</v>
      </c>
      <c r="BI100" s="405">
        <f>'NKC2'!BM114*100</f>
        <v>0</v>
      </c>
      <c r="BJ100" s="405">
        <f>'NKC2'!BN114*100</f>
        <v>0</v>
      </c>
      <c r="BK100" s="405">
        <f>'NKC2'!BO114*100</f>
        <v>0</v>
      </c>
      <c r="BL100" s="405">
        <f>'NKC2'!BP114*100</f>
        <v>0</v>
      </c>
      <c r="BM100" s="405">
        <f>'NKC2'!BQ114*100</f>
        <v>0</v>
      </c>
      <c r="BN100" s="405">
        <f>'NKC2'!BR114*100</f>
        <v>0</v>
      </c>
      <c r="BO100" s="405">
        <f>'NKC2'!BS114*100</f>
        <v>0</v>
      </c>
      <c r="BP100" s="405">
        <f>'NKC2'!BT114*100</f>
        <v>0</v>
      </c>
      <c r="BQ100" s="405">
        <f>'NKC2'!BU114*100</f>
        <v>0</v>
      </c>
      <c r="BR100" s="405">
        <f>'NKC2'!BV114*100</f>
        <v>0</v>
      </c>
      <c r="BS100" s="405">
        <f>'NKC2'!BW114*100</f>
        <v>0</v>
      </c>
      <c r="BT100" s="405">
        <f>'NKC2'!BX114*100</f>
        <v>0</v>
      </c>
      <c r="BU100" s="405">
        <f>'NKC2'!BY114*100</f>
        <v>0</v>
      </c>
      <c r="BV100" s="405">
        <f>'NKC2'!BZ114*100</f>
        <v>0</v>
      </c>
      <c r="BW100" s="405">
        <f>'NKC2'!CA114*100</f>
        <v>0</v>
      </c>
      <c r="BX100" s="405">
        <f>'NKC2'!CB114*100</f>
        <v>0</v>
      </c>
      <c r="BY100" s="405">
        <f>'NKC2'!CC114*100</f>
        <v>0</v>
      </c>
      <c r="BZ100" s="405">
        <f>'NKC2'!CD114*100</f>
        <v>0</v>
      </c>
      <c r="CA100" s="405">
        <f>'NKC2'!CE114*100</f>
        <v>0</v>
      </c>
      <c r="CB100" s="405">
        <f>'NKC2'!CF114*100</f>
        <v>0</v>
      </c>
      <c r="CC100" s="405">
        <f>'NKC2'!CG114*100</f>
        <v>0</v>
      </c>
      <c r="CD100" s="405">
        <f>'NKC2'!CH114*100</f>
        <v>0</v>
      </c>
      <c r="CE100" s="405">
        <f>'NKC2'!CI114*100</f>
        <v>0</v>
      </c>
      <c r="CF100" s="405">
        <f>'NKC2'!CJ114*100</f>
        <v>0</v>
      </c>
      <c r="CG100" s="405">
        <f>'NKC2'!CK114*100</f>
        <v>0</v>
      </c>
      <c r="CH100" s="405">
        <f>'NKC2'!CL114*100</f>
        <v>0</v>
      </c>
      <c r="CI100" s="405">
        <f>'NKC2'!CM114*100</f>
        <v>0</v>
      </c>
    </row>
    <row r="101" spans="1:87" x14ac:dyDescent="0.45">
      <c r="A101" t="str">
        <f>'NKC2'!B115</f>
        <v>1.8.1</v>
      </c>
      <c r="B101" t="str">
        <f>'NKC2'!D115</f>
        <v>งานครุภัณฑ์ระบบภาพและเสียง</v>
      </c>
      <c r="C101" s="193">
        <f>'NKC2'!F115</f>
        <v>7596119.9351565996</v>
      </c>
      <c r="D101" s="140" t="str">
        <f>'NKC2'!G113</f>
        <v>A</v>
      </c>
      <c r="E101" s="198">
        <f>'NKC2'!H115*100</f>
        <v>0</v>
      </c>
      <c r="F101" s="198">
        <f>'NKC2'!J115*100</f>
        <v>0</v>
      </c>
      <c r="G101" s="198">
        <f>'NKC2'!K115*100</f>
        <v>0</v>
      </c>
      <c r="H101" s="198">
        <f>'NKC2'!L115*100</f>
        <v>0</v>
      </c>
      <c r="I101" s="198">
        <f>'NKC2'!M115*100</f>
        <v>0</v>
      </c>
      <c r="J101" s="198">
        <f>'NKC2'!N115*100</f>
        <v>0</v>
      </c>
      <c r="K101" s="198">
        <f>'NKC2'!O115*100</f>
        <v>0</v>
      </c>
      <c r="L101" s="198">
        <f>'NKC2'!P115*100</f>
        <v>0</v>
      </c>
      <c r="M101" s="198">
        <f>'NKC2'!Q115*100</f>
        <v>0</v>
      </c>
      <c r="N101" s="198">
        <f>'NKC2'!R115*100</f>
        <v>0</v>
      </c>
      <c r="O101" s="198">
        <f>'NKC2'!S115*100</f>
        <v>0</v>
      </c>
      <c r="P101" s="198">
        <f>'NKC2'!T115*100</f>
        <v>0</v>
      </c>
      <c r="Q101" s="198">
        <f>'NKC2'!U115*100</f>
        <v>0</v>
      </c>
      <c r="R101" s="198">
        <f>'NKC2'!V115*100</f>
        <v>0</v>
      </c>
      <c r="S101" s="198">
        <f>'NKC2'!W115*100</f>
        <v>0</v>
      </c>
      <c r="T101" s="198">
        <f>'NKC2'!X115*100</f>
        <v>0</v>
      </c>
      <c r="U101" s="198">
        <f>'NKC2'!Y115*100</f>
        <v>0</v>
      </c>
      <c r="V101" s="198">
        <f>'NKC2'!Z115*100</f>
        <v>0</v>
      </c>
      <c r="W101" s="198">
        <f>'NKC2'!AA115*100</f>
        <v>0</v>
      </c>
      <c r="X101" s="198">
        <f>'NKC2'!AB115*100</f>
        <v>0</v>
      </c>
      <c r="Y101" s="198">
        <f>'NKC2'!AC115*100</f>
        <v>0</v>
      </c>
      <c r="Z101" s="198">
        <f>'NKC2'!AD115*100</f>
        <v>0</v>
      </c>
      <c r="AA101" s="198">
        <f>'NKC2'!AE115*100</f>
        <v>0</v>
      </c>
      <c r="AB101" s="198">
        <f>'NKC2'!AF115*100</f>
        <v>0</v>
      </c>
      <c r="AC101" s="198">
        <f>'NKC2'!AG115*100</f>
        <v>0</v>
      </c>
      <c r="AD101" s="198">
        <f>'NKC2'!AH115*100</f>
        <v>0</v>
      </c>
      <c r="AE101" s="198">
        <f>'NKC2'!AI115*100</f>
        <v>0</v>
      </c>
      <c r="AF101" s="198">
        <f>'NKC2'!AJ115*100</f>
        <v>0</v>
      </c>
      <c r="AG101" s="198">
        <f>'NKC2'!AK115*100</f>
        <v>0</v>
      </c>
      <c r="AH101" s="198">
        <f>'NKC2'!AL115*100</f>
        <v>0</v>
      </c>
      <c r="AI101" s="198">
        <f>'NKC2'!AM115*100</f>
        <v>0</v>
      </c>
      <c r="AJ101" s="198">
        <f>'NKC2'!AN115*100</f>
        <v>0</v>
      </c>
      <c r="AK101" s="198">
        <f>'NKC2'!AO115*100</f>
        <v>0</v>
      </c>
      <c r="AL101" s="198">
        <f>'NKC2'!AP115*100</f>
        <v>0</v>
      </c>
      <c r="AM101" s="198">
        <f>'NKC2'!AQ115*100</f>
        <v>0</v>
      </c>
      <c r="AN101" s="198">
        <f>'NKC2'!AR115*100</f>
        <v>0</v>
      </c>
      <c r="AO101" s="198">
        <f>'NKC2'!AS115*100</f>
        <v>0</v>
      </c>
      <c r="AP101" s="198">
        <f>'NKC2'!AT115*100</f>
        <v>0</v>
      </c>
      <c r="AQ101" s="198">
        <f>'NKC2'!AU115*100</f>
        <v>0</v>
      </c>
      <c r="AR101" s="198">
        <f>'NKC2'!AV115*100</f>
        <v>0</v>
      </c>
      <c r="AS101" s="198">
        <f>'NKC2'!AW115*100</f>
        <v>0</v>
      </c>
      <c r="AT101" s="198">
        <f>'NKC2'!AX115*100</f>
        <v>0</v>
      </c>
      <c r="AU101" s="198">
        <f>'NKC2'!AY115*100</f>
        <v>0</v>
      </c>
      <c r="AV101" s="198">
        <f>'NKC2'!AZ115*100</f>
        <v>0</v>
      </c>
      <c r="AW101" s="198">
        <f>'NKC2'!BA115*100</f>
        <v>0</v>
      </c>
      <c r="AX101" s="198">
        <f>'NKC2'!BB115*100</f>
        <v>0</v>
      </c>
      <c r="AY101" s="198">
        <f>'NKC2'!BC115*100</f>
        <v>0</v>
      </c>
      <c r="AZ101" s="198">
        <f>'NKC2'!BD115*100</f>
        <v>0</v>
      </c>
      <c r="BA101" s="198">
        <f>'NKC2'!BE115*100</f>
        <v>0</v>
      </c>
      <c r="BB101" s="198">
        <f>'NKC2'!BF115*100</f>
        <v>0</v>
      </c>
      <c r="BC101" s="198">
        <f>'NKC2'!BG115*100</f>
        <v>0</v>
      </c>
      <c r="BD101" s="198">
        <f>'NKC2'!BH115*100</f>
        <v>0</v>
      </c>
      <c r="BE101" s="198">
        <f>'NKC2'!BI115*100</f>
        <v>0</v>
      </c>
      <c r="BF101" s="198">
        <f>'NKC2'!BJ115*100</f>
        <v>0</v>
      </c>
      <c r="BG101" s="198">
        <f>'NKC2'!BK115*100</f>
        <v>0</v>
      </c>
      <c r="BH101" s="198">
        <f>'NKC2'!BL115*100</f>
        <v>0</v>
      </c>
      <c r="BI101" s="198">
        <f>'NKC2'!BM115*100</f>
        <v>0</v>
      </c>
      <c r="BJ101" s="198">
        <f>'NKC2'!BN115*100</f>
        <v>0</v>
      </c>
      <c r="BK101" s="198">
        <f>'NKC2'!BO115*100</f>
        <v>0</v>
      </c>
      <c r="BL101" s="198">
        <f>'NKC2'!BP115*100</f>
        <v>0</v>
      </c>
      <c r="BM101" s="198">
        <f>'NKC2'!BQ115*100</f>
        <v>0</v>
      </c>
      <c r="BN101" s="198">
        <f>'NKC2'!BR115*100</f>
        <v>0</v>
      </c>
      <c r="BO101" s="198">
        <f>'NKC2'!BS115*100</f>
        <v>0</v>
      </c>
      <c r="BP101" s="198">
        <f>'NKC2'!BT115*100</f>
        <v>0</v>
      </c>
      <c r="BQ101" s="198">
        <f>'NKC2'!BU115*100</f>
        <v>0</v>
      </c>
      <c r="BR101" s="198">
        <f>'NKC2'!BV115*100</f>
        <v>0</v>
      </c>
      <c r="BS101" s="198">
        <f>'NKC2'!BW115*100</f>
        <v>0</v>
      </c>
      <c r="BT101" s="198">
        <f>'NKC2'!BX115*100</f>
        <v>0</v>
      </c>
      <c r="BU101" s="198">
        <f>'NKC2'!BY115*100</f>
        <v>0</v>
      </c>
      <c r="BV101" s="198">
        <f>'NKC2'!BZ115*100</f>
        <v>0</v>
      </c>
      <c r="BW101" s="198">
        <f>'NKC2'!CA115*100</f>
        <v>0</v>
      </c>
      <c r="BX101" s="198">
        <f>'NKC2'!CB115*100</f>
        <v>0</v>
      </c>
      <c r="BY101" s="198">
        <f>'NKC2'!CC115*100</f>
        <v>0</v>
      </c>
      <c r="BZ101" s="198">
        <f>'NKC2'!CD115*100</f>
        <v>0</v>
      </c>
      <c r="CA101" s="198">
        <f>'NKC2'!CE115*100</f>
        <v>0</v>
      </c>
      <c r="CB101" s="198">
        <f>'NKC2'!CF115*100</f>
        <v>0</v>
      </c>
      <c r="CC101" s="198">
        <f>'NKC2'!CG115*100</f>
        <v>0</v>
      </c>
      <c r="CD101" s="198">
        <f>'NKC2'!CH115*100</f>
        <v>0</v>
      </c>
      <c r="CE101" s="198">
        <f>'NKC2'!CI115*100</f>
        <v>0</v>
      </c>
      <c r="CF101" s="198">
        <f>'NKC2'!CJ115*100</f>
        <v>0</v>
      </c>
      <c r="CG101" s="198">
        <f>'NKC2'!CK115*100</f>
        <v>0</v>
      </c>
      <c r="CH101" s="198">
        <f>'NKC2'!CL115*100</f>
        <v>0</v>
      </c>
      <c r="CI101" s="198">
        <f>'NKC2'!CM115*100</f>
        <v>0</v>
      </c>
    </row>
    <row r="102" spans="1:87" x14ac:dyDescent="0.45">
      <c r="A102" s="403" t="str">
        <f>'NKC2'!B116</f>
        <v>1.8.2</v>
      </c>
      <c r="B102" s="403" t="str">
        <f>'NKC2'!D116</f>
        <v xml:space="preserve">            งานครุภัณฑ์ลอยตัว</v>
      </c>
      <c r="C102" s="404">
        <f>'NKC2'!F116</f>
        <v>13986053.81195155</v>
      </c>
      <c r="D102" s="407" t="str">
        <f>'NKC2'!G114</f>
        <v>P</v>
      </c>
      <c r="E102" s="405">
        <f>'NKC2'!H116*100</f>
        <v>100</v>
      </c>
      <c r="F102" s="405">
        <f>'NKC2'!J116*100</f>
        <v>0</v>
      </c>
      <c r="G102" s="405">
        <f>'NKC2'!K116*100</f>
        <v>0</v>
      </c>
      <c r="H102" s="405">
        <f>'NKC2'!L116*100</f>
        <v>0</v>
      </c>
      <c r="I102" s="405">
        <f>'NKC2'!M116*100</f>
        <v>0</v>
      </c>
      <c r="J102" s="405">
        <f>'NKC2'!N116*100</f>
        <v>0</v>
      </c>
      <c r="K102" s="405">
        <f>'NKC2'!O116*100</f>
        <v>0</v>
      </c>
      <c r="L102" s="405">
        <f>'NKC2'!P116*100</f>
        <v>0</v>
      </c>
      <c r="M102" s="405">
        <f>'NKC2'!Q116*100</f>
        <v>0</v>
      </c>
      <c r="N102" s="405">
        <f>'NKC2'!R116*100</f>
        <v>0</v>
      </c>
      <c r="O102" s="405">
        <f>'NKC2'!S116*100</f>
        <v>0</v>
      </c>
      <c r="P102" s="405">
        <f>'NKC2'!T116*100</f>
        <v>0</v>
      </c>
      <c r="Q102" s="405">
        <f>'NKC2'!U116*100</f>
        <v>0</v>
      </c>
      <c r="R102" s="405">
        <f>'NKC2'!V116*100</f>
        <v>0</v>
      </c>
      <c r="S102" s="405">
        <f>'NKC2'!W116*100</f>
        <v>0</v>
      </c>
      <c r="T102" s="405">
        <f>'NKC2'!X116*100</f>
        <v>0</v>
      </c>
      <c r="U102" s="405">
        <f>'NKC2'!Y116*100</f>
        <v>0</v>
      </c>
      <c r="V102" s="405">
        <f>'NKC2'!Z116*100</f>
        <v>0</v>
      </c>
      <c r="W102" s="405">
        <f>'NKC2'!AA116*100</f>
        <v>0</v>
      </c>
      <c r="X102" s="405">
        <f>'NKC2'!AB116*100</f>
        <v>0</v>
      </c>
      <c r="Y102" s="405">
        <f>'NKC2'!AC116*100</f>
        <v>0</v>
      </c>
      <c r="Z102" s="405">
        <f>'NKC2'!AD116*100</f>
        <v>0</v>
      </c>
      <c r="AA102" s="405">
        <f>'NKC2'!AE116*100</f>
        <v>0</v>
      </c>
      <c r="AB102" s="405">
        <f>'NKC2'!AF116*100</f>
        <v>0</v>
      </c>
      <c r="AC102" s="405">
        <f>'NKC2'!AG116*100</f>
        <v>0</v>
      </c>
      <c r="AD102" s="405">
        <f>'NKC2'!AH116*100</f>
        <v>0</v>
      </c>
      <c r="AE102" s="405">
        <f>'NKC2'!AI116*100</f>
        <v>0</v>
      </c>
      <c r="AF102" s="405">
        <f>'NKC2'!AJ116*100</f>
        <v>0</v>
      </c>
      <c r="AG102" s="405">
        <f>'NKC2'!AK116*100</f>
        <v>0</v>
      </c>
      <c r="AH102" s="405">
        <f>'NKC2'!AL116*100</f>
        <v>0</v>
      </c>
      <c r="AI102" s="405">
        <f>'NKC2'!AM116*100</f>
        <v>0</v>
      </c>
      <c r="AJ102" s="405">
        <f>'NKC2'!AN116*100</f>
        <v>0</v>
      </c>
      <c r="AK102" s="405">
        <f>'NKC2'!AO116*100</f>
        <v>0</v>
      </c>
      <c r="AL102" s="405">
        <f>'NKC2'!AP116*100</f>
        <v>0</v>
      </c>
      <c r="AM102" s="405">
        <f>'NKC2'!AQ116*100</f>
        <v>0</v>
      </c>
      <c r="AN102" s="405">
        <f>'NKC2'!AR116*100</f>
        <v>0</v>
      </c>
      <c r="AO102" s="405">
        <f>'NKC2'!AS116*100</f>
        <v>0</v>
      </c>
      <c r="AP102" s="405">
        <f>'NKC2'!AT116*100</f>
        <v>0</v>
      </c>
      <c r="AQ102" s="405">
        <f>'NKC2'!AU116*100</f>
        <v>0</v>
      </c>
      <c r="AR102" s="405">
        <f>'NKC2'!AV116*100</f>
        <v>0</v>
      </c>
      <c r="AS102" s="405">
        <f>'NKC2'!AW116*100</f>
        <v>0</v>
      </c>
      <c r="AT102" s="405">
        <f>'NKC2'!AX116*100</f>
        <v>0</v>
      </c>
      <c r="AU102" s="405">
        <f>'NKC2'!AY116*100</f>
        <v>10</v>
      </c>
      <c r="AV102" s="405">
        <f>'NKC2'!AZ116*100</f>
        <v>10</v>
      </c>
      <c r="AW102" s="405">
        <f>'NKC2'!BA116*100</f>
        <v>15</v>
      </c>
      <c r="AX102" s="405">
        <f>'NKC2'!BB116*100</f>
        <v>15</v>
      </c>
      <c r="AY102" s="405">
        <f>'NKC2'!BC116*100</f>
        <v>10</v>
      </c>
      <c r="AZ102" s="405">
        <f>'NKC2'!BD116*100</f>
        <v>10</v>
      </c>
      <c r="BA102" s="405">
        <f>'NKC2'!BE116*100</f>
        <v>10</v>
      </c>
      <c r="BB102" s="405">
        <f>'NKC2'!BF116*100</f>
        <v>5</v>
      </c>
      <c r="BC102" s="405">
        <f>'NKC2'!BG116*100</f>
        <v>5</v>
      </c>
      <c r="BD102" s="405">
        <f>'NKC2'!BH116*100</f>
        <v>5</v>
      </c>
      <c r="BE102" s="405">
        <f>'NKC2'!BI116*100</f>
        <v>0</v>
      </c>
      <c r="BF102" s="405">
        <f>'NKC2'!BJ116*100</f>
        <v>5</v>
      </c>
      <c r="BG102" s="405">
        <f>'NKC2'!BK116*100</f>
        <v>0</v>
      </c>
      <c r="BH102" s="405">
        <f>'NKC2'!BL116*100</f>
        <v>0</v>
      </c>
      <c r="BI102" s="405">
        <f>'NKC2'!BM116*100</f>
        <v>0</v>
      </c>
      <c r="BJ102" s="405">
        <f>'NKC2'!BN116*100</f>
        <v>0</v>
      </c>
      <c r="BK102" s="405">
        <f>'NKC2'!BO116*100</f>
        <v>0</v>
      </c>
      <c r="BL102" s="405">
        <f>'NKC2'!BP116*100</f>
        <v>0</v>
      </c>
      <c r="BM102" s="405">
        <f>'NKC2'!BQ116*100</f>
        <v>0</v>
      </c>
      <c r="BN102" s="405">
        <f>'NKC2'!BR116*100</f>
        <v>0</v>
      </c>
      <c r="BO102" s="405">
        <f>'NKC2'!BS116*100</f>
        <v>0</v>
      </c>
      <c r="BP102" s="405">
        <f>'NKC2'!BT116*100</f>
        <v>0</v>
      </c>
      <c r="BQ102" s="405">
        <f>'NKC2'!BU116*100</f>
        <v>0</v>
      </c>
      <c r="BR102" s="405">
        <f>'NKC2'!BV116*100</f>
        <v>0</v>
      </c>
      <c r="BS102" s="405">
        <f>'NKC2'!BW116*100</f>
        <v>0</v>
      </c>
      <c r="BT102" s="405">
        <f>'NKC2'!BX116*100</f>
        <v>0</v>
      </c>
      <c r="BU102" s="405">
        <f>'NKC2'!BY116*100</f>
        <v>0</v>
      </c>
      <c r="BV102" s="405">
        <f>'NKC2'!BZ116*100</f>
        <v>0</v>
      </c>
      <c r="BW102" s="405">
        <f>'NKC2'!CA116*100</f>
        <v>0</v>
      </c>
      <c r="BX102" s="405">
        <f>'NKC2'!CB116*100</f>
        <v>0</v>
      </c>
      <c r="BY102" s="405">
        <f>'NKC2'!CC116*100</f>
        <v>0</v>
      </c>
      <c r="BZ102" s="405">
        <f>'NKC2'!CD116*100</f>
        <v>0</v>
      </c>
      <c r="CA102" s="405">
        <f>'NKC2'!CE116*100</f>
        <v>0</v>
      </c>
      <c r="CB102" s="405">
        <f>'NKC2'!CF116*100</f>
        <v>0</v>
      </c>
      <c r="CC102" s="405">
        <f>'NKC2'!CG116*100</f>
        <v>0</v>
      </c>
      <c r="CD102" s="405">
        <f>'NKC2'!CH116*100</f>
        <v>0</v>
      </c>
      <c r="CE102" s="405">
        <f>'NKC2'!CI116*100</f>
        <v>0</v>
      </c>
      <c r="CF102" s="405">
        <f>'NKC2'!CJ116*100</f>
        <v>0</v>
      </c>
      <c r="CG102" s="405">
        <f>'NKC2'!CK116*100</f>
        <v>0</v>
      </c>
      <c r="CH102" s="405">
        <f>'NKC2'!CL116*100</f>
        <v>0</v>
      </c>
      <c r="CI102" s="405">
        <f>'NKC2'!CM116*100</f>
        <v>0</v>
      </c>
    </row>
    <row r="103" spans="1:87" x14ac:dyDescent="0.45">
      <c r="A103" t="str">
        <f>'NKC2'!B117</f>
        <v>1.8.2</v>
      </c>
      <c r="B103" t="str">
        <f>'NKC2'!D117</f>
        <v xml:space="preserve">            งานครุภัณฑ์ลอยตัว</v>
      </c>
      <c r="C103" s="193">
        <f>'NKC2'!F117</f>
        <v>13986053.81195155</v>
      </c>
      <c r="D103" s="140" t="str">
        <f>'NKC2'!G115</f>
        <v>A</v>
      </c>
      <c r="E103" s="198">
        <f>'NKC2'!H117*100</f>
        <v>0</v>
      </c>
      <c r="F103" s="198">
        <f>'NKC2'!J117*100</f>
        <v>0</v>
      </c>
      <c r="G103" s="198">
        <f>'NKC2'!K117*100</f>
        <v>0</v>
      </c>
      <c r="H103" s="198">
        <f>'NKC2'!L117*100</f>
        <v>0</v>
      </c>
      <c r="I103" s="198">
        <f>'NKC2'!M117*100</f>
        <v>0</v>
      </c>
      <c r="J103" s="198">
        <f>'NKC2'!N117*100</f>
        <v>0</v>
      </c>
      <c r="K103" s="198">
        <f>'NKC2'!O117*100</f>
        <v>0</v>
      </c>
      <c r="L103" s="198">
        <f>'NKC2'!P117*100</f>
        <v>0</v>
      </c>
      <c r="M103" s="198">
        <f>'NKC2'!Q117*100</f>
        <v>0</v>
      </c>
      <c r="N103" s="198">
        <f>'NKC2'!R117*100</f>
        <v>0</v>
      </c>
      <c r="O103" s="198">
        <f>'NKC2'!S117*100</f>
        <v>0</v>
      </c>
      <c r="P103" s="198">
        <f>'NKC2'!T117*100</f>
        <v>0</v>
      </c>
      <c r="Q103" s="198">
        <f>'NKC2'!U117*100</f>
        <v>0</v>
      </c>
      <c r="R103" s="198">
        <f>'NKC2'!V117*100</f>
        <v>0</v>
      </c>
      <c r="S103" s="198">
        <f>'NKC2'!W117*100</f>
        <v>0</v>
      </c>
      <c r="T103" s="198">
        <f>'NKC2'!X117*100</f>
        <v>0</v>
      </c>
      <c r="U103" s="198">
        <f>'NKC2'!Y117*100</f>
        <v>0</v>
      </c>
      <c r="V103" s="198">
        <f>'NKC2'!Z117*100</f>
        <v>0</v>
      </c>
      <c r="W103" s="198">
        <f>'NKC2'!AA117*100</f>
        <v>0</v>
      </c>
      <c r="X103" s="198">
        <f>'NKC2'!AB117*100</f>
        <v>0</v>
      </c>
      <c r="Y103" s="198">
        <f>'NKC2'!AC117*100</f>
        <v>0</v>
      </c>
      <c r="Z103" s="198">
        <f>'NKC2'!AD117*100</f>
        <v>0</v>
      </c>
      <c r="AA103" s="198">
        <f>'NKC2'!AE117*100</f>
        <v>0</v>
      </c>
      <c r="AB103" s="198">
        <f>'NKC2'!AF117*100</f>
        <v>0</v>
      </c>
      <c r="AC103" s="198">
        <f>'NKC2'!AG117*100</f>
        <v>0</v>
      </c>
      <c r="AD103" s="198">
        <f>'NKC2'!AH117*100</f>
        <v>0</v>
      </c>
      <c r="AE103" s="198">
        <f>'NKC2'!AI117*100</f>
        <v>0</v>
      </c>
      <c r="AF103" s="198">
        <f>'NKC2'!AJ117*100</f>
        <v>0</v>
      </c>
      <c r="AG103" s="198">
        <f>'NKC2'!AK117*100</f>
        <v>0</v>
      </c>
      <c r="AH103" s="198">
        <f>'NKC2'!AL117*100</f>
        <v>0</v>
      </c>
      <c r="AI103" s="198">
        <f>'NKC2'!AM117*100</f>
        <v>0</v>
      </c>
      <c r="AJ103" s="198">
        <f>'NKC2'!AN117*100</f>
        <v>0</v>
      </c>
      <c r="AK103" s="198">
        <f>'NKC2'!AO117*100</f>
        <v>0</v>
      </c>
      <c r="AL103" s="198">
        <f>'NKC2'!AP117*100</f>
        <v>0</v>
      </c>
      <c r="AM103" s="198">
        <f>'NKC2'!AQ117*100</f>
        <v>0</v>
      </c>
      <c r="AN103" s="198">
        <f>'NKC2'!AR117*100</f>
        <v>0</v>
      </c>
      <c r="AO103" s="198">
        <f>'NKC2'!AS117*100</f>
        <v>0</v>
      </c>
      <c r="AP103" s="198">
        <f>'NKC2'!AT117*100</f>
        <v>0</v>
      </c>
      <c r="AQ103" s="198">
        <f>'NKC2'!AU117*100</f>
        <v>0</v>
      </c>
      <c r="AR103" s="198">
        <f>'NKC2'!AV117*100</f>
        <v>0</v>
      </c>
      <c r="AS103" s="198">
        <f>'NKC2'!AW117*100</f>
        <v>0</v>
      </c>
      <c r="AT103" s="198">
        <f>'NKC2'!AX117*100</f>
        <v>0</v>
      </c>
      <c r="AU103" s="198">
        <f>'NKC2'!AY117*100</f>
        <v>0</v>
      </c>
      <c r="AV103" s="198">
        <f>'NKC2'!AZ117*100</f>
        <v>0</v>
      </c>
      <c r="AW103" s="198">
        <f>'NKC2'!BA117*100</f>
        <v>0</v>
      </c>
      <c r="AX103" s="198">
        <f>'NKC2'!BB117*100</f>
        <v>0</v>
      </c>
      <c r="AY103" s="198">
        <f>'NKC2'!BC117*100</f>
        <v>0</v>
      </c>
      <c r="AZ103" s="198">
        <f>'NKC2'!BD117*100</f>
        <v>0</v>
      </c>
      <c r="BA103" s="198">
        <f>'NKC2'!BE117*100</f>
        <v>0</v>
      </c>
      <c r="BB103" s="198">
        <f>'NKC2'!BF117*100</f>
        <v>0</v>
      </c>
      <c r="BC103" s="198">
        <f>'NKC2'!BG117*100</f>
        <v>0</v>
      </c>
      <c r="BD103" s="198">
        <f>'NKC2'!BH117*100</f>
        <v>0</v>
      </c>
      <c r="BE103" s="198">
        <f>'NKC2'!BI117*100</f>
        <v>0</v>
      </c>
      <c r="BF103" s="198">
        <f>'NKC2'!BJ117*100</f>
        <v>0</v>
      </c>
      <c r="BG103" s="198">
        <f>'NKC2'!BK117*100</f>
        <v>0</v>
      </c>
      <c r="BH103" s="198">
        <f>'NKC2'!BL117*100</f>
        <v>0</v>
      </c>
      <c r="BI103" s="198">
        <f>'NKC2'!BM117*100</f>
        <v>0</v>
      </c>
      <c r="BJ103" s="198">
        <f>'NKC2'!BN117*100</f>
        <v>0</v>
      </c>
      <c r="BK103" s="198">
        <f>'NKC2'!BO117*100</f>
        <v>0</v>
      </c>
      <c r="BL103" s="198">
        <f>'NKC2'!BP117*100</f>
        <v>0</v>
      </c>
      <c r="BM103" s="198">
        <f>'NKC2'!BQ117*100</f>
        <v>0</v>
      </c>
      <c r="BN103" s="198">
        <f>'NKC2'!BR117*100</f>
        <v>0</v>
      </c>
      <c r="BO103" s="198">
        <f>'NKC2'!BS117*100</f>
        <v>0</v>
      </c>
      <c r="BP103" s="198">
        <f>'NKC2'!BT117*100</f>
        <v>0</v>
      </c>
      <c r="BQ103" s="198">
        <f>'NKC2'!BU117*100</f>
        <v>0</v>
      </c>
      <c r="BR103" s="198">
        <f>'NKC2'!BV117*100</f>
        <v>0</v>
      </c>
      <c r="BS103" s="198">
        <f>'NKC2'!BW117*100</f>
        <v>0</v>
      </c>
      <c r="BT103" s="198">
        <f>'NKC2'!BX117*100</f>
        <v>0</v>
      </c>
      <c r="BU103" s="198">
        <f>'NKC2'!BY117*100</f>
        <v>0</v>
      </c>
      <c r="BV103" s="198">
        <f>'NKC2'!BZ117*100</f>
        <v>0</v>
      </c>
      <c r="BW103" s="198">
        <f>'NKC2'!CA117*100</f>
        <v>0</v>
      </c>
      <c r="BX103" s="198">
        <f>'NKC2'!CB117*100</f>
        <v>0</v>
      </c>
      <c r="BY103" s="198">
        <f>'NKC2'!CC117*100</f>
        <v>0</v>
      </c>
      <c r="BZ103" s="198">
        <f>'NKC2'!CD117*100</f>
        <v>0</v>
      </c>
      <c r="CA103" s="198">
        <f>'NKC2'!CE117*100</f>
        <v>0</v>
      </c>
      <c r="CB103" s="198">
        <f>'NKC2'!CF117*100</f>
        <v>0</v>
      </c>
      <c r="CC103" s="198">
        <f>'NKC2'!CG117*100</f>
        <v>0</v>
      </c>
      <c r="CD103" s="198">
        <f>'NKC2'!CH117*100</f>
        <v>0</v>
      </c>
      <c r="CE103" s="198">
        <f>'NKC2'!CI117*100</f>
        <v>0</v>
      </c>
      <c r="CF103" s="198">
        <f>'NKC2'!CJ117*100</f>
        <v>0</v>
      </c>
      <c r="CG103" s="198">
        <f>'NKC2'!CK117*100</f>
        <v>0</v>
      </c>
      <c r="CH103" s="198">
        <f>'NKC2'!CL117*100</f>
        <v>0</v>
      </c>
      <c r="CI103" s="198">
        <f>'NKC2'!CM117*100</f>
        <v>0</v>
      </c>
    </row>
    <row r="104" spans="1:87" x14ac:dyDescent="0.45">
      <c r="A104" s="403" t="str">
        <f>'NKC2'!B118</f>
        <v>1.8.3</v>
      </c>
      <c r="B104" s="403" t="str">
        <f>'NKC2'!D118</f>
        <v xml:space="preserve">            งานป้ายสัญลักษณ์</v>
      </c>
      <c r="C104" s="404">
        <f>'NKC2'!F118</f>
        <v>0</v>
      </c>
      <c r="D104" s="407" t="str">
        <f>'NKC2'!G116</f>
        <v>P</v>
      </c>
      <c r="E104" s="405">
        <f>'NKC2'!H118*100</f>
        <v>0</v>
      </c>
      <c r="F104" s="405">
        <f>'NKC2'!J118*100</f>
        <v>0</v>
      </c>
      <c r="G104" s="405">
        <f>'NKC2'!K118*100</f>
        <v>0</v>
      </c>
      <c r="H104" s="405">
        <f>'NKC2'!L118*100</f>
        <v>0</v>
      </c>
      <c r="I104" s="405">
        <f>'NKC2'!M118*100</f>
        <v>0</v>
      </c>
      <c r="J104" s="405">
        <f>'NKC2'!N118*100</f>
        <v>0</v>
      </c>
      <c r="K104" s="405">
        <f>'NKC2'!O118*100</f>
        <v>0</v>
      </c>
      <c r="L104" s="405">
        <f>'NKC2'!P118*100</f>
        <v>0</v>
      </c>
      <c r="M104" s="405">
        <f>'NKC2'!Q118*100</f>
        <v>0</v>
      </c>
      <c r="N104" s="405">
        <f>'NKC2'!R118*100</f>
        <v>0</v>
      </c>
      <c r="O104" s="405">
        <f>'NKC2'!S118*100</f>
        <v>0</v>
      </c>
      <c r="P104" s="405">
        <f>'NKC2'!T118*100</f>
        <v>0</v>
      </c>
      <c r="Q104" s="405">
        <f>'NKC2'!U118*100</f>
        <v>0</v>
      </c>
      <c r="R104" s="405">
        <f>'NKC2'!V118*100</f>
        <v>0</v>
      </c>
      <c r="S104" s="405">
        <f>'NKC2'!W118*100</f>
        <v>0</v>
      </c>
      <c r="T104" s="405">
        <f>'NKC2'!X118*100</f>
        <v>0</v>
      </c>
      <c r="U104" s="405">
        <f>'NKC2'!Y118*100</f>
        <v>0</v>
      </c>
      <c r="V104" s="405">
        <f>'NKC2'!Z118*100</f>
        <v>0</v>
      </c>
      <c r="W104" s="405">
        <f>'NKC2'!AA118*100</f>
        <v>0</v>
      </c>
      <c r="X104" s="405">
        <f>'NKC2'!AB118*100</f>
        <v>0</v>
      </c>
      <c r="Y104" s="405">
        <f>'NKC2'!AC118*100</f>
        <v>0</v>
      </c>
      <c r="Z104" s="405">
        <f>'NKC2'!AD118*100</f>
        <v>0</v>
      </c>
      <c r="AA104" s="405">
        <f>'NKC2'!AE118*100</f>
        <v>0</v>
      </c>
      <c r="AB104" s="405">
        <f>'NKC2'!AF118*100</f>
        <v>0</v>
      </c>
      <c r="AC104" s="405">
        <f>'NKC2'!AG118*100</f>
        <v>0</v>
      </c>
      <c r="AD104" s="405">
        <f>'NKC2'!AH118*100</f>
        <v>0</v>
      </c>
      <c r="AE104" s="405">
        <f>'NKC2'!AI118*100</f>
        <v>0</v>
      </c>
      <c r="AF104" s="405">
        <f>'NKC2'!AJ118*100</f>
        <v>0</v>
      </c>
      <c r="AG104" s="405">
        <f>'NKC2'!AK118*100</f>
        <v>0</v>
      </c>
      <c r="AH104" s="405">
        <f>'NKC2'!AL118*100</f>
        <v>0</v>
      </c>
      <c r="AI104" s="405">
        <f>'NKC2'!AM118*100</f>
        <v>0</v>
      </c>
      <c r="AJ104" s="405">
        <f>'NKC2'!AN118*100</f>
        <v>0</v>
      </c>
      <c r="AK104" s="405">
        <f>'NKC2'!AO118*100</f>
        <v>0</v>
      </c>
      <c r="AL104" s="405">
        <f>'NKC2'!AP118*100</f>
        <v>0</v>
      </c>
      <c r="AM104" s="405">
        <f>'NKC2'!AQ118*100</f>
        <v>0</v>
      </c>
      <c r="AN104" s="405">
        <f>'NKC2'!AR118*100</f>
        <v>0</v>
      </c>
      <c r="AO104" s="405">
        <f>'NKC2'!AS118*100</f>
        <v>0</v>
      </c>
      <c r="AP104" s="405">
        <f>'NKC2'!AT118*100</f>
        <v>0</v>
      </c>
      <c r="AQ104" s="405">
        <f>'NKC2'!AU118*100</f>
        <v>0</v>
      </c>
      <c r="AR104" s="405">
        <f>'NKC2'!AV118*100</f>
        <v>0</v>
      </c>
      <c r="AS104" s="405">
        <f>'NKC2'!AW118*100</f>
        <v>0</v>
      </c>
      <c r="AT104" s="405">
        <f>'NKC2'!AX118*100</f>
        <v>0</v>
      </c>
      <c r="AU104" s="405">
        <f>'NKC2'!AY118*100</f>
        <v>0</v>
      </c>
      <c r="AV104" s="405">
        <f>'NKC2'!AZ118*100</f>
        <v>0</v>
      </c>
      <c r="AW104" s="405">
        <f>'NKC2'!BA118*100</f>
        <v>0</v>
      </c>
      <c r="AX104" s="405">
        <f>'NKC2'!BB118*100</f>
        <v>0</v>
      </c>
      <c r="AY104" s="405">
        <f>'NKC2'!BC118*100</f>
        <v>0</v>
      </c>
      <c r="AZ104" s="405">
        <f>'NKC2'!BD118*100</f>
        <v>0</v>
      </c>
      <c r="BA104" s="405">
        <f>'NKC2'!BE118*100</f>
        <v>0</v>
      </c>
      <c r="BB104" s="405">
        <f>'NKC2'!BF118*100</f>
        <v>0</v>
      </c>
      <c r="BC104" s="405">
        <f>'NKC2'!BG118*100</f>
        <v>0</v>
      </c>
      <c r="BD104" s="405">
        <f>'NKC2'!BH118*100</f>
        <v>0</v>
      </c>
      <c r="BE104" s="405">
        <f>'NKC2'!BI118*100</f>
        <v>0</v>
      </c>
      <c r="BF104" s="405">
        <f>'NKC2'!BJ118*100</f>
        <v>0</v>
      </c>
      <c r="BG104" s="405">
        <f>'NKC2'!BK118*100</f>
        <v>0</v>
      </c>
      <c r="BH104" s="405">
        <f>'NKC2'!BL118*100</f>
        <v>0</v>
      </c>
      <c r="BI104" s="405">
        <f>'NKC2'!BM118*100</f>
        <v>0</v>
      </c>
      <c r="BJ104" s="405">
        <f>'NKC2'!BN118*100</f>
        <v>0</v>
      </c>
      <c r="BK104" s="405">
        <f>'NKC2'!BO118*100</f>
        <v>0</v>
      </c>
      <c r="BL104" s="405">
        <f>'NKC2'!BP118*100</f>
        <v>0</v>
      </c>
      <c r="BM104" s="405">
        <f>'NKC2'!BQ118*100</f>
        <v>0</v>
      </c>
      <c r="BN104" s="405">
        <f>'NKC2'!BR118*100</f>
        <v>0</v>
      </c>
      <c r="BO104" s="405">
        <f>'NKC2'!BS118*100</f>
        <v>0</v>
      </c>
      <c r="BP104" s="405">
        <f>'NKC2'!BT118*100</f>
        <v>0</v>
      </c>
      <c r="BQ104" s="405">
        <f>'NKC2'!BU118*100</f>
        <v>0</v>
      </c>
      <c r="BR104" s="405">
        <f>'NKC2'!BV118*100</f>
        <v>0</v>
      </c>
      <c r="BS104" s="405">
        <f>'NKC2'!BW118*100</f>
        <v>0</v>
      </c>
      <c r="BT104" s="405">
        <f>'NKC2'!BX118*100</f>
        <v>0</v>
      </c>
      <c r="BU104" s="405">
        <f>'NKC2'!BY118*100</f>
        <v>0</v>
      </c>
      <c r="BV104" s="405">
        <f>'NKC2'!BZ118*100</f>
        <v>0</v>
      </c>
      <c r="BW104" s="405">
        <f>'NKC2'!CA118*100</f>
        <v>0</v>
      </c>
      <c r="BX104" s="405">
        <f>'NKC2'!CB118*100</f>
        <v>0</v>
      </c>
      <c r="BY104" s="405">
        <f>'NKC2'!CC118*100</f>
        <v>0</v>
      </c>
      <c r="BZ104" s="405">
        <f>'NKC2'!CD118*100</f>
        <v>0</v>
      </c>
      <c r="CA104" s="405">
        <f>'NKC2'!CE118*100</f>
        <v>0</v>
      </c>
      <c r="CB104" s="405">
        <f>'NKC2'!CF118*100</f>
        <v>0</v>
      </c>
      <c r="CC104" s="405">
        <f>'NKC2'!CG118*100</f>
        <v>0</v>
      </c>
      <c r="CD104" s="405">
        <f>'NKC2'!CH118*100</f>
        <v>0</v>
      </c>
      <c r="CE104" s="405">
        <f>'NKC2'!CI118*100</f>
        <v>0</v>
      </c>
      <c r="CF104" s="405">
        <f>'NKC2'!CJ118*100</f>
        <v>0</v>
      </c>
      <c r="CG104" s="405">
        <f>'NKC2'!CK118*100</f>
        <v>0</v>
      </c>
      <c r="CH104" s="405">
        <f>'NKC2'!CL118*100</f>
        <v>0</v>
      </c>
      <c r="CI104" s="405">
        <f>'NKC2'!CM118*100</f>
        <v>0</v>
      </c>
    </row>
    <row r="105" spans="1:87" x14ac:dyDescent="0.45">
      <c r="A105" t="str">
        <f>'NKC2'!B119</f>
        <v>1.8.3</v>
      </c>
      <c r="B105" t="str">
        <f>'NKC2'!D119</f>
        <v xml:space="preserve">            งานป้ายสัญลักษณ์</v>
      </c>
      <c r="C105" s="193">
        <f>'NKC2'!F119</f>
        <v>0</v>
      </c>
      <c r="D105" s="140" t="str">
        <f>'NKC2'!G117</f>
        <v>A</v>
      </c>
      <c r="E105" s="198">
        <f>'NKC2'!H119*100</f>
        <v>0</v>
      </c>
      <c r="F105" s="198">
        <f>'NKC2'!J119*100</f>
        <v>0</v>
      </c>
      <c r="G105" s="198">
        <f>'NKC2'!K119*100</f>
        <v>0</v>
      </c>
      <c r="H105" s="198">
        <f>'NKC2'!L119*100</f>
        <v>0</v>
      </c>
      <c r="I105" s="198">
        <f>'NKC2'!M119*100</f>
        <v>0</v>
      </c>
      <c r="J105" s="198">
        <f>'NKC2'!N119*100</f>
        <v>0</v>
      </c>
      <c r="K105" s="198">
        <f>'NKC2'!O119*100</f>
        <v>0</v>
      </c>
      <c r="L105" s="198">
        <f>'NKC2'!P119*100</f>
        <v>0</v>
      </c>
      <c r="M105" s="198">
        <f>'NKC2'!Q119*100</f>
        <v>0</v>
      </c>
      <c r="N105" s="198">
        <f>'NKC2'!R119*100</f>
        <v>0</v>
      </c>
      <c r="O105" s="198">
        <f>'NKC2'!S119*100</f>
        <v>0</v>
      </c>
      <c r="P105" s="198">
        <f>'NKC2'!T119*100</f>
        <v>0</v>
      </c>
      <c r="Q105" s="198">
        <f>'NKC2'!U119*100</f>
        <v>0</v>
      </c>
      <c r="R105" s="198">
        <f>'NKC2'!V119*100</f>
        <v>0</v>
      </c>
      <c r="S105" s="198">
        <f>'NKC2'!W119*100</f>
        <v>0</v>
      </c>
      <c r="T105" s="198">
        <f>'NKC2'!X119*100</f>
        <v>0</v>
      </c>
      <c r="U105" s="198">
        <f>'NKC2'!Y119*100</f>
        <v>0</v>
      </c>
      <c r="V105" s="198">
        <f>'NKC2'!Z119*100</f>
        <v>0</v>
      </c>
      <c r="W105" s="198">
        <f>'NKC2'!AA119*100</f>
        <v>0</v>
      </c>
      <c r="X105" s="198">
        <f>'NKC2'!AB119*100</f>
        <v>0</v>
      </c>
      <c r="Y105" s="198">
        <f>'NKC2'!AC119*100</f>
        <v>0</v>
      </c>
      <c r="Z105" s="198">
        <f>'NKC2'!AD119*100</f>
        <v>0</v>
      </c>
      <c r="AA105" s="198">
        <f>'NKC2'!AE119*100</f>
        <v>0</v>
      </c>
      <c r="AB105" s="198">
        <f>'NKC2'!AF119*100</f>
        <v>0</v>
      </c>
      <c r="AC105" s="198">
        <f>'NKC2'!AG119*100</f>
        <v>0</v>
      </c>
      <c r="AD105" s="198">
        <f>'NKC2'!AH119*100</f>
        <v>0</v>
      </c>
      <c r="AE105" s="198">
        <f>'NKC2'!AI119*100</f>
        <v>0</v>
      </c>
      <c r="AF105" s="198">
        <f>'NKC2'!AJ119*100</f>
        <v>0</v>
      </c>
      <c r="AG105" s="198">
        <f>'NKC2'!AK119*100</f>
        <v>0</v>
      </c>
      <c r="AH105" s="198">
        <f>'NKC2'!AL119*100</f>
        <v>0</v>
      </c>
      <c r="AI105" s="198">
        <f>'NKC2'!AM119*100</f>
        <v>0</v>
      </c>
      <c r="AJ105" s="198">
        <f>'NKC2'!AN119*100</f>
        <v>0</v>
      </c>
      <c r="AK105" s="198">
        <f>'NKC2'!AO119*100</f>
        <v>0</v>
      </c>
      <c r="AL105" s="198">
        <f>'NKC2'!AP119*100</f>
        <v>0</v>
      </c>
      <c r="AM105" s="198">
        <f>'NKC2'!AQ119*100</f>
        <v>0</v>
      </c>
      <c r="AN105" s="198">
        <f>'NKC2'!AR119*100</f>
        <v>0</v>
      </c>
      <c r="AO105" s="198">
        <f>'NKC2'!AS119*100</f>
        <v>0</v>
      </c>
      <c r="AP105" s="198">
        <f>'NKC2'!AT119*100</f>
        <v>0</v>
      </c>
      <c r="AQ105" s="198">
        <f>'NKC2'!AU119*100</f>
        <v>0</v>
      </c>
      <c r="AR105" s="198">
        <f>'NKC2'!AV119*100</f>
        <v>0</v>
      </c>
      <c r="AS105" s="198">
        <f>'NKC2'!AW119*100</f>
        <v>0</v>
      </c>
      <c r="AT105" s="198">
        <f>'NKC2'!AX119*100</f>
        <v>0</v>
      </c>
      <c r="AU105" s="198">
        <f>'NKC2'!AY119*100</f>
        <v>0</v>
      </c>
      <c r="AV105" s="198">
        <f>'NKC2'!AZ119*100</f>
        <v>0</v>
      </c>
      <c r="AW105" s="198">
        <f>'NKC2'!BA119*100</f>
        <v>0</v>
      </c>
      <c r="AX105" s="198">
        <f>'NKC2'!BB119*100</f>
        <v>0</v>
      </c>
      <c r="AY105" s="198">
        <f>'NKC2'!BC119*100</f>
        <v>0</v>
      </c>
      <c r="AZ105" s="198">
        <f>'NKC2'!BD119*100</f>
        <v>0</v>
      </c>
      <c r="BA105" s="198">
        <f>'NKC2'!BE119*100</f>
        <v>0</v>
      </c>
      <c r="BB105" s="198">
        <f>'NKC2'!BF119*100</f>
        <v>0</v>
      </c>
      <c r="BC105" s="198">
        <f>'NKC2'!BG119*100</f>
        <v>0</v>
      </c>
      <c r="BD105" s="198">
        <f>'NKC2'!BH119*100</f>
        <v>0</v>
      </c>
      <c r="BE105" s="198">
        <f>'NKC2'!BI119*100</f>
        <v>0</v>
      </c>
      <c r="BF105" s="198">
        <f>'NKC2'!BJ119*100</f>
        <v>0</v>
      </c>
      <c r="BG105" s="198">
        <f>'NKC2'!BK119*100</f>
        <v>0</v>
      </c>
      <c r="BH105" s="198">
        <f>'NKC2'!BL119*100</f>
        <v>0</v>
      </c>
      <c r="BI105" s="198">
        <f>'NKC2'!BM119*100</f>
        <v>0</v>
      </c>
      <c r="BJ105" s="198">
        <f>'NKC2'!BN119*100</f>
        <v>0</v>
      </c>
      <c r="BK105" s="198">
        <f>'NKC2'!BO119*100</f>
        <v>0</v>
      </c>
      <c r="BL105" s="198">
        <f>'NKC2'!BP119*100</f>
        <v>0</v>
      </c>
      <c r="BM105" s="198">
        <f>'NKC2'!BQ119*100</f>
        <v>0</v>
      </c>
      <c r="BN105" s="198">
        <f>'NKC2'!BR119*100</f>
        <v>0</v>
      </c>
      <c r="BO105" s="198">
        <f>'NKC2'!BS119*100</f>
        <v>0</v>
      </c>
      <c r="BP105" s="198">
        <f>'NKC2'!BT119*100</f>
        <v>0</v>
      </c>
      <c r="BQ105" s="198">
        <f>'NKC2'!BU119*100</f>
        <v>0</v>
      </c>
      <c r="BR105" s="198">
        <f>'NKC2'!BV119*100</f>
        <v>0</v>
      </c>
      <c r="BS105" s="198">
        <f>'NKC2'!BW119*100</f>
        <v>0</v>
      </c>
      <c r="BT105" s="198">
        <f>'NKC2'!BX119*100</f>
        <v>0</v>
      </c>
      <c r="BU105" s="198">
        <f>'NKC2'!BY119*100</f>
        <v>0</v>
      </c>
      <c r="BV105" s="198">
        <f>'NKC2'!BZ119*100</f>
        <v>0</v>
      </c>
      <c r="BW105" s="198">
        <f>'NKC2'!CA119*100</f>
        <v>0</v>
      </c>
      <c r="BX105" s="198">
        <f>'NKC2'!CB119*100</f>
        <v>0</v>
      </c>
      <c r="BY105" s="198">
        <f>'NKC2'!CC119*100</f>
        <v>0</v>
      </c>
      <c r="BZ105" s="198">
        <f>'NKC2'!CD119*100</f>
        <v>0</v>
      </c>
      <c r="CA105" s="198">
        <f>'NKC2'!CE119*100</f>
        <v>0</v>
      </c>
      <c r="CB105" s="198">
        <f>'NKC2'!CF119*100</f>
        <v>0</v>
      </c>
      <c r="CC105" s="198">
        <f>'NKC2'!CG119*100</f>
        <v>0</v>
      </c>
      <c r="CD105" s="198">
        <f>'NKC2'!CH119*100</f>
        <v>0</v>
      </c>
      <c r="CE105" s="198">
        <f>'NKC2'!CI119*100</f>
        <v>0</v>
      </c>
      <c r="CF105" s="198">
        <f>'NKC2'!CJ119*100</f>
        <v>0</v>
      </c>
      <c r="CG105" s="198">
        <f>'NKC2'!CK119*100</f>
        <v>0</v>
      </c>
      <c r="CH105" s="198">
        <f>'NKC2'!CL119*100</f>
        <v>0</v>
      </c>
      <c r="CI105" s="198">
        <f>'NKC2'!CM119*100</f>
        <v>0</v>
      </c>
    </row>
    <row r="106" spans="1:87" x14ac:dyDescent="0.45">
      <c r="A106" s="403" t="str">
        <f>'NKC2'!B120</f>
        <v>1.8.4</v>
      </c>
      <c r="B106" s="403" t="str">
        <f>'NKC2'!D120</f>
        <v xml:space="preserve">            งานผ้าม่าน</v>
      </c>
      <c r="C106" s="404">
        <f>'NKC2'!F120</f>
        <v>0</v>
      </c>
      <c r="D106" s="407" t="str">
        <f>'NKC2'!G118</f>
        <v>P</v>
      </c>
      <c r="E106" s="405">
        <f>'NKC2'!H120*100</f>
        <v>0</v>
      </c>
      <c r="F106" s="405">
        <f>'NKC2'!J120*100</f>
        <v>0</v>
      </c>
      <c r="G106" s="405">
        <f>'NKC2'!K120*100</f>
        <v>0</v>
      </c>
      <c r="H106" s="405">
        <f>'NKC2'!L120*100</f>
        <v>0</v>
      </c>
      <c r="I106" s="405">
        <f>'NKC2'!M120*100</f>
        <v>0</v>
      </c>
      <c r="J106" s="405">
        <f>'NKC2'!N120*100</f>
        <v>0</v>
      </c>
      <c r="K106" s="405">
        <f>'NKC2'!O120*100</f>
        <v>0</v>
      </c>
      <c r="L106" s="405">
        <f>'NKC2'!P120*100</f>
        <v>0</v>
      </c>
      <c r="M106" s="405">
        <f>'NKC2'!Q120*100</f>
        <v>0</v>
      </c>
      <c r="N106" s="405">
        <f>'NKC2'!R120*100</f>
        <v>0</v>
      </c>
      <c r="O106" s="405">
        <f>'NKC2'!S120*100</f>
        <v>0</v>
      </c>
      <c r="P106" s="405">
        <f>'NKC2'!T120*100</f>
        <v>0</v>
      </c>
      <c r="Q106" s="405">
        <f>'NKC2'!U120*100</f>
        <v>0</v>
      </c>
      <c r="R106" s="405">
        <f>'NKC2'!V120*100</f>
        <v>0</v>
      </c>
      <c r="S106" s="405">
        <f>'NKC2'!W120*100</f>
        <v>0</v>
      </c>
      <c r="T106" s="405">
        <f>'NKC2'!X120*100</f>
        <v>0</v>
      </c>
      <c r="U106" s="405">
        <f>'NKC2'!Y120*100</f>
        <v>0</v>
      </c>
      <c r="V106" s="405">
        <f>'NKC2'!Z120*100</f>
        <v>0</v>
      </c>
      <c r="W106" s="405">
        <f>'NKC2'!AA120*100</f>
        <v>0</v>
      </c>
      <c r="X106" s="405">
        <f>'NKC2'!AB120*100</f>
        <v>0</v>
      </c>
      <c r="Y106" s="405">
        <f>'NKC2'!AC120*100</f>
        <v>0</v>
      </c>
      <c r="Z106" s="405">
        <f>'NKC2'!AD120*100</f>
        <v>0</v>
      </c>
      <c r="AA106" s="405">
        <f>'NKC2'!AE120*100</f>
        <v>0</v>
      </c>
      <c r="AB106" s="405">
        <f>'NKC2'!AF120*100</f>
        <v>0</v>
      </c>
      <c r="AC106" s="405">
        <f>'NKC2'!AG120*100</f>
        <v>0</v>
      </c>
      <c r="AD106" s="405">
        <f>'NKC2'!AH120*100</f>
        <v>0</v>
      </c>
      <c r="AE106" s="405">
        <f>'NKC2'!AI120*100</f>
        <v>0</v>
      </c>
      <c r="AF106" s="405">
        <f>'NKC2'!AJ120*100</f>
        <v>0</v>
      </c>
      <c r="AG106" s="405">
        <f>'NKC2'!AK120*100</f>
        <v>0</v>
      </c>
      <c r="AH106" s="405">
        <f>'NKC2'!AL120*100</f>
        <v>0</v>
      </c>
      <c r="AI106" s="405">
        <f>'NKC2'!AM120*100</f>
        <v>0</v>
      </c>
      <c r="AJ106" s="405">
        <f>'NKC2'!AN120*100</f>
        <v>0</v>
      </c>
      <c r="AK106" s="405">
        <f>'NKC2'!AO120*100</f>
        <v>0</v>
      </c>
      <c r="AL106" s="405">
        <f>'NKC2'!AP120*100</f>
        <v>0</v>
      </c>
      <c r="AM106" s="405">
        <f>'NKC2'!AQ120*100</f>
        <v>0</v>
      </c>
      <c r="AN106" s="405">
        <f>'NKC2'!AR120*100</f>
        <v>0</v>
      </c>
      <c r="AO106" s="405">
        <f>'NKC2'!AS120*100</f>
        <v>0</v>
      </c>
      <c r="AP106" s="405">
        <f>'NKC2'!AT120*100</f>
        <v>0</v>
      </c>
      <c r="AQ106" s="405">
        <f>'NKC2'!AU120*100</f>
        <v>0</v>
      </c>
      <c r="AR106" s="405">
        <f>'NKC2'!AV120*100</f>
        <v>0</v>
      </c>
      <c r="AS106" s="405">
        <f>'NKC2'!AW120*100</f>
        <v>0</v>
      </c>
      <c r="AT106" s="405">
        <f>'NKC2'!AX120*100</f>
        <v>0</v>
      </c>
      <c r="AU106" s="405">
        <f>'NKC2'!AY120*100</f>
        <v>0</v>
      </c>
      <c r="AV106" s="405">
        <f>'NKC2'!AZ120*100</f>
        <v>0</v>
      </c>
      <c r="AW106" s="405">
        <f>'NKC2'!BA120*100</f>
        <v>0</v>
      </c>
      <c r="AX106" s="405">
        <f>'NKC2'!BB120*100</f>
        <v>0</v>
      </c>
      <c r="AY106" s="405">
        <f>'NKC2'!BC120*100</f>
        <v>0</v>
      </c>
      <c r="AZ106" s="405">
        <f>'NKC2'!BD120*100</f>
        <v>0</v>
      </c>
      <c r="BA106" s="405">
        <f>'NKC2'!BE120*100</f>
        <v>0</v>
      </c>
      <c r="BB106" s="405">
        <f>'NKC2'!BF120*100</f>
        <v>0</v>
      </c>
      <c r="BC106" s="405">
        <f>'NKC2'!BG120*100</f>
        <v>0</v>
      </c>
      <c r="BD106" s="405">
        <f>'NKC2'!BH120*100</f>
        <v>0</v>
      </c>
      <c r="BE106" s="405">
        <f>'NKC2'!BI120*100</f>
        <v>0</v>
      </c>
      <c r="BF106" s="405">
        <f>'NKC2'!BJ120*100</f>
        <v>0</v>
      </c>
      <c r="BG106" s="405">
        <f>'NKC2'!BK120*100</f>
        <v>0</v>
      </c>
      <c r="BH106" s="405">
        <f>'NKC2'!BL120*100</f>
        <v>0</v>
      </c>
      <c r="BI106" s="405">
        <f>'NKC2'!BM120*100</f>
        <v>0</v>
      </c>
      <c r="BJ106" s="405">
        <f>'NKC2'!BN120*100</f>
        <v>0</v>
      </c>
      <c r="BK106" s="405">
        <f>'NKC2'!BO120*100</f>
        <v>0</v>
      </c>
      <c r="BL106" s="405">
        <f>'NKC2'!BP120*100</f>
        <v>0</v>
      </c>
      <c r="BM106" s="405">
        <f>'NKC2'!BQ120*100</f>
        <v>0</v>
      </c>
      <c r="BN106" s="405">
        <f>'NKC2'!BR120*100</f>
        <v>0</v>
      </c>
      <c r="BO106" s="405">
        <f>'NKC2'!BS120*100</f>
        <v>0</v>
      </c>
      <c r="BP106" s="405">
        <f>'NKC2'!BT120*100</f>
        <v>0</v>
      </c>
      <c r="BQ106" s="405">
        <f>'NKC2'!BU120*100</f>
        <v>0</v>
      </c>
      <c r="BR106" s="405">
        <f>'NKC2'!BV120*100</f>
        <v>0</v>
      </c>
      <c r="BS106" s="405">
        <f>'NKC2'!BW120*100</f>
        <v>0</v>
      </c>
      <c r="BT106" s="405">
        <f>'NKC2'!BX120*100</f>
        <v>0</v>
      </c>
      <c r="BU106" s="405">
        <f>'NKC2'!BY120*100</f>
        <v>0</v>
      </c>
      <c r="BV106" s="405">
        <f>'NKC2'!BZ120*100</f>
        <v>0</v>
      </c>
      <c r="BW106" s="405">
        <f>'NKC2'!CA120*100</f>
        <v>0</v>
      </c>
      <c r="BX106" s="405">
        <f>'NKC2'!CB120*100</f>
        <v>0</v>
      </c>
      <c r="BY106" s="405">
        <f>'NKC2'!CC120*100</f>
        <v>0</v>
      </c>
      <c r="BZ106" s="405">
        <f>'NKC2'!CD120*100</f>
        <v>0</v>
      </c>
      <c r="CA106" s="405">
        <f>'NKC2'!CE120*100</f>
        <v>0</v>
      </c>
      <c r="CB106" s="405">
        <f>'NKC2'!CF120*100</f>
        <v>0</v>
      </c>
      <c r="CC106" s="405">
        <f>'NKC2'!CG120*100</f>
        <v>0</v>
      </c>
      <c r="CD106" s="405">
        <f>'NKC2'!CH120*100</f>
        <v>0</v>
      </c>
      <c r="CE106" s="405">
        <f>'NKC2'!CI120*100</f>
        <v>0</v>
      </c>
      <c r="CF106" s="405">
        <f>'NKC2'!CJ120*100</f>
        <v>0</v>
      </c>
      <c r="CG106" s="405">
        <f>'NKC2'!CK120*100</f>
        <v>0</v>
      </c>
      <c r="CH106" s="405">
        <f>'NKC2'!CL120*100</f>
        <v>0</v>
      </c>
      <c r="CI106" s="405">
        <f>'NKC2'!CM120*100</f>
        <v>0</v>
      </c>
    </row>
    <row r="107" spans="1:87" x14ac:dyDescent="0.45">
      <c r="A107" t="str">
        <f>'NKC2'!B121</f>
        <v>1.8.4</v>
      </c>
      <c r="B107" t="str">
        <f>'NKC2'!D121</f>
        <v xml:space="preserve">            งานผ้าม่าน</v>
      </c>
      <c r="C107" s="193">
        <f>'NKC2'!F121</f>
        <v>0</v>
      </c>
      <c r="D107" s="140" t="str">
        <f>'NKC2'!G119</f>
        <v>A</v>
      </c>
      <c r="E107" s="198">
        <f>'NKC2'!H121*100</f>
        <v>0</v>
      </c>
      <c r="F107" s="198">
        <f>'NKC2'!J121*100</f>
        <v>0</v>
      </c>
      <c r="G107" s="198">
        <f>'NKC2'!K121*100</f>
        <v>0</v>
      </c>
      <c r="H107" s="198">
        <f>'NKC2'!L121*100</f>
        <v>0</v>
      </c>
      <c r="I107" s="198">
        <f>'NKC2'!M121*100</f>
        <v>0</v>
      </c>
      <c r="J107" s="198">
        <f>'NKC2'!N121*100</f>
        <v>0</v>
      </c>
      <c r="K107" s="198">
        <f>'NKC2'!O121*100</f>
        <v>0</v>
      </c>
      <c r="L107" s="198">
        <f>'NKC2'!P121*100</f>
        <v>0</v>
      </c>
      <c r="M107" s="198">
        <f>'NKC2'!Q121*100</f>
        <v>0</v>
      </c>
      <c r="N107" s="198">
        <f>'NKC2'!R121*100</f>
        <v>0</v>
      </c>
      <c r="O107" s="198">
        <f>'NKC2'!S121*100</f>
        <v>0</v>
      </c>
      <c r="P107" s="198">
        <f>'NKC2'!T121*100</f>
        <v>0</v>
      </c>
      <c r="Q107" s="198">
        <f>'NKC2'!U121*100</f>
        <v>0</v>
      </c>
      <c r="R107" s="198">
        <f>'NKC2'!V121*100</f>
        <v>0</v>
      </c>
      <c r="S107" s="198">
        <f>'NKC2'!W121*100</f>
        <v>0</v>
      </c>
      <c r="T107" s="198">
        <f>'NKC2'!X121*100</f>
        <v>0</v>
      </c>
      <c r="U107" s="198">
        <f>'NKC2'!Y121*100</f>
        <v>0</v>
      </c>
      <c r="V107" s="198">
        <f>'NKC2'!Z121*100</f>
        <v>0</v>
      </c>
      <c r="W107" s="198">
        <f>'NKC2'!AA121*100</f>
        <v>0</v>
      </c>
      <c r="X107" s="198">
        <f>'NKC2'!AB121*100</f>
        <v>0</v>
      </c>
      <c r="Y107" s="198">
        <f>'NKC2'!AC121*100</f>
        <v>0</v>
      </c>
      <c r="Z107" s="198">
        <f>'NKC2'!AD121*100</f>
        <v>0</v>
      </c>
      <c r="AA107" s="198">
        <f>'NKC2'!AE121*100</f>
        <v>0</v>
      </c>
      <c r="AB107" s="198">
        <f>'NKC2'!AF121*100</f>
        <v>0</v>
      </c>
      <c r="AC107" s="198">
        <f>'NKC2'!AG121*100</f>
        <v>0</v>
      </c>
      <c r="AD107" s="198">
        <f>'NKC2'!AH121*100</f>
        <v>0</v>
      </c>
      <c r="AE107" s="198">
        <f>'NKC2'!AI121*100</f>
        <v>0</v>
      </c>
      <c r="AF107" s="198">
        <f>'NKC2'!AJ121*100</f>
        <v>0</v>
      </c>
      <c r="AG107" s="198">
        <f>'NKC2'!AK121*100</f>
        <v>0</v>
      </c>
      <c r="AH107" s="198">
        <f>'NKC2'!AL121*100</f>
        <v>0</v>
      </c>
      <c r="AI107" s="198">
        <f>'NKC2'!AM121*100</f>
        <v>0</v>
      </c>
      <c r="AJ107" s="198">
        <f>'NKC2'!AN121*100</f>
        <v>0</v>
      </c>
      <c r="AK107" s="198">
        <f>'NKC2'!AO121*100</f>
        <v>0</v>
      </c>
      <c r="AL107" s="198">
        <f>'NKC2'!AP121*100</f>
        <v>0</v>
      </c>
      <c r="AM107" s="198">
        <f>'NKC2'!AQ121*100</f>
        <v>0</v>
      </c>
      <c r="AN107" s="198">
        <f>'NKC2'!AR121*100</f>
        <v>0</v>
      </c>
      <c r="AO107" s="198">
        <f>'NKC2'!AS121*100</f>
        <v>0</v>
      </c>
      <c r="AP107" s="198">
        <f>'NKC2'!AT121*100</f>
        <v>0</v>
      </c>
      <c r="AQ107" s="198">
        <f>'NKC2'!AU121*100</f>
        <v>0</v>
      </c>
      <c r="AR107" s="198">
        <f>'NKC2'!AV121*100</f>
        <v>0</v>
      </c>
      <c r="AS107" s="198">
        <f>'NKC2'!AW121*100</f>
        <v>0</v>
      </c>
      <c r="AT107" s="198">
        <f>'NKC2'!AX121*100</f>
        <v>0</v>
      </c>
      <c r="AU107" s="198">
        <f>'NKC2'!AY121*100</f>
        <v>0</v>
      </c>
      <c r="AV107" s="198">
        <f>'NKC2'!AZ121*100</f>
        <v>0</v>
      </c>
      <c r="AW107" s="198">
        <f>'NKC2'!BA121*100</f>
        <v>0</v>
      </c>
      <c r="AX107" s="198">
        <f>'NKC2'!BB121*100</f>
        <v>0</v>
      </c>
      <c r="AY107" s="198">
        <f>'NKC2'!BC121*100</f>
        <v>0</v>
      </c>
      <c r="AZ107" s="198">
        <f>'NKC2'!BD121*100</f>
        <v>0</v>
      </c>
      <c r="BA107" s="198">
        <f>'NKC2'!BE121*100</f>
        <v>0</v>
      </c>
      <c r="BB107" s="198">
        <f>'NKC2'!BF121*100</f>
        <v>0</v>
      </c>
      <c r="BC107" s="198">
        <f>'NKC2'!BG121*100</f>
        <v>0</v>
      </c>
      <c r="BD107" s="198">
        <f>'NKC2'!BH121*100</f>
        <v>0</v>
      </c>
      <c r="BE107" s="198">
        <f>'NKC2'!BI121*100</f>
        <v>0</v>
      </c>
      <c r="BF107" s="198">
        <f>'NKC2'!BJ121*100</f>
        <v>0</v>
      </c>
      <c r="BG107" s="198">
        <f>'NKC2'!BK121*100</f>
        <v>0</v>
      </c>
      <c r="BH107" s="198">
        <f>'NKC2'!BL121*100</f>
        <v>0</v>
      </c>
      <c r="BI107" s="198">
        <f>'NKC2'!BM121*100</f>
        <v>0</v>
      </c>
      <c r="BJ107" s="198">
        <f>'NKC2'!BN121*100</f>
        <v>0</v>
      </c>
      <c r="BK107" s="198">
        <f>'NKC2'!BO121*100</f>
        <v>0</v>
      </c>
      <c r="BL107" s="198">
        <f>'NKC2'!BP121*100</f>
        <v>0</v>
      </c>
      <c r="BM107" s="198">
        <f>'NKC2'!BQ121*100</f>
        <v>0</v>
      </c>
      <c r="BN107" s="198">
        <f>'NKC2'!BR121*100</f>
        <v>0</v>
      </c>
      <c r="BO107" s="198">
        <f>'NKC2'!BS121*100</f>
        <v>0</v>
      </c>
      <c r="BP107" s="198">
        <f>'NKC2'!BT121*100</f>
        <v>0</v>
      </c>
      <c r="BQ107" s="198">
        <f>'NKC2'!BU121*100</f>
        <v>0</v>
      </c>
      <c r="BR107" s="198">
        <f>'NKC2'!BV121*100</f>
        <v>0</v>
      </c>
      <c r="BS107" s="198">
        <f>'NKC2'!BW121*100</f>
        <v>0</v>
      </c>
      <c r="BT107" s="198">
        <f>'NKC2'!BX121*100</f>
        <v>0</v>
      </c>
      <c r="BU107" s="198">
        <f>'NKC2'!BY121*100</f>
        <v>0</v>
      </c>
      <c r="BV107" s="198">
        <f>'NKC2'!BZ121*100</f>
        <v>0</v>
      </c>
      <c r="BW107" s="198">
        <f>'NKC2'!CA121*100</f>
        <v>0</v>
      </c>
      <c r="BX107" s="198">
        <f>'NKC2'!CB121*100</f>
        <v>0</v>
      </c>
      <c r="BY107" s="198">
        <f>'NKC2'!CC121*100</f>
        <v>0</v>
      </c>
      <c r="BZ107" s="198">
        <f>'NKC2'!CD121*100</f>
        <v>0</v>
      </c>
      <c r="CA107" s="198">
        <f>'NKC2'!CE121*100</f>
        <v>0</v>
      </c>
      <c r="CB107" s="198">
        <f>'NKC2'!CF121*100</f>
        <v>0</v>
      </c>
      <c r="CC107" s="198">
        <f>'NKC2'!CG121*100</f>
        <v>0</v>
      </c>
      <c r="CD107" s="198">
        <f>'NKC2'!CH121*100</f>
        <v>0</v>
      </c>
      <c r="CE107" s="198">
        <f>'NKC2'!CI121*100</f>
        <v>0</v>
      </c>
      <c r="CF107" s="198">
        <f>'NKC2'!CJ121*100</f>
        <v>0</v>
      </c>
      <c r="CG107" s="198">
        <f>'NKC2'!CK121*100</f>
        <v>0</v>
      </c>
      <c r="CH107" s="198">
        <f>'NKC2'!CL121*100</f>
        <v>0</v>
      </c>
      <c r="CI107" s="198">
        <f>'NKC2'!CM121*100</f>
        <v>0</v>
      </c>
    </row>
    <row r="108" spans="1:87" x14ac:dyDescent="0.45">
      <c r="A108" s="403" t="str">
        <f>'NKC2'!B122</f>
        <v>1.8.5</v>
      </c>
      <c r="B108" s="403" t="str">
        <f>'NKC2'!D122</f>
        <v xml:space="preserve">            งานครุภัณฑ์ประจำอาคาร</v>
      </c>
      <c r="C108" s="404">
        <f>'NKC2'!F122</f>
        <v>10865162.9637</v>
      </c>
      <c r="D108" s="407" t="str">
        <f>'NKC2'!G120</f>
        <v>P</v>
      </c>
      <c r="E108" s="405">
        <f>'NKC2'!H122*100</f>
        <v>99.999999999999986</v>
      </c>
      <c r="F108" s="405">
        <f>'NKC2'!J122*100</f>
        <v>0</v>
      </c>
      <c r="G108" s="405">
        <f>'NKC2'!K122*100</f>
        <v>0</v>
      </c>
      <c r="H108" s="405">
        <f>'NKC2'!L122*100</f>
        <v>0</v>
      </c>
      <c r="I108" s="405">
        <f>'NKC2'!M122*100</f>
        <v>0</v>
      </c>
      <c r="J108" s="405">
        <f>'NKC2'!N122*100</f>
        <v>0</v>
      </c>
      <c r="K108" s="405">
        <f>'NKC2'!O122*100</f>
        <v>0</v>
      </c>
      <c r="L108" s="405">
        <f>'NKC2'!P122*100</f>
        <v>0</v>
      </c>
      <c r="M108" s="405">
        <f>'NKC2'!Q122*100</f>
        <v>0</v>
      </c>
      <c r="N108" s="405">
        <f>'NKC2'!R122*100</f>
        <v>0</v>
      </c>
      <c r="O108" s="405">
        <f>'NKC2'!S122*100</f>
        <v>0</v>
      </c>
      <c r="P108" s="405">
        <f>'NKC2'!T122*100</f>
        <v>0</v>
      </c>
      <c r="Q108" s="405">
        <f>'NKC2'!U122*100</f>
        <v>0</v>
      </c>
      <c r="R108" s="405">
        <f>'NKC2'!V122*100</f>
        <v>0</v>
      </c>
      <c r="S108" s="405">
        <f>'NKC2'!W122*100</f>
        <v>0</v>
      </c>
      <c r="T108" s="405">
        <f>'NKC2'!X122*100</f>
        <v>0</v>
      </c>
      <c r="U108" s="405">
        <f>'NKC2'!Y122*100</f>
        <v>0</v>
      </c>
      <c r="V108" s="405">
        <f>'NKC2'!Z122*100</f>
        <v>0</v>
      </c>
      <c r="W108" s="405">
        <f>'NKC2'!AA122*100</f>
        <v>0</v>
      </c>
      <c r="X108" s="405">
        <f>'NKC2'!AB122*100</f>
        <v>0</v>
      </c>
      <c r="Y108" s="405">
        <f>'NKC2'!AC122*100</f>
        <v>0</v>
      </c>
      <c r="Z108" s="405">
        <f>'NKC2'!AD122*100</f>
        <v>0</v>
      </c>
      <c r="AA108" s="405">
        <f>'NKC2'!AE122*100</f>
        <v>0</v>
      </c>
      <c r="AB108" s="405">
        <f>'NKC2'!AF122*100</f>
        <v>0</v>
      </c>
      <c r="AC108" s="405">
        <f>'NKC2'!AG122*100</f>
        <v>0</v>
      </c>
      <c r="AD108" s="405">
        <f>'NKC2'!AH122*100</f>
        <v>0</v>
      </c>
      <c r="AE108" s="405">
        <f>'NKC2'!AI122*100</f>
        <v>0</v>
      </c>
      <c r="AF108" s="405">
        <f>'NKC2'!AJ122*100</f>
        <v>0</v>
      </c>
      <c r="AG108" s="405">
        <f>'NKC2'!AK122*100</f>
        <v>0</v>
      </c>
      <c r="AH108" s="405">
        <f>'NKC2'!AL122*100</f>
        <v>0</v>
      </c>
      <c r="AI108" s="405">
        <f>'NKC2'!AM122*100</f>
        <v>0</v>
      </c>
      <c r="AJ108" s="405">
        <f>'NKC2'!AN122*100</f>
        <v>0</v>
      </c>
      <c r="AK108" s="405">
        <f>'NKC2'!AO122*100</f>
        <v>0</v>
      </c>
      <c r="AL108" s="405">
        <f>'NKC2'!AP122*100</f>
        <v>0</v>
      </c>
      <c r="AM108" s="405">
        <f>'NKC2'!AQ122*100</f>
        <v>0</v>
      </c>
      <c r="AN108" s="405">
        <f>'NKC2'!AR122*100</f>
        <v>0</v>
      </c>
      <c r="AO108" s="405">
        <f>'NKC2'!AS122*100</f>
        <v>0</v>
      </c>
      <c r="AP108" s="405">
        <f>'NKC2'!AT122*100</f>
        <v>0</v>
      </c>
      <c r="AQ108" s="405">
        <f>'NKC2'!AU122*100</f>
        <v>2</v>
      </c>
      <c r="AR108" s="405">
        <f>'NKC2'!AV122*100</f>
        <v>2</v>
      </c>
      <c r="AS108" s="405">
        <f>'NKC2'!AW122*100</f>
        <v>2</v>
      </c>
      <c r="AT108" s="405">
        <f>'NKC2'!AX122*100</f>
        <v>2</v>
      </c>
      <c r="AU108" s="405">
        <f>'NKC2'!AY122*100</f>
        <v>2</v>
      </c>
      <c r="AV108" s="405">
        <f>'NKC2'!AZ122*100</f>
        <v>2</v>
      </c>
      <c r="AW108" s="405">
        <f>'NKC2'!BA122*100</f>
        <v>2</v>
      </c>
      <c r="AX108" s="405">
        <f>'NKC2'!BB122*100</f>
        <v>2</v>
      </c>
      <c r="AY108" s="405">
        <f>'NKC2'!BC122*100</f>
        <v>2</v>
      </c>
      <c r="AZ108" s="405">
        <f>'NKC2'!BD122*100</f>
        <v>2</v>
      </c>
      <c r="BA108" s="405">
        <f>'NKC2'!BE122*100</f>
        <v>2</v>
      </c>
      <c r="BB108" s="405">
        <f>'NKC2'!BF122*100</f>
        <v>2</v>
      </c>
      <c r="BC108" s="405">
        <f>'NKC2'!BG122*100</f>
        <v>2</v>
      </c>
      <c r="BD108" s="405">
        <f>'NKC2'!BH122*100</f>
        <v>3</v>
      </c>
      <c r="BE108" s="405">
        <f>'NKC2'!BI122*100</f>
        <v>5</v>
      </c>
      <c r="BF108" s="405">
        <f>'NKC2'!BJ122*100</f>
        <v>10</v>
      </c>
      <c r="BG108" s="405">
        <f>'NKC2'!BK122*100</f>
        <v>10</v>
      </c>
      <c r="BH108" s="405">
        <f>'NKC2'!BL122*100</f>
        <v>10</v>
      </c>
      <c r="BI108" s="405">
        <f>'NKC2'!BM122*100</f>
        <v>10</v>
      </c>
      <c r="BJ108" s="405">
        <f>'NKC2'!BN122*100</f>
        <v>8</v>
      </c>
      <c r="BK108" s="405">
        <f>'NKC2'!BO122*100</f>
        <v>8</v>
      </c>
      <c r="BL108" s="405">
        <f>'NKC2'!BP122*100</f>
        <v>5</v>
      </c>
      <c r="BM108" s="405">
        <f>'NKC2'!BQ122*100</f>
        <v>5</v>
      </c>
      <c r="BN108" s="405">
        <f>'NKC2'!BR122*100</f>
        <v>0</v>
      </c>
      <c r="BO108" s="405">
        <f>'NKC2'!BS122*100</f>
        <v>0</v>
      </c>
      <c r="BP108" s="405">
        <f>'NKC2'!BT122*100</f>
        <v>0</v>
      </c>
      <c r="BQ108" s="405">
        <f>'NKC2'!BU122*100</f>
        <v>0</v>
      </c>
      <c r="BR108" s="405">
        <f>'NKC2'!BV122*100</f>
        <v>0</v>
      </c>
      <c r="BS108" s="405">
        <f>'NKC2'!BW122*100</f>
        <v>0</v>
      </c>
      <c r="BT108" s="405">
        <f>'NKC2'!BX122*100</f>
        <v>0</v>
      </c>
      <c r="BU108" s="405">
        <f>'NKC2'!BY122*100</f>
        <v>0</v>
      </c>
      <c r="BV108" s="405">
        <f>'NKC2'!BZ122*100</f>
        <v>0</v>
      </c>
      <c r="BW108" s="405">
        <f>'NKC2'!CA122*100</f>
        <v>0</v>
      </c>
      <c r="BX108" s="405">
        <f>'NKC2'!CB122*100</f>
        <v>0</v>
      </c>
      <c r="BY108" s="405">
        <f>'NKC2'!CC122*100</f>
        <v>0</v>
      </c>
      <c r="BZ108" s="405">
        <f>'NKC2'!CD122*100</f>
        <v>0</v>
      </c>
      <c r="CA108" s="405">
        <f>'NKC2'!CE122*100</f>
        <v>0</v>
      </c>
      <c r="CB108" s="405">
        <f>'NKC2'!CF122*100</f>
        <v>0</v>
      </c>
      <c r="CC108" s="405">
        <f>'NKC2'!CG122*100</f>
        <v>0</v>
      </c>
      <c r="CD108" s="405">
        <f>'NKC2'!CH122*100</f>
        <v>0</v>
      </c>
      <c r="CE108" s="405">
        <f>'NKC2'!CI122*100</f>
        <v>0</v>
      </c>
      <c r="CF108" s="405">
        <f>'NKC2'!CJ122*100</f>
        <v>0</v>
      </c>
      <c r="CG108" s="405">
        <f>'NKC2'!CK122*100</f>
        <v>0</v>
      </c>
      <c r="CH108" s="405">
        <f>'NKC2'!CL122*100</f>
        <v>0</v>
      </c>
      <c r="CI108" s="405">
        <f>'NKC2'!CM122*100</f>
        <v>0</v>
      </c>
    </row>
    <row r="109" spans="1:87" x14ac:dyDescent="0.45">
      <c r="A109" t="str">
        <f>'NKC2'!B123</f>
        <v>1.8.5</v>
      </c>
      <c r="B109" t="str">
        <f>'NKC2'!D123</f>
        <v xml:space="preserve">            งานครุภัณฑ์ประจำอาคาร</v>
      </c>
      <c r="C109" s="193">
        <f>'NKC2'!F123</f>
        <v>10865162.9637</v>
      </c>
      <c r="D109" s="140" t="str">
        <f>'NKC2'!G121</f>
        <v>A</v>
      </c>
      <c r="E109" s="198">
        <f>'NKC2'!H123*100</f>
        <v>0</v>
      </c>
      <c r="F109" s="198">
        <f>'NKC2'!J123*100</f>
        <v>0</v>
      </c>
      <c r="G109" s="198">
        <f>'NKC2'!K123*100</f>
        <v>0</v>
      </c>
      <c r="H109" s="198">
        <f>'NKC2'!L123*100</f>
        <v>0</v>
      </c>
      <c r="I109" s="198">
        <f>'NKC2'!M123*100</f>
        <v>0</v>
      </c>
      <c r="J109" s="198">
        <f>'NKC2'!N123*100</f>
        <v>0</v>
      </c>
      <c r="K109" s="198">
        <f>'NKC2'!O123*100</f>
        <v>0</v>
      </c>
      <c r="L109" s="198">
        <f>'NKC2'!P123*100</f>
        <v>0</v>
      </c>
      <c r="M109" s="198">
        <f>'NKC2'!Q123*100</f>
        <v>0</v>
      </c>
      <c r="N109" s="198">
        <f>'NKC2'!R123*100</f>
        <v>0</v>
      </c>
      <c r="O109" s="198">
        <f>'NKC2'!S123*100</f>
        <v>0</v>
      </c>
      <c r="P109" s="198">
        <f>'NKC2'!T123*100</f>
        <v>0</v>
      </c>
      <c r="Q109" s="198">
        <f>'NKC2'!U123*100</f>
        <v>0</v>
      </c>
      <c r="R109" s="198">
        <f>'NKC2'!V123*100</f>
        <v>0</v>
      </c>
      <c r="S109" s="198">
        <f>'NKC2'!W123*100</f>
        <v>0</v>
      </c>
      <c r="T109" s="198">
        <f>'NKC2'!X123*100</f>
        <v>0</v>
      </c>
      <c r="U109" s="198">
        <f>'NKC2'!Y123*100</f>
        <v>0</v>
      </c>
      <c r="V109" s="198">
        <f>'NKC2'!Z123*100</f>
        <v>0</v>
      </c>
      <c r="W109" s="198">
        <f>'NKC2'!AA123*100</f>
        <v>0</v>
      </c>
      <c r="X109" s="198">
        <f>'NKC2'!AB123*100</f>
        <v>0</v>
      </c>
      <c r="Y109" s="198">
        <f>'NKC2'!AC123*100</f>
        <v>0</v>
      </c>
      <c r="Z109" s="198">
        <f>'NKC2'!AD123*100</f>
        <v>0</v>
      </c>
      <c r="AA109" s="198">
        <f>'NKC2'!AE123*100</f>
        <v>0</v>
      </c>
      <c r="AB109" s="198">
        <f>'NKC2'!AF123*100</f>
        <v>0</v>
      </c>
      <c r="AC109" s="198">
        <f>'NKC2'!AG123*100</f>
        <v>0</v>
      </c>
      <c r="AD109" s="198">
        <f>'NKC2'!AH123*100</f>
        <v>0</v>
      </c>
      <c r="AE109" s="198">
        <f>'NKC2'!AI123*100</f>
        <v>0</v>
      </c>
      <c r="AF109" s="198">
        <f>'NKC2'!AJ123*100</f>
        <v>0</v>
      </c>
      <c r="AG109" s="198">
        <f>'NKC2'!AK123*100</f>
        <v>0</v>
      </c>
      <c r="AH109" s="198">
        <f>'NKC2'!AL123*100</f>
        <v>0</v>
      </c>
      <c r="AI109" s="198">
        <f>'NKC2'!AM123*100</f>
        <v>0</v>
      </c>
      <c r="AJ109" s="198">
        <f>'NKC2'!AN123*100</f>
        <v>0</v>
      </c>
      <c r="AK109" s="198">
        <f>'NKC2'!AO123*100</f>
        <v>0</v>
      </c>
      <c r="AL109" s="198">
        <f>'NKC2'!AP123*100</f>
        <v>0</v>
      </c>
      <c r="AM109" s="198">
        <f>'NKC2'!AQ123*100</f>
        <v>0</v>
      </c>
      <c r="AN109" s="198">
        <f>'NKC2'!AR123*100</f>
        <v>0</v>
      </c>
      <c r="AO109" s="198">
        <f>'NKC2'!AS123*100</f>
        <v>0</v>
      </c>
      <c r="AP109" s="198">
        <f>'NKC2'!AT123*100</f>
        <v>0</v>
      </c>
      <c r="AQ109" s="198">
        <f>'NKC2'!AU123*100</f>
        <v>0</v>
      </c>
      <c r="AR109" s="198">
        <f>'NKC2'!AV123*100</f>
        <v>0</v>
      </c>
      <c r="AS109" s="198">
        <f>'NKC2'!AW123*100</f>
        <v>0</v>
      </c>
      <c r="AT109" s="198">
        <f>'NKC2'!AX123*100</f>
        <v>0</v>
      </c>
      <c r="AU109" s="198">
        <f>'NKC2'!AY123*100</f>
        <v>0</v>
      </c>
      <c r="AV109" s="198">
        <f>'NKC2'!AZ123*100</f>
        <v>0</v>
      </c>
      <c r="AW109" s="198">
        <f>'NKC2'!BA123*100</f>
        <v>0</v>
      </c>
      <c r="AX109" s="198">
        <f>'NKC2'!BB123*100</f>
        <v>0</v>
      </c>
      <c r="AY109" s="198">
        <f>'NKC2'!BC123*100</f>
        <v>0</v>
      </c>
      <c r="AZ109" s="198">
        <f>'NKC2'!BD123*100</f>
        <v>0</v>
      </c>
      <c r="BA109" s="198">
        <f>'NKC2'!BE123*100</f>
        <v>0</v>
      </c>
      <c r="BB109" s="198">
        <f>'NKC2'!BF123*100</f>
        <v>0</v>
      </c>
      <c r="BC109" s="198">
        <f>'NKC2'!BG123*100</f>
        <v>0</v>
      </c>
      <c r="BD109" s="198">
        <f>'NKC2'!BH123*100</f>
        <v>0</v>
      </c>
      <c r="BE109" s="198">
        <f>'NKC2'!BI123*100</f>
        <v>0</v>
      </c>
      <c r="BF109" s="198">
        <f>'NKC2'!BJ123*100</f>
        <v>0</v>
      </c>
      <c r="BG109" s="198">
        <f>'NKC2'!BK123*100</f>
        <v>0</v>
      </c>
      <c r="BH109" s="198">
        <f>'NKC2'!BL123*100</f>
        <v>0</v>
      </c>
      <c r="BI109" s="198">
        <f>'NKC2'!BM123*100</f>
        <v>0</v>
      </c>
      <c r="BJ109" s="198">
        <f>'NKC2'!BN123*100</f>
        <v>0</v>
      </c>
      <c r="BK109" s="198">
        <f>'NKC2'!BO123*100</f>
        <v>0</v>
      </c>
      <c r="BL109" s="198">
        <f>'NKC2'!BP123*100</f>
        <v>0</v>
      </c>
      <c r="BM109" s="198">
        <f>'NKC2'!BQ123*100</f>
        <v>0</v>
      </c>
      <c r="BN109" s="198">
        <f>'NKC2'!BR123*100</f>
        <v>0</v>
      </c>
      <c r="BO109" s="198">
        <f>'NKC2'!BS123*100</f>
        <v>0</v>
      </c>
      <c r="BP109" s="198">
        <f>'NKC2'!BT123*100</f>
        <v>0</v>
      </c>
      <c r="BQ109" s="198">
        <f>'NKC2'!BU123*100</f>
        <v>0</v>
      </c>
      <c r="BR109" s="198">
        <f>'NKC2'!BV123*100</f>
        <v>0</v>
      </c>
      <c r="BS109" s="198">
        <f>'NKC2'!BW123*100</f>
        <v>0</v>
      </c>
      <c r="BT109" s="198">
        <f>'NKC2'!BX123*100</f>
        <v>0</v>
      </c>
      <c r="BU109" s="198">
        <f>'NKC2'!BY123*100</f>
        <v>0</v>
      </c>
      <c r="BV109" s="198">
        <f>'NKC2'!BZ123*100</f>
        <v>0</v>
      </c>
      <c r="BW109" s="198">
        <f>'NKC2'!CA123*100</f>
        <v>0</v>
      </c>
      <c r="BX109" s="198">
        <f>'NKC2'!CB123*100</f>
        <v>0</v>
      </c>
      <c r="BY109" s="198">
        <f>'NKC2'!CC123*100</f>
        <v>0</v>
      </c>
      <c r="BZ109" s="198">
        <f>'NKC2'!CD123*100</f>
        <v>0</v>
      </c>
      <c r="CA109" s="198">
        <f>'NKC2'!CE123*100</f>
        <v>0</v>
      </c>
      <c r="CB109" s="198">
        <f>'NKC2'!CF123*100</f>
        <v>0</v>
      </c>
      <c r="CC109" s="198">
        <f>'NKC2'!CG123*100</f>
        <v>0</v>
      </c>
      <c r="CD109" s="198">
        <f>'NKC2'!CH123*100</f>
        <v>0</v>
      </c>
      <c r="CE109" s="198">
        <f>'NKC2'!CI123*100</f>
        <v>0</v>
      </c>
      <c r="CF109" s="198">
        <f>'NKC2'!CJ123*100</f>
        <v>0</v>
      </c>
      <c r="CG109" s="198">
        <f>'NKC2'!CK123*100</f>
        <v>0</v>
      </c>
      <c r="CH109" s="198">
        <f>'NKC2'!CL123*100</f>
        <v>0</v>
      </c>
      <c r="CI109" s="198">
        <f>'NKC2'!CM123*100</f>
        <v>0</v>
      </c>
    </row>
    <row r="110" spans="1:87" x14ac:dyDescent="0.45">
      <c r="A110" s="403" t="str">
        <f>'NKC2'!B124</f>
        <v>1.8.6</v>
      </c>
      <c r="B110" s="403" t="str">
        <f>'NKC2'!D124</f>
        <v xml:space="preserve">             งานครุภัณฑ์ Soft Scape</v>
      </c>
      <c r="C110" s="404">
        <f>'NKC2'!F124</f>
        <v>760477.34767614095</v>
      </c>
      <c r="D110" s="407" t="str">
        <f>'NKC2'!G122</f>
        <v>P</v>
      </c>
      <c r="E110" s="405">
        <f>'NKC2'!H124*100</f>
        <v>100</v>
      </c>
      <c r="F110" s="405">
        <f>'NKC2'!J124*100</f>
        <v>0</v>
      </c>
      <c r="G110" s="405">
        <f>'NKC2'!K124*100</f>
        <v>0</v>
      </c>
      <c r="H110" s="405">
        <f>'NKC2'!L124*100</f>
        <v>0</v>
      </c>
      <c r="I110" s="405">
        <f>'NKC2'!M124*100</f>
        <v>0</v>
      </c>
      <c r="J110" s="405">
        <f>'NKC2'!N124*100</f>
        <v>0</v>
      </c>
      <c r="K110" s="405">
        <f>'NKC2'!O124*100</f>
        <v>0</v>
      </c>
      <c r="L110" s="405">
        <f>'NKC2'!P124*100</f>
        <v>0</v>
      </c>
      <c r="M110" s="405">
        <f>'NKC2'!Q124*100</f>
        <v>0</v>
      </c>
      <c r="N110" s="405">
        <f>'NKC2'!R124*100</f>
        <v>0</v>
      </c>
      <c r="O110" s="405">
        <f>'NKC2'!S124*100</f>
        <v>0</v>
      </c>
      <c r="P110" s="405">
        <f>'NKC2'!T124*100</f>
        <v>0</v>
      </c>
      <c r="Q110" s="405">
        <f>'NKC2'!U124*100</f>
        <v>0</v>
      </c>
      <c r="R110" s="405">
        <f>'NKC2'!V124*100</f>
        <v>0</v>
      </c>
      <c r="S110" s="405">
        <f>'NKC2'!W124*100</f>
        <v>0</v>
      </c>
      <c r="T110" s="405">
        <f>'NKC2'!X124*100</f>
        <v>0</v>
      </c>
      <c r="U110" s="405">
        <f>'NKC2'!Y124*100</f>
        <v>0</v>
      </c>
      <c r="V110" s="405">
        <f>'NKC2'!Z124*100</f>
        <v>0</v>
      </c>
      <c r="W110" s="405">
        <f>'NKC2'!AA124*100</f>
        <v>0</v>
      </c>
      <c r="X110" s="405">
        <f>'NKC2'!AB124*100</f>
        <v>0</v>
      </c>
      <c r="Y110" s="405">
        <f>'NKC2'!AC124*100</f>
        <v>0</v>
      </c>
      <c r="Z110" s="405">
        <f>'NKC2'!AD124*100</f>
        <v>0</v>
      </c>
      <c r="AA110" s="405">
        <f>'NKC2'!AE124*100</f>
        <v>0</v>
      </c>
      <c r="AB110" s="405">
        <f>'NKC2'!AF124*100</f>
        <v>0</v>
      </c>
      <c r="AC110" s="405">
        <f>'NKC2'!AG124*100</f>
        <v>0</v>
      </c>
      <c r="AD110" s="405">
        <f>'NKC2'!AH124*100</f>
        <v>0</v>
      </c>
      <c r="AE110" s="405">
        <f>'NKC2'!AI124*100</f>
        <v>0</v>
      </c>
      <c r="AF110" s="405">
        <f>'NKC2'!AJ124*100</f>
        <v>0</v>
      </c>
      <c r="AG110" s="405">
        <f>'NKC2'!AK124*100</f>
        <v>0</v>
      </c>
      <c r="AH110" s="405">
        <f>'NKC2'!AL124*100</f>
        <v>0</v>
      </c>
      <c r="AI110" s="405">
        <f>'NKC2'!AM124*100</f>
        <v>0</v>
      </c>
      <c r="AJ110" s="405">
        <f>'NKC2'!AN124*100</f>
        <v>0</v>
      </c>
      <c r="AK110" s="405">
        <f>'NKC2'!AO124*100</f>
        <v>0</v>
      </c>
      <c r="AL110" s="405">
        <f>'NKC2'!AP124*100</f>
        <v>0</v>
      </c>
      <c r="AM110" s="405">
        <f>'NKC2'!AQ124*100</f>
        <v>0</v>
      </c>
      <c r="AN110" s="405">
        <f>'NKC2'!AR124*100</f>
        <v>0</v>
      </c>
      <c r="AO110" s="405">
        <f>'NKC2'!AS124*100</f>
        <v>0</v>
      </c>
      <c r="AP110" s="405">
        <f>'NKC2'!AT124*100</f>
        <v>0</v>
      </c>
      <c r="AQ110" s="405">
        <f>'NKC2'!AU124*100</f>
        <v>0</v>
      </c>
      <c r="AR110" s="405">
        <f>'NKC2'!AV124*100</f>
        <v>0</v>
      </c>
      <c r="AS110" s="405">
        <f>'NKC2'!AW124*100</f>
        <v>0</v>
      </c>
      <c r="AT110" s="405">
        <f>'NKC2'!AX124*100</f>
        <v>0</v>
      </c>
      <c r="AU110" s="405">
        <f>'NKC2'!AY124*100</f>
        <v>0</v>
      </c>
      <c r="AV110" s="405">
        <f>'NKC2'!AZ124*100</f>
        <v>0</v>
      </c>
      <c r="AW110" s="405">
        <f>'NKC2'!BA124*100</f>
        <v>0</v>
      </c>
      <c r="AX110" s="405">
        <f>'NKC2'!BB124*100</f>
        <v>0</v>
      </c>
      <c r="AY110" s="405">
        <f>'NKC2'!BC124*100</f>
        <v>0</v>
      </c>
      <c r="AZ110" s="405">
        <f>'NKC2'!BD124*100</f>
        <v>0</v>
      </c>
      <c r="BA110" s="405">
        <f>'NKC2'!BE124*100</f>
        <v>10</v>
      </c>
      <c r="BB110" s="405">
        <f>'NKC2'!BF124*100</f>
        <v>10</v>
      </c>
      <c r="BC110" s="405">
        <f>'NKC2'!BG124*100</f>
        <v>10</v>
      </c>
      <c r="BD110" s="405">
        <f>'NKC2'!BH124*100</f>
        <v>10</v>
      </c>
      <c r="BE110" s="405">
        <f>'NKC2'!BI124*100</f>
        <v>10</v>
      </c>
      <c r="BF110" s="405">
        <f>'NKC2'!BJ124*100</f>
        <v>15</v>
      </c>
      <c r="BG110" s="405">
        <f>'NKC2'!BK124*100</f>
        <v>15</v>
      </c>
      <c r="BH110" s="405">
        <f>'NKC2'!BL124*100</f>
        <v>10</v>
      </c>
      <c r="BI110" s="405">
        <f>'NKC2'!BM124*100</f>
        <v>10</v>
      </c>
      <c r="BJ110" s="405">
        <f>'NKC2'!BN124*100</f>
        <v>0</v>
      </c>
      <c r="BK110" s="405">
        <f>'NKC2'!BO124*100</f>
        <v>0</v>
      </c>
      <c r="BL110" s="405">
        <f>'NKC2'!BP124*100</f>
        <v>0</v>
      </c>
      <c r="BM110" s="405">
        <f>'NKC2'!BQ124*100</f>
        <v>0</v>
      </c>
      <c r="BN110" s="405">
        <f>'NKC2'!BR124*100</f>
        <v>0</v>
      </c>
      <c r="BO110" s="405">
        <f>'NKC2'!BS124*100</f>
        <v>0</v>
      </c>
      <c r="BP110" s="405">
        <f>'NKC2'!BT124*100</f>
        <v>0</v>
      </c>
      <c r="BQ110" s="405">
        <f>'NKC2'!BU124*100</f>
        <v>0</v>
      </c>
      <c r="BR110" s="405">
        <f>'NKC2'!BV124*100</f>
        <v>0</v>
      </c>
      <c r="BS110" s="405">
        <f>'NKC2'!BW124*100</f>
        <v>0</v>
      </c>
      <c r="BT110" s="405">
        <f>'NKC2'!BX124*100</f>
        <v>0</v>
      </c>
      <c r="BU110" s="405">
        <f>'NKC2'!BY124*100</f>
        <v>0</v>
      </c>
      <c r="BV110" s="405">
        <f>'NKC2'!BZ124*100</f>
        <v>0</v>
      </c>
      <c r="BW110" s="405">
        <f>'NKC2'!CA124*100</f>
        <v>0</v>
      </c>
      <c r="BX110" s="405">
        <f>'NKC2'!CB124*100</f>
        <v>0</v>
      </c>
      <c r="BY110" s="405">
        <f>'NKC2'!CC124*100</f>
        <v>0</v>
      </c>
      <c r="BZ110" s="405">
        <f>'NKC2'!CD124*100</f>
        <v>0</v>
      </c>
      <c r="CA110" s="405">
        <f>'NKC2'!CE124*100</f>
        <v>0</v>
      </c>
      <c r="CB110" s="405">
        <f>'NKC2'!CF124*100</f>
        <v>0</v>
      </c>
      <c r="CC110" s="405">
        <f>'NKC2'!CG124*100</f>
        <v>0</v>
      </c>
      <c r="CD110" s="405">
        <f>'NKC2'!CH124*100</f>
        <v>0</v>
      </c>
      <c r="CE110" s="405">
        <f>'NKC2'!CI124*100</f>
        <v>0</v>
      </c>
      <c r="CF110" s="405">
        <f>'NKC2'!CJ124*100</f>
        <v>0</v>
      </c>
      <c r="CG110" s="405">
        <f>'NKC2'!CK124*100</f>
        <v>0</v>
      </c>
      <c r="CH110" s="405">
        <f>'NKC2'!CL124*100</f>
        <v>0</v>
      </c>
      <c r="CI110" s="405">
        <f>'NKC2'!CM124*100</f>
        <v>0</v>
      </c>
    </row>
    <row r="111" spans="1:87" x14ac:dyDescent="0.45">
      <c r="A111" t="str">
        <f>'NKC2'!B125</f>
        <v>1.8.6</v>
      </c>
      <c r="B111" t="str">
        <f>'NKC2'!D125</f>
        <v xml:space="preserve">             งานครุภัณฑ์ Soft Scape</v>
      </c>
      <c r="C111" s="193">
        <f>'NKC2'!F125</f>
        <v>760477.34767614095</v>
      </c>
      <c r="D111" s="140" t="str">
        <f>'NKC2'!G123</f>
        <v>A</v>
      </c>
      <c r="E111" s="198">
        <f>'NKC2'!H125*100</f>
        <v>0</v>
      </c>
      <c r="F111" s="198">
        <f>'NKC2'!J125*100</f>
        <v>0</v>
      </c>
      <c r="G111" s="198">
        <f>'NKC2'!K125*100</f>
        <v>0</v>
      </c>
      <c r="H111" s="198">
        <f>'NKC2'!L125*100</f>
        <v>0</v>
      </c>
      <c r="I111" s="198">
        <f>'NKC2'!M125*100</f>
        <v>0</v>
      </c>
      <c r="J111" s="198">
        <f>'NKC2'!N125*100</f>
        <v>0</v>
      </c>
      <c r="K111" s="198">
        <f>'NKC2'!O125*100</f>
        <v>0</v>
      </c>
      <c r="L111" s="198">
        <f>'NKC2'!P125*100</f>
        <v>0</v>
      </c>
      <c r="M111" s="198">
        <f>'NKC2'!Q125*100</f>
        <v>0</v>
      </c>
      <c r="N111" s="198">
        <f>'NKC2'!R125*100</f>
        <v>0</v>
      </c>
      <c r="O111" s="198">
        <f>'NKC2'!S125*100</f>
        <v>0</v>
      </c>
      <c r="P111" s="198">
        <f>'NKC2'!T125*100</f>
        <v>0</v>
      </c>
      <c r="Q111" s="198">
        <f>'NKC2'!U125*100</f>
        <v>0</v>
      </c>
      <c r="R111" s="198">
        <f>'NKC2'!V125*100</f>
        <v>0</v>
      </c>
      <c r="S111" s="198">
        <f>'NKC2'!W125*100</f>
        <v>0</v>
      </c>
      <c r="T111" s="198">
        <f>'NKC2'!X125*100</f>
        <v>0</v>
      </c>
      <c r="U111" s="198">
        <f>'NKC2'!Y125*100</f>
        <v>0</v>
      </c>
      <c r="V111" s="198">
        <f>'NKC2'!Z125*100</f>
        <v>0</v>
      </c>
      <c r="W111" s="198">
        <f>'NKC2'!AA125*100</f>
        <v>0</v>
      </c>
      <c r="X111" s="198">
        <f>'NKC2'!AB125*100</f>
        <v>0</v>
      </c>
      <c r="Y111" s="198">
        <f>'NKC2'!AC125*100</f>
        <v>0</v>
      </c>
      <c r="Z111" s="198">
        <f>'NKC2'!AD125*100</f>
        <v>0</v>
      </c>
      <c r="AA111" s="198">
        <f>'NKC2'!AE125*100</f>
        <v>0</v>
      </c>
      <c r="AB111" s="198">
        <f>'NKC2'!AF125*100</f>
        <v>0</v>
      </c>
      <c r="AC111" s="198">
        <f>'NKC2'!AG125*100</f>
        <v>0</v>
      </c>
      <c r="AD111" s="198">
        <f>'NKC2'!AH125*100</f>
        <v>0</v>
      </c>
      <c r="AE111" s="198">
        <f>'NKC2'!AI125*100</f>
        <v>0</v>
      </c>
      <c r="AF111" s="198">
        <f>'NKC2'!AJ125*100</f>
        <v>0</v>
      </c>
      <c r="AG111" s="198">
        <f>'NKC2'!AK125*100</f>
        <v>0</v>
      </c>
      <c r="AH111" s="198">
        <f>'NKC2'!AL125*100</f>
        <v>0</v>
      </c>
      <c r="AI111" s="198">
        <f>'NKC2'!AM125*100</f>
        <v>0</v>
      </c>
      <c r="AJ111" s="198">
        <f>'NKC2'!AN125*100</f>
        <v>0</v>
      </c>
      <c r="AK111" s="198">
        <f>'NKC2'!AO125*100</f>
        <v>0</v>
      </c>
      <c r="AL111" s="198">
        <f>'NKC2'!AP125*100</f>
        <v>0</v>
      </c>
      <c r="AM111" s="198">
        <f>'NKC2'!AQ125*100</f>
        <v>0</v>
      </c>
      <c r="AN111" s="198">
        <f>'NKC2'!AR125*100</f>
        <v>0</v>
      </c>
      <c r="AO111" s="198">
        <f>'NKC2'!AS125*100</f>
        <v>0</v>
      </c>
      <c r="AP111" s="198">
        <f>'NKC2'!AT125*100</f>
        <v>0</v>
      </c>
      <c r="AQ111" s="198">
        <f>'NKC2'!AU125*100</f>
        <v>0</v>
      </c>
      <c r="AR111" s="198">
        <f>'NKC2'!AV125*100</f>
        <v>0</v>
      </c>
      <c r="AS111" s="198">
        <f>'NKC2'!AW125*100</f>
        <v>0</v>
      </c>
      <c r="AT111" s="198">
        <f>'NKC2'!AX125*100</f>
        <v>0</v>
      </c>
      <c r="AU111" s="198">
        <f>'NKC2'!AY125*100</f>
        <v>0</v>
      </c>
      <c r="AV111" s="198">
        <f>'NKC2'!AZ125*100</f>
        <v>0</v>
      </c>
      <c r="AW111" s="198">
        <f>'NKC2'!BA125*100</f>
        <v>0</v>
      </c>
      <c r="AX111" s="198">
        <f>'NKC2'!BB125*100</f>
        <v>0</v>
      </c>
      <c r="AY111" s="198">
        <f>'NKC2'!BC125*100</f>
        <v>0</v>
      </c>
      <c r="AZ111" s="198">
        <f>'NKC2'!BD125*100</f>
        <v>0</v>
      </c>
      <c r="BA111" s="198">
        <f>'NKC2'!BE125*100</f>
        <v>0</v>
      </c>
      <c r="BB111" s="198">
        <f>'NKC2'!BF125*100</f>
        <v>0</v>
      </c>
      <c r="BC111" s="198">
        <f>'NKC2'!BG125*100</f>
        <v>0</v>
      </c>
      <c r="BD111" s="198">
        <f>'NKC2'!BH125*100</f>
        <v>0</v>
      </c>
      <c r="BE111" s="198">
        <f>'NKC2'!BI125*100</f>
        <v>0</v>
      </c>
      <c r="BF111" s="198">
        <f>'NKC2'!BJ125*100</f>
        <v>0</v>
      </c>
      <c r="BG111" s="198">
        <f>'NKC2'!BK125*100</f>
        <v>0</v>
      </c>
      <c r="BH111" s="198">
        <f>'NKC2'!BL125*100</f>
        <v>0</v>
      </c>
      <c r="BI111" s="198">
        <f>'NKC2'!BM125*100</f>
        <v>0</v>
      </c>
      <c r="BJ111" s="198">
        <f>'NKC2'!BN125*100</f>
        <v>0</v>
      </c>
      <c r="BK111" s="198">
        <f>'NKC2'!BO125*100</f>
        <v>0</v>
      </c>
      <c r="BL111" s="198">
        <f>'NKC2'!BP125*100</f>
        <v>0</v>
      </c>
      <c r="BM111" s="198">
        <f>'NKC2'!BQ125*100</f>
        <v>0</v>
      </c>
      <c r="BN111" s="198">
        <f>'NKC2'!BR125*100</f>
        <v>0</v>
      </c>
      <c r="BO111" s="198">
        <f>'NKC2'!BS125*100</f>
        <v>0</v>
      </c>
      <c r="BP111" s="198">
        <f>'NKC2'!BT125*100</f>
        <v>0</v>
      </c>
      <c r="BQ111" s="198">
        <f>'NKC2'!BU125*100</f>
        <v>0</v>
      </c>
      <c r="BR111" s="198">
        <f>'NKC2'!BV125*100</f>
        <v>0</v>
      </c>
      <c r="BS111" s="198">
        <f>'NKC2'!BW125*100</f>
        <v>0</v>
      </c>
      <c r="BT111" s="198">
        <f>'NKC2'!BX125*100</f>
        <v>0</v>
      </c>
      <c r="BU111" s="198">
        <f>'NKC2'!BY125*100</f>
        <v>0</v>
      </c>
      <c r="BV111" s="198">
        <f>'NKC2'!BZ125*100</f>
        <v>0</v>
      </c>
      <c r="BW111" s="198">
        <f>'NKC2'!CA125*100</f>
        <v>0</v>
      </c>
      <c r="BX111" s="198">
        <f>'NKC2'!CB125*100</f>
        <v>0</v>
      </c>
      <c r="BY111" s="198">
        <f>'NKC2'!CC125*100</f>
        <v>0</v>
      </c>
      <c r="BZ111" s="198">
        <f>'NKC2'!CD125*100</f>
        <v>0</v>
      </c>
      <c r="CA111" s="198">
        <f>'NKC2'!CE125*100</f>
        <v>0</v>
      </c>
      <c r="CB111" s="198">
        <f>'NKC2'!CF125*100</f>
        <v>0</v>
      </c>
      <c r="CC111" s="198">
        <f>'NKC2'!CG125*100</f>
        <v>0</v>
      </c>
      <c r="CD111" s="198">
        <f>'NKC2'!CH125*100</f>
        <v>0</v>
      </c>
      <c r="CE111" s="198">
        <f>'NKC2'!CI125*100</f>
        <v>0</v>
      </c>
      <c r="CF111" s="198">
        <f>'NKC2'!CJ125*100</f>
        <v>0</v>
      </c>
      <c r="CG111" s="198">
        <f>'NKC2'!CK125*100</f>
        <v>0</v>
      </c>
      <c r="CH111" s="198">
        <f>'NKC2'!CL125*100</f>
        <v>0</v>
      </c>
      <c r="CI111" s="198">
        <f>'NKC2'!CM125*100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NKC2</vt:lpstr>
      <vt:lpstr>progress</vt:lpstr>
      <vt:lpstr>progress_table</vt:lpstr>
      <vt:lpstr>'NKC2'!Print_Area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molsupa kongjaroen</dc:creator>
  <cp:lastModifiedBy>Suzanoo S.</cp:lastModifiedBy>
  <cp:lastPrinted>2026-07-06T04:13:22Z</cp:lastPrinted>
  <dcterms:created xsi:type="dcterms:W3CDTF">2025-05-17T06:29:00Z</dcterms:created>
  <dcterms:modified xsi:type="dcterms:W3CDTF">2026-07-07T07:43:07Z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KSOReadingLayout">
    <vt:bool>true</vt:bool>
  </property>
  <property fmtid="{D5CDD505-2E9C-101B-9397-08002B2CF9AE}" pid="4" name="ICV">
    <vt:lpwstr>C4CACC4A80C64A089B54E63EB4911DD2</vt:lpwstr>
  </property>
  <property fmtid="{D5CDD505-2E9C-101B-9397-08002B2CF9AE}" pid="5" name="CalculationRule">
    <vt:i4>0</vt:i4>
  </property>
</Properties>
</file>